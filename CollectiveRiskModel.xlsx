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showInkAnnotation="0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unicattolica-my.sharepoint.com/personal/gianpaolo_clemente_unicatt_it/Documents/Unicatt/Lezioni/TAAd/2022-23/"/>
    </mc:Choice>
  </mc:AlternateContent>
  <xr:revisionPtr revIDLastSave="82" documentId="13_ncr:1_{D6271401-C8A7-4332-AD70-E30C3DFD35DC}" xr6:coauthVersionLast="47" xr6:coauthVersionMax="47" xr10:uidLastSave="{0F49E579-B2E5-41F9-9511-713D2AB533A7}"/>
  <bookViews>
    <workbookView xWindow="-90" yWindow="-90" windowWidth="19380" windowHeight="11580" xr2:uid="{00000000-000D-0000-FFFF-FFFF00000000}"/>
  </bookViews>
  <sheets>
    <sheet name="FL e C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2" i="1" l="1"/>
  <c r="AN61" i="1"/>
  <c r="AN60" i="1"/>
  <c r="AN59" i="1"/>
  <c r="AN58" i="1"/>
  <c r="AN57" i="1"/>
  <c r="AN56" i="1"/>
  <c r="AN55" i="1"/>
  <c r="AN54" i="1"/>
  <c r="AN51" i="1"/>
  <c r="AN53" i="1"/>
  <c r="AK53" i="1"/>
  <c r="AL53" i="1" s="1"/>
  <c r="AN52" i="1"/>
  <c r="AK52" i="1"/>
  <c r="AK41" i="1"/>
  <c r="AK25" i="1"/>
  <c r="AV30" i="1"/>
  <c r="AV31" i="1"/>
  <c r="AV32" i="1"/>
  <c r="AV33" i="1"/>
  <c r="AV34" i="1"/>
  <c r="AV35" i="1"/>
  <c r="AV36" i="1"/>
  <c r="AK57" i="1" s="1"/>
  <c r="AL57" i="1" s="1"/>
  <c r="AV37" i="1"/>
  <c r="AK58" i="1" s="1"/>
  <c r="AL58" i="1" s="1"/>
  <c r="AV38" i="1"/>
  <c r="AV39" i="1"/>
  <c r="AV40" i="1"/>
  <c r="AV41" i="1"/>
  <c r="AK61" i="1"/>
  <c r="AL61" i="1" s="1"/>
  <c r="AK60" i="1"/>
  <c r="AL60" i="1" s="1"/>
  <c r="AK59" i="1"/>
  <c r="AL59" i="1" s="1"/>
  <c r="AK56" i="1"/>
  <c r="AL56" i="1" s="1"/>
  <c r="AK55" i="1"/>
  <c r="AL55" i="1" s="1"/>
  <c r="AK54" i="1"/>
  <c r="AL54" i="1" s="1"/>
  <c r="AL52" i="1"/>
  <c r="AK51" i="1"/>
  <c r="AL51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F7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S111" i="1"/>
  <c r="S112" i="1"/>
  <c r="S113" i="1"/>
  <c r="S114" i="1"/>
  <c r="S115" i="1"/>
  <c r="S116" i="1"/>
  <c r="S117" i="1"/>
  <c r="S118" i="1"/>
  <c r="S119" i="1"/>
  <c r="S120" i="1"/>
  <c r="S121" i="1"/>
  <c r="T111" i="1"/>
  <c r="T112" i="1"/>
  <c r="T113" i="1"/>
  <c r="T114" i="1"/>
  <c r="T115" i="1"/>
  <c r="T116" i="1"/>
  <c r="T117" i="1"/>
  <c r="T118" i="1"/>
  <c r="T119" i="1"/>
  <c r="T120" i="1"/>
  <c r="U111" i="1"/>
  <c r="U112" i="1"/>
  <c r="U113" i="1"/>
  <c r="U114" i="1"/>
  <c r="U115" i="1"/>
  <c r="U116" i="1"/>
  <c r="U117" i="1"/>
  <c r="U118" i="1"/>
  <c r="U119" i="1"/>
  <c r="AC111" i="1"/>
  <c r="AB112" i="1"/>
  <c r="AB111" i="1"/>
  <c r="AA113" i="1"/>
  <c r="AA112" i="1"/>
  <c r="AA111" i="1"/>
  <c r="Z114" i="1"/>
  <c r="Z113" i="1"/>
  <c r="Z112" i="1"/>
  <c r="Z111" i="1"/>
  <c r="Y115" i="1"/>
  <c r="Y114" i="1"/>
  <c r="Y113" i="1"/>
  <c r="Y112" i="1"/>
  <c r="Y111" i="1"/>
  <c r="X116" i="1"/>
  <c r="X115" i="1"/>
  <c r="X114" i="1"/>
  <c r="X113" i="1"/>
  <c r="X112" i="1"/>
  <c r="X111" i="1"/>
  <c r="W117" i="1"/>
  <c r="W116" i="1"/>
  <c r="W115" i="1"/>
  <c r="W114" i="1"/>
  <c r="W113" i="1"/>
  <c r="W112" i="1"/>
  <c r="W111" i="1"/>
  <c r="V118" i="1"/>
  <c r="V117" i="1"/>
  <c r="V116" i="1"/>
  <c r="V115" i="1"/>
  <c r="V114" i="1"/>
  <c r="V113" i="1"/>
  <c r="V112" i="1"/>
  <c r="V111" i="1"/>
  <c r="AJ25" i="1"/>
  <c r="AK24" i="1"/>
  <c r="AJ24" i="1"/>
  <c r="AL23" i="1"/>
  <c r="AK23" i="1"/>
  <c r="AJ23" i="1"/>
  <c r="AM22" i="1"/>
  <c r="AL22" i="1"/>
  <c r="AK22" i="1"/>
  <c r="AJ22" i="1"/>
  <c r="AN21" i="1"/>
  <c r="AM21" i="1"/>
  <c r="AL21" i="1"/>
  <c r="AK21" i="1"/>
  <c r="AJ21" i="1"/>
  <c r="AO20" i="1"/>
  <c r="AN20" i="1"/>
  <c r="AM20" i="1"/>
  <c r="AL20" i="1"/>
  <c r="AK20" i="1"/>
  <c r="AJ20" i="1"/>
  <c r="AP19" i="1"/>
  <c r="AO19" i="1"/>
  <c r="AN19" i="1"/>
  <c r="AM19" i="1"/>
  <c r="AL19" i="1"/>
  <c r="AK19" i="1"/>
  <c r="AJ19" i="1"/>
  <c r="AQ18" i="1"/>
  <c r="AP18" i="1"/>
  <c r="AO18" i="1"/>
  <c r="AN18" i="1"/>
  <c r="AM18" i="1"/>
  <c r="AL18" i="1"/>
  <c r="AK18" i="1"/>
  <c r="AJ18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T15" i="1"/>
  <c r="AS15" i="1"/>
  <c r="AR15" i="1"/>
  <c r="AQ15" i="1"/>
  <c r="AP15" i="1"/>
  <c r="AO15" i="1"/>
  <c r="AN15" i="1"/>
  <c r="AM15" i="1"/>
  <c r="AL15" i="1"/>
  <c r="AK15" i="1"/>
  <c r="AJ15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J41" i="1"/>
  <c r="AK40" i="1"/>
  <c r="AJ40" i="1"/>
  <c r="AL39" i="1"/>
  <c r="AK39" i="1"/>
  <c r="AJ39" i="1"/>
  <c r="AM38" i="1"/>
  <c r="AL38" i="1"/>
  <c r="AK38" i="1"/>
  <c r="AJ38" i="1"/>
  <c r="AN37" i="1"/>
  <c r="AM37" i="1"/>
  <c r="AL37" i="1"/>
  <c r="AK37" i="1"/>
  <c r="AJ37" i="1"/>
  <c r="AO36" i="1"/>
  <c r="AN36" i="1"/>
  <c r="AM36" i="1"/>
  <c r="AL36" i="1"/>
  <c r="AK36" i="1"/>
  <c r="AJ36" i="1"/>
  <c r="AP35" i="1"/>
  <c r="AO35" i="1"/>
  <c r="AN35" i="1"/>
  <c r="AM35" i="1"/>
  <c r="AL35" i="1"/>
  <c r="AK35" i="1"/>
  <c r="AJ35" i="1"/>
  <c r="AQ34" i="1"/>
  <c r="AP34" i="1"/>
  <c r="AO34" i="1"/>
  <c r="AN34" i="1"/>
  <c r="AM34" i="1"/>
  <c r="AL34" i="1"/>
  <c r="AK34" i="1"/>
  <c r="AJ34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T31" i="1"/>
  <c r="AS31" i="1"/>
  <c r="AR31" i="1"/>
  <c r="AQ31" i="1"/>
  <c r="AP31" i="1"/>
  <c r="AO31" i="1"/>
  <c r="AN31" i="1"/>
  <c r="AM31" i="1"/>
  <c r="AL31" i="1"/>
  <c r="AK31" i="1"/>
  <c r="AJ31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X25" i="1"/>
  <c r="AW25" i="1"/>
  <c r="AX24" i="1"/>
  <c r="AW24" i="1"/>
  <c r="AX23" i="1"/>
  <c r="AW23" i="1"/>
  <c r="AX22" i="1"/>
  <c r="AW22" i="1"/>
  <c r="AX21" i="1"/>
  <c r="AW21" i="1"/>
  <c r="AX20" i="1"/>
  <c r="AW20" i="1"/>
  <c r="AX19" i="1"/>
  <c r="AW19" i="1"/>
  <c r="AX18" i="1"/>
  <c r="AW18" i="1"/>
  <c r="AX17" i="1"/>
  <c r="AW17" i="1"/>
  <c r="AX16" i="1"/>
  <c r="AW16" i="1"/>
  <c r="AX15" i="1"/>
  <c r="AW15" i="1"/>
  <c r="AX14" i="1"/>
  <c r="AW14" i="1"/>
  <c r="AM8" i="1"/>
  <c r="AN8" i="1" s="1"/>
  <c r="AO8" i="1" s="1"/>
  <c r="AP8" i="1" s="1"/>
  <c r="AQ8" i="1" s="1"/>
  <c r="AR8" i="1" s="1"/>
  <c r="AS8" i="1" s="1"/>
  <c r="AT8" i="1" s="1"/>
  <c r="AU8" i="1" s="1"/>
  <c r="AV8" i="1" s="1"/>
  <c r="AC91" i="1"/>
  <c r="AB92" i="1"/>
  <c r="AA93" i="1"/>
  <c r="Z94" i="1"/>
  <c r="Y95" i="1"/>
  <c r="X96" i="1"/>
  <c r="W97" i="1"/>
  <c r="T100" i="1"/>
  <c r="V98" i="1"/>
  <c r="U99" i="1"/>
  <c r="S101" i="1"/>
  <c r="R102" i="1"/>
  <c r="R92" i="1"/>
  <c r="R93" i="1"/>
  <c r="R94" i="1"/>
  <c r="R95" i="1"/>
  <c r="R96" i="1"/>
  <c r="R97" i="1"/>
  <c r="R98" i="1"/>
  <c r="R99" i="1"/>
  <c r="R100" i="1"/>
  <c r="R101" i="1"/>
  <c r="N28" i="1"/>
  <c r="N6" i="1"/>
  <c r="AE32" i="1" l="1"/>
  <c r="AE29" i="1"/>
  <c r="AE27" i="1"/>
  <c r="AE17" i="1"/>
  <c r="AE16" i="1"/>
  <c r="AE15" i="1"/>
  <c r="AE14" i="1"/>
  <c r="AE13" i="1"/>
  <c r="AE12" i="1"/>
  <c r="AE11" i="1"/>
  <c r="AE10" i="1"/>
  <c r="AE9" i="1"/>
  <c r="AE8" i="1"/>
  <c r="AE7" i="1"/>
  <c r="AE6" i="1"/>
  <c r="S16" i="1"/>
  <c r="T15" i="1"/>
  <c r="S32" i="1" s="1"/>
  <c r="U14" i="1"/>
  <c r="T14" i="1"/>
  <c r="V13" i="1"/>
  <c r="T13" i="1"/>
  <c r="S13" i="1"/>
  <c r="V12" i="1"/>
  <c r="U12" i="1"/>
  <c r="S12" i="1"/>
  <c r="X11" i="1"/>
  <c r="W11" i="1"/>
  <c r="V11" i="1"/>
  <c r="T11" i="1"/>
  <c r="S11" i="1"/>
  <c r="Y10" i="1"/>
  <c r="X27" i="1" s="1"/>
  <c r="X10" i="1"/>
  <c r="W10" i="1"/>
  <c r="V10" i="1"/>
  <c r="T10" i="1"/>
  <c r="Z9" i="1"/>
  <c r="Y9" i="1"/>
  <c r="X9" i="1"/>
  <c r="V9" i="1"/>
  <c r="U9" i="1"/>
  <c r="T9" i="1"/>
  <c r="S9" i="1"/>
  <c r="Z8" i="1"/>
  <c r="X8" i="1"/>
  <c r="V8" i="1"/>
  <c r="T8" i="1"/>
  <c r="S8" i="1"/>
  <c r="AB7" i="1"/>
  <c r="Z7" i="1"/>
  <c r="Y7" i="1"/>
  <c r="X7" i="1"/>
  <c r="W7" i="1"/>
  <c r="T7" i="1"/>
  <c r="AC6" i="1"/>
  <c r="AB6" i="1"/>
  <c r="AA6" i="1"/>
  <c r="Z6" i="1"/>
  <c r="Y6" i="1"/>
  <c r="X6" i="1"/>
  <c r="W6" i="1"/>
  <c r="V6" i="1"/>
  <c r="U6" i="1"/>
  <c r="T6" i="1"/>
  <c r="S6" i="1"/>
  <c r="R17" i="1"/>
  <c r="R16" i="1"/>
  <c r="R15" i="1"/>
  <c r="R14" i="1"/>
  <c r="R13" i="1"/>
  <c r="R11" i="1"/>
  <c r="R10" i="1"/>
  <c r="R9" i="1"/>
  <c r="R8" i="1"/>
  <c r="R7" i="1"/>
  <c r="R6" i="1"/>
  <c r="T12" i="1"/>
  <c r="V7" i="1"/>
  <c r="R12" i="1"/>
  <c r="W25" i="1" l="1"/>
  <c r="AA23" i="1"/>
  <c r="R28" i="1"/>
  <c r="W23" i="1"/>
  <c r="X23" i="1"/>
  <c r="R26" i="1"/>
  <c r="V27" i="1"/>
  <c r="S23" i="1"/>
  <c r="T23" i="1"/>
  <c r="S31" i="1"/>
  <c r="U27" i="1"/>
  <c r="Z23" i="1"/>
  <c r="W27" i="1"/>
  <c r="AG76" i="1"/>
  <c r="AG79" i="1"/>
  <c r="S37" i="1"/>
  <c r="AD6" i="1"/>
  <c r="AD37" i="1" s="1"/>
  <c r="AE23" i="1"/>
  <c r="AB23" i="1" s="1"/>
  <c r="AG71" i="1"/>
  <c r="AE24" i="1"/>
  <c r="Y24" i="1" s="1"/>
  <c r="AG72" i="1"/>
  <c r="AE25" i="1"/>
  <c r="AG73" i="1"/>
  <c r="AE26" i="1"/>
  <c r="Y26" i="1" s="1"/>
  <c r="AG75" i="1"/>
  <c r="AE28" i="1"/>
  <c r="W28" i="1" s="1"/>
  <c r="AG77" i="1"/>
  <c r="AE30" i="1"/>
  <c r="U30" i="1" s="1"/>
  <c r="AG78" i="1"/>
  <c r="AE31" i="1"/>
  <c r="T31" i="1" s="1"/>
  <c r="AG80" i="1"/>
  <c r="AE33" i="1"/>
  <c r="R33" i="1" s="1"/>
  <c r="AG81" i="1"/>
  <c r="AE34" i="1"/>
  <c r="R76" i="1"/>
  <c r="V71" i="1"/>
  <c r="R71" i="1"/>
  <c r="R73" i="1"/>
  <c r="R75" i="1"/>
  <c r="R77" i="1"/>
  <c r="R79" i="1"/>
  <c r="R81" i="1"/>
  <c r="T70" i="1"/>
  <c r="V70" i="1"/>
  <c r="X70" i="1"/>
  <c r="Z70" i="1"/>
  <c r="AB70" i="1"/>
  <c r="W71" i="1"/>
  <c r="Y71" i="1"/>
  <c r="S72" i="1"/>
  <c r="S73" i="1"/>
  <c r="U73" i="1"/>
  <c r="Y73" i="1"/>
  <c r="W74" i="1"/>
  <c r="S75" i="1"/>
  <c r="W75" i="1"/>
  <c r="S76" i="1"/>
  <c r="U76" i="1"/>
  <c r="S77" i="1"/>
  <c r="S80" i="1"/>
  <c r="T71" i="1"/>
  <c r="T76" i="1"/>
  <c r="R70" i="1"/>
  <c r="R72" i="1"/>
  <c r="R74" i="1"/>
  <c r="R78" i="1"/>
  <c r="R80" i="1"/>
  <c r="S70" i="1"/>
  <c r="U70" i="1"/>
  <c r="W70" i="1"/>
  <c r="Y70" i="1"/>
  <c r="AA70" i="1"/>
  <c r="X71" i="1"/>
  <c r="Z71" i="1"/>
  <c r="AB71" i="1"/>
  <c r="T72" i="1"/>
  <c r="V72" i="1"/>
  <c r="X72" i="1"/>
  <c r="Z72" i="1"/>
  <c r="T73" i="1"/>
  <c r="V73" i="1"/>
  <c r="X73" i="1"/>
  <c r="Z73" i="1"/>
  <c r="T74" i="1"/>
  <c r="V74" i="1"/>
  <c r="X74" i="1"/>
  <c r="T75" i="1"/>
  <c r="V75" i="1"/>
  <c r="X75" i="1"/>
  <c r="V76" i="1"/>
  <c r="T77" i="1"/>
  <c r="V77" i="1"/>
  <c r="T78" i="1"/>
  <c r="T79" i="1"/>
  <c r="U98" i="1"/>
  <c r="J95" i="1"/>
  <c r="Z95" i="1" s="1"/>
  <c r="B98" i="1"/>
  <c r="U91" i="1"/>
  <c r="M92" i="1"/>
  <c r="AD91" i="1" s="1"/>
  <c r="J93" i="1"/>
  <c r="F97" i="1"/>
  <c r="W95" i="1"/>
  <c r="B94" i="1"/>
  <c r="B102" i="1"/>
  <c r="I92" i="1"/>
  <c r="F93" i="1"/>
  <c r="F96" i="1"/>
  <c r="AB91" i="1"/>
  <c r="C101" i="1"/>
  <c r="C93" i="1"/>
  <c r="G92" i="1"/>
  <c r="K92" i="1"/>
  <c r="H93" i="1"/>
  <c r="L93" i="1"/>
  <c r="AB93" i="1" s="1"/>
  <c r="H94" i="1"/>
  <c r="D95" i="1"/>
  <c r="D96" i="1"/>
  <c r="H97" i="1"/>
  <c r="X97" i="1" s="1"/>
  <c r="D99" i="1"/>
  <c r="D100" i="1"/>
  <c r="Z91" i="1"/>
  <c r="AC92" i="1"/>
  <c r="V96" i="1"/>
  <c r="F99" i="1"/>
  <c r="V99" i="1" s="1"/>
  <c r="V92" i="1"/>
  <c r="F95" i="1"/>
  <c r="E96" i="1"/>
  <c r="U10" i="1"/>
  <c r="T27" i="1" s="1"/>
  <c r="T99" i="1"/>
  <c r="T95" i="1"/>
  <c r="Y92" i="1"/>
  <c r="B97" i="1"/>
  <c r="D98" i="1"/>
  <c r="H92" i="1"/>
  <c r="S92" i="1"/>
  <c r="AA92" i="1"/>
  <c r="G94" i="1"/>
  <c r="K94" i="1"/>
  <c r="AA94" i="1" s="1"/>
  <c r="G95" i="1"/>
  <c r="C96" i="1"/>
  <c r="G98" i="1"/>
  <c r="W98" i="1" s="1"/>
  <c r="C100" i="1"/>
  <c r="S100" i="1"/>
  <c r="W91" i="1"/>
  <c r="H96" i="1"/>
  <c r="S97" i="1"/>
  <c r="X93" i="1"/>
  <c r="D94" i="1"/>
  <c r="B101" i="1"/>
  <c r="T91" i="1"/>
  <c r="I95" i="1"/>
  <c r="E100" i="1"/>
  <c r="U100" i="1" s="1"/>
  <c r="AA7" i="1"/>
  <c r="S15" i="1"/>
  <c r="R32" i="1" s="1"/>
  <c r="W94" i="1"/>
  <c r="E92" i="1"/>
  <c r="F98" i="1"/>
  <c r="J94" i="1"/>
  <c r="W9" i="1"/>
  <c r="T26" i="1" s="1"/>
  <c r="S10" i="1"/>
  <c r="R27" i="1" s="1"/>
  <c r="S14" i="1"/>
  <c r="R31" i="1" s="1"/>
  <c r="S93" i="1"/>
  <c r="U94" i="1"/>
  <c r="V94" i="1"/>
  <c r="Y91" i="1"/>
  <c r="Z93" i="1"/>
  <c r="B93" i="1"/>
  <c r="C97" i="1"/>
  <c r="L92" i="1"/>
  <c r="E93" i="1"/>
  <c r="U93" i="1"/>
  <c r="Y93" i="1"/>
  <c r="E95" i="1"/>
  <c r="Y94" i="1"/>
  <c r="U95" i="1"/>
  <c r="I96" i="1"/>
  <c r="E97" i="1"/>
  <c r="E99" i="1"/>
  <c r="W8" i="1"/>
  <c r="S25" i="1" s="1"/>
  <c r="W12" i="1"/>
  <c r="V29" i="1" s="1"/>
  <c r="S96" i="1"/>
  <c r="V95" i="1"/>
  <c r="F94" i="1"/>
  <c r="S7" i="1"/>
  <c r="AA8" i="1"/>
  <c r="Z25" i="1" s="1"/>
  <c r="V93" i="1"/>
  <c r="V97" i="1"/>
  <c r="Z92" i="1"/>
  <c r="F92" i="1"/>
  <c r="W92" i="1"/>
  <c r="K93" i="1"/>
  <c r="C94" i="1"/>
  <c r="S94" i="1"/>
  <c r="G96" i="1"/>
  <c r="W96" i="1"/>
  <c r="C98" i="1"/>
  <c r="S98" i="1"/>
  <c r="C102" i="1"/>
  <c r="S102" i="1" s="1"/>
  <c r="U8" i="1"/>
  <c r="R25" i="1" s="1"/>
  <c r="U11" i="1"/>
  <c r="T28" i="1" s="1"/>
  <c r="T98" i="1"/>
  <c r="U97" i="1"/>
  <c r="X92" i="1"/>
  <c r="B96" i="1"/>
  <c r="C92" i="1"/>
  <c r="D97" i="1"/>
  <c r="H95" i="1"/>
  <c r="U13" i="1"/>
  <c r="S30" i="1" s="1"/>
  <c r="R91" i="1"/>
  <c r="S91" i="1"/>
  <c r="S95" i="1"/>
  <c r="S99" i="1"/>
  <c r="T93" i="1"/>
  <c r="T97" i="1"/>
  <c r="U92" i="1"/>
  <c r="U96" i="1"/>
  <c r="W93" i="1"/>
  <c r="X91" i="1"/>
  <c r="X95" i="1"/>
  <c r="AA91" i="1"/>
  <c r="AG70" i="1"/>
  <c r="AE46" i="1" s="1"/>
  <c r="AG74" i="1"/>
  <c r="B95" i="1"/>
  <c r="B99" i="1"/>
  <c r="B103" i="1"/>
  <c r="C95" i="1"/>
  <c r="C99" i="1"/>
  <c r="D92" i="1"/>
  <c r="E94" i="1"/>
  <c r="E98" i="1"/>
  <c r="G93" i="1"/>
  <c r="G97" i="1"/>
  <c r="I93" i="1"/>
  <c r="J92" i="1"/>
  <c r="Y8" i="1"/>
  <c r="X25" i="1" s="1"/>
  <c r="T94" i="1"/>
  <c r="B92" i="1"/>
  <c r="B100" i="1"/>
  <c r="D93" i="1"/>
  <c r="D101" i="1"/>
  <c r="I94" i="1"/>
  <c r="U7" i="1"/>
  <c r="T92" i="1"/>
  <c r="T96" i="1"/>
  <c r="V91" i="1"/>
  <c r="X94" i="1"/>
  <c r="AC37" i="1"/>
  <c r="Y37" i="1"/>
  <c r="U37" i="1"/>
  <c r="T37" i="1"/>
  <c r="V37" i="1"/>
  <c r="X37" i="1"/>
  <c r="Z37" i="1"/>
  <c r="AB37" i="1"/>
  <c r="U78" i="1"/>
  <c r="Y74" i="1"/>
  <c r="AC70" i="1"/>
  <c r="T29" i="1" l="1"/>
  <c r="X24" i="1"/>
  <c r="V24" i="1"/>
  <c r="T24" i="1"/>
  <c r="S27" i="1"/>
  <c r="R29" i="1"/>
  <c r="V28" i="1"/>
  <c r="U29" i="1"/>
  <c r="V23" i="1"/>
  <c r="Z24" i="1"/>
  <c r="AA24" i="1"/>
  <c r="W24" i="1"/>
  <c r="Y25" i="1"/>
  <c r="V25" i="1"/>
  <c r="T30" i="1"/>
  <c r="S29" i="1"/>
  <c r="T25" i="1"/>
  <c r="R23" i="1"/>
  <c r="R30" i="1"/>
  <c r="U23" i="1"/>
  <c r="Y23" i="1"/>
  <c r="S24" i="1"/>
  <c r="U28" i="1"/>
  <c r="R24" i="1"/>
  <c r="S26" i="1"/>
  <c r="U25" i="1"/>
  <c r="V26" i="1"/>
  <c r="X26" i="1"/>
  <c r="S28" i="1"/>
  <c r="W26" i="1"/>
  <c r="U24" i="1"/>
  <c r="U26" i="1"/>
  <c r="U101" i="1"/>
  <c r="AM23" i="1"/>
  <c r="Z96" i="1"/>
  <c r="AR18" i="1"/>
  <c r="X98" i="1"/>
  <c r="AP20" i="1"/>
  <c r="W99" i="1"/>
  <c r="AO21" i="1"/>
  <c r="AD92" i="1"/>
  <c r="AV14" i="1"/>
  <c r="AA95" i="1"/>
  <c r="AS17" i="1"/>
  <c r="AC93" i="1"/>
  <c r="AU15" i="1"/>
  <c r="AB94" i="1"/>
  <c r="AT16" i="1"/>
  <c r="V100" i="1"/>
  <c r="AN22" i="1"/>
  <c r="AB36" i="1"/>
  <c r="AF71" i="1" s="1"/>
  <c r="AE47" i="1" s="1"/>
  <c r="U71" i="1"/>
  <c r="U77" i="1"/>
  <c r="U75" i="1"/>
  <c r="AA72" i="1"/>
  <c r="W72" i="1"/>
  <c r="S78" i="1"/>
  <c r="W73" i="1"/>
  <c r="S79" i="1"/>
  <c r="U74" i="1"/>
  <c r="Y72" i="1"/>
  <c r="U72" i="1"/>
  <c r="S71" i="1"/>
  <c r="W76" i="1"/>
  <c r="S74" i="1"/>
  <c r="AA71" i="1"/>
  <c r="AA37" i="1"/>
  <c r="T101" i="1"/>
  <c r="Y96" i="1"/>
  <c r="W37" i="1"/>
  <c r="AA96" i="1" l="1"/>
  <c r="AS18" i="1"/>
  <c r="X99" i="1"/>
  <c r="AP21" i="1"/>
  <c r="AB95" i="1"/>
  <c r="AT17" i="1"/>
  <c r="W100" i="1"/>
  <c r="AO22" i="1"/>
  <c r="Y97" i="1"/>
  <c r="AQ19" i="1"/>
  <c r="T102" i="1"/>
  <c r="AL25" i="1" s="1"/>
  <c r="AL24" i="1"/>
  <c r="AC94" i="1"/>
  <c r="AU16" i="1"/>
  <c r="Z97" i="1"/>
  <c r="AR19" i="1"/>
  <c r="V101" i="1"/>
  <c r="AN23" i="1"/>
  <c r="AD93" i="1"/>
  <c r="AV15" i="1"/>
  <c r="U102" i="1"/>
  <c r="AM25" i="1" s="1"/>
  <c r="AM24" i="1"/>
  <c r="AA36" i="1"/>
  <c r="AF72" i="1" s="1"/>
  <c r="AE48" i="1" s="1"/>
  <c r="Z36" i="1"/>
  <c r="T36" i="1"/>
  <c r="W36" i="1"/>
  <c r="S36" i="1"/>
  <c r="Y36" i="1"/>
  <c r="AF74" i="1" s="1"/>
  <c r="AE50" i="1" s="1"/>
  <c r="U36" i="1"/>
  <c r="R36" i="1"/>
  <c r="V36" i="1"/>
  <c r="X36" i="1"/>
  <c r="AE37" i="1"/>
  <c r="S38" i="1" l="1"/>
  <c r="S57" i="1" s="1"/>
  <c r="U38" i="1"/>
  <c r="U57" i="1" s="1"/>
  <c r="T38" i="1"/>
  <c r="T57" i="1" s="1"/>
  <c r="V38" i="1"/>
  <c r="V57" i="1" s="1"/>
  <c r="Y38" i="1"/>
  <c r="Y57" i="1" s="1"/>
  <c r="Z38" i="1"/>
  <c r="Z57" i="1" s="1"/>
  <c r="AD38" i="1"/>
  <c r="AD57" i="1" s="1"/>
  <c r="AC38" i="1"/>
  <c r="AC57" i="1" s="1"/>
  <c r="X38" i="1"/>
  <c r="X57" i="1" s="1"/>
  <c r="AB38" i="1"/>
  <c r="AB57" i="1" s="1"/>
  <c r="AA38" i="1"/>
  <c r="AA57" i="1" s="1"/>
  <c r="W38" i="1"/>
  <c r="W57" i="1" s="1"/>
  <c r="AF81" i="1"/>
  <c r="AB96" i="1"/>
  <c r="AT18" i="1"/>
  <c r="AF73" i="1"/>
  <c r="AE49" i="1" s="1"/>
  <c r="Z98" i="1"/>
  <c r="AR20" i="1"/>
  <c r="AF78" i="1"/>
  <c r="AE54" i="1" s="1"/>
  <c r="AC95" i="1"/>
  <c r="AU17" i="1"/>
  <c r="AF80" i="1"/>
  <c r="AE56" i="1" s="1"/>
  <c r="AD94" i="1"/>
  <c r="AV16" i="1"/>
  <c r="X100" i="1"/>
  <c r="AP22" i="1"/>
  <c r="AF76" i="1"/>
  <c r="AE52" i="1" s="1"/>
  <c r="AF77" i="1"/>
  <c r="AE53" i="1" s="1"/>
  <c r="W101" i="1"/>
  <c r="AO23" i="1"/>
  <c r="AF75" i="1"/>
  <c r="AE51" i="1" s="1"/>
  <c r="AF79" i="1"/>
  <c r="AE55" i="1" s="1"/>
  <c r="V102" i="1"/>
  <c r="AN25" i="1" s="1"/>
  <c r="AN24" i="1"/>
  <c r="Y98" i="1"/>
  <c r="AQ20" i="1"/>
  <c r="AA97" i="1"/>
  <c r="AS19" i="1"/>
  <c r="AE57" i="1" l="1"/>
  <c r="W81" i="1" s="1"/>
  <c r="W122" i="1" s="1"/>
  <c r="Y99" i="1"/>
  <c r="AQ21" i="1"/>
  <c r="V81" i="1"/>
  <c r="V122" i="1" s="1"/>
  <c r="T81" i="1"/>
  <c r="T122" i="1" s="1"/>
  <c r="AD95" i="1"/>
  <c r="AV17" i="1"/>
  <c r="AD81" i="1"/>
  <c r="AA81" i="1"/>
  <c r="W102" i="1"/>
  <c r="AO25" i="1" s="1"/>
  <c r="AO24" i="1"/>
  <c r="Z99" i="1"/>
  <c r="AR21" i="1"/>
  <c r="AC81" i="1"/>
  <c r="AB81" i="1"/>
  <c r="Y81" i="1"/>
  <c r="AC96" i="1"/>
  <c r="AU18" i="1"/>
  <c r="AB97" i="1"/>
  <c r="AT19" i="1"/>
  <c r="Z81" i="1"/>
  <c r="AA98" i="1"/>
  <c r="AS20" i="1"/>
  <c r="X101" i="1"/>
  <c r="AP23" i="1"/>
  <c r="AE58" i="1"/>
  <c r="Z56" i="1"/>
  <c r="Z80" i="1" s="1"/>
  <c r="T56" i="1"/>
  <c r="T80" i="1" s="1"/>
  <c r="AA56" i="1"/>
  <c r="AA80" i="1" s="1"/>
  <c r="U56" i="1"/>
  <c r="U80" i="1" s="1"/>
  <c r="U81" i="1"/>
  <c r="AB56" i="1"/>
  <c r="AB80" i="1" s="1"/>
  <c r="AD56" i="1"/>
  <c r="AD80" i="1" s="1"/>
  <c r="Y56" i="1"/>
  <c r="Y80" i="1" s="1"/>
  <c r="W56" i="1"/>
  <c r="W80" i="1" s="1"/>
  <c r="AC56" i="1"/>
  <c r="X56" i="1"/>
  <c r="AE38" i="1"/>
  <c r="V56" i="1"/>
  <c r="AO41" i="1" l="1"/>
  <c r="X81" i="1"/>
  <c r="AN41" i="1"/>
  <c r="AA99" i="1"/>
  <c r="AS21" i="1"/>
  <c r="AD96" i="1"/>
  <c r="AV18" i="1"/>
  <c r="X102" i="1"/>
  <c r="AP25" i="1" s="1"/>
  <c r="AP41" i="1" s="1"/>
  <c r="AP24" i="1"/>
  <c r="AL41" i="1"/>
  <c r="Z100" i="1"/>
  <c r="AR22" i="1"/>
  <c r="AB98" i="1"/>
  <c r="AT20" i="1"/>
  <c r="AC97" i="1"/>
  <c r="AU19" i="1"/>
  <c r="Y100" i="1"/>
  <c r="AQ22" i="1"/>
  <c r="U122" i="1"/>
  <c r="AM41" i="1"/>
  <c r="T121" i="1"/>
  <c r="AL40" i="1"/>
  <c r="W121" i="1"/>
  <c r="AO40" i="1"/>
  <c r="AM40" i="1"/>
  <c r="U121" i="1"/>
  <c r="AA55" i="1"/>
  <c r="AA79" i="1" s="1"/>
  <c r="AB55" i="1"/>
  <c r="AB79" i="1" s="1"/>
  <c r="X55" i="1"/>
  <c r="X79" i="1" s="1"/>
  <c r="AC55" i="1"/>
  <c r="AC79" i="1" s="1"/>
  <c r="V55" i="1"/>
  <c r="U55" i="1"/>
  <c r="V80" i="1"/>
  <c r="W55" i="1"/>
  <c r="W79" i="1" s="1"/>
  <c r="X80" i="1"/>
  <c r="AD55" i="1"/>
  <c r="Y55" i="1"/>
  <c r="Y79" i="1" s="1"/>
  <c r="AC80" i="1"/>
  <c r="Z55" i="1"/>
  <c r="Z79" i="1" s="1"/>
  <c r="S81" i="1"/>
  <c r="AD97" i="1" l="1"/>
  <c r="AV19" i="1"/>
  <c r="AC98" i="1"/>
  <c r="AU20" i="1"/>
  <c r="AB99" i="1"/>
  <c r="AT21" i="1"/>
  <c r="AA100" i="1"/>
  <c r="AA120" i="1" s="1"/>
  <c r="AS22" i="1"/>
  <c r="Z101" i="1"/>
  <c r="AR23" i="1"/>
  <c r="Y101" i="1"/>
  <c r="AQ23" i="1"/>
  <c r="AQ39" i="1" s="1"/>
  <c r="X122" i="1"/>
  <c r="S122" i="1"/>
  <c r="V121" i="1"/>
  <c r="AN40" i="1"/>
  <c r="X121" i="1"/>
  <c r="AP40" i="1"/>
  <c r="Z120" i="1"/>
  <c r="AR39" i="1"/>
  <c r="Y120" i="1"/>
  <c r="AO39" i="1"/>
  <c r="W120" i="1"/>
  <c r="X120" i="1"/>
  <c r="AP39" i="1"/>
  <c r="AC54" i="1"/>
  <c r="AC78" i="1" s="1"/>
  <c r="Y54" i="1"/>
  <c r="Y78" i="1" s="1"/>
  <c r="AD54" i="1"/>
  <c r="AD78" i="1" s="1"/>
  <c r="AA54" i="1"/>
  <c r="AA78" i="1" s="1"/>
  <c r="Z54" i="1"/>
  <c r="X54" i="1"/>
  <c r="X78" i="1" s="1"/>
  <c r="AE80" i="1"/>
  <c r="AB54" i="1"/>
  <c r="V79" i="1"/>
  <c r="W54" i="1"/>
  <c r="W78" i="1" s="1"/>
  <c r="V54" i="1"/>
  <c r="V78" i="1" s="1"/>
  <c r="U79" i="1"/>
  <c r="AD79" i="1"/>
  <c r="AE81" i="1"/>
  <c r="AK63" i="1" l="1"/>
  <c r="AL63" i="1" s="1"/>
  <c r="AK62" i="1"/>
  <c r="AL62" i="1" s="1"/>
  <c r="AA101" i="1"/>
  <c r="AS23" i="1"/>
  <c r="AS39" i="1" s="1"/>
  <c r="AC99" i="1"/>
  <c r="AU21" i="1"/>
  <c r="AB100" i="1"/>
  <c r="AT22" i="1"/>
  <c r="Y102" i="1"/>
  <c r="AQ24" i="1"/>
  <c r="AQ40" i="1" s="1"/>
  <c r="Y121" i="1"/>
  <c r="Z102" i="1"/>
  <c r="AR24" i="1"/>
  <c r="AR40" i="1" s="1"/>
  <c r="Z121" i="1"/>
  <c r="AD98" i="1"/>
  <c r="AV20" i="1"/>
  <c r="AN39" i="1"/>
  <c r="V120" i="1"/>
  <c r="AM39" i="1"/>
  <c r="U120" i="1"/>
  <c r="W119" i="1"/>
  <c r="AO38" i="1"/>
  <c r="Y119" i="1"/>
  <c r="AQ38" i="1"/>
  <c r="X119" i="1"/>
  <c r="AP38" i="1"/>
  <c r="AA119" i="1"/>
  <c r="AS38" i="1"/>
  <c r="V119" i="1"/>
  <c r="AN38" i="1"/>
  <c r="W53" i="1"/>
  <c r="W77" i="1" s="1"/>
  <c r="Z53" i="1"/>
  <c r="Z77" i="1" s="1"/>
  <c r="AE79" i="1"/>
  <c r="AB53" i="1"/>
  <c r="AB77" i="1" s="1"/>
  <c r="X53" i="1"/>
  <c r="Y53" i="1"/>
  <c r="Y77" i="1" s="1"/>
  <c r="Z78" i="1"/>
  <c r="AD53" i="1"/>
  <c r="AD77" i="1" s="1"/>
  <c r="AC53" i="1"/>
  <c r="AC77" i="1" s="1"/>
  <c r="AB78" i="1"/>
  <c r="AA53" i="1"/>
  <c r="AA77" i="1" s="1"/>
  <c r="AD99" i="1" l="1"/>
  <c r="AV21" i="1"/>
  <c r="AB101" i="1"/>
  <c r="AT23" i="1"/>
  <c r="AT39" i="1" s="1"/>
  <c r="AB120" i="1"/>
  <c r="AR25" i="1"/>
  <c r="AR41" i="1" s="1"/>
  <c r="Z122" i="1"/>
  <c r="AC100" i="1"/>
  <c r="AU22" i="1"/>
  <c r="AU38" i="1" s="1"/>
  <c r="AC119" i="1"/>
  <c r="AA102" i="1"/>
  <c r="AS24" i="1"/>
  <c r="AS40" i="1" s="1"/>
  <c r="AA121" i="1"/>
  <c r="AQ25" i="1"/>
  <c r="AQ41" i="1" s="1"/>
  <c r="Y122" i="1"/>
  <c r="Z119" i="1"/>
  <c r="AR38" i="1"/>
  <c r="AT38" i="1"/>
  <c r="AB119" i="1"/>
  <c r="AQ37" i="1"/>
  <c r="Y118" i="1"/>
  <c r="AC118" i="1"/>
  <c r="AU37" i="1"/>
  <c r="Z118" i="1"/>
  <c r="AR37" i="1"/>
  <c r="AB118" i="1"/>
  <c r="AT37" i="1"/>
  <c r="AA118" i="1"/>
  <c r="AS37" i="1"/>
  <c r="AD118" i="1"/>
  <c r="AO37" i="1"/>
  <c r="W118" i="1"/>
  <c r="X52" i="1"/>
  <c r="X76" i="1" s="1"/>
  <c r="AC52" i="1"/>
  <c r="AC76" i="1" s="1"/>
  <c r="X77" i="1"/>
  <c r="AE77" i="1" s="1"/>
  <c r="Y52" i="1"/>
  <c r="Z52" i="1"/>
  <c r="AA52" i="1"/>
  <c r="AA76" i="1" s="1"/>
  <c r="AB52" i="1"/>
  <c r="AB76" i="1" s="1"/>
  <c r="AD52" i="1"/>
  <c r="AE78" i="1"/>
  <c r="AC101" i="1" l="1"/>
  <c r="AU23" i="1"/>
  <c r="AU39" i="1" s="1"/>
  <c r="AC120" i="1"/>
  <c r="AS25" i="1"/>
  <c r="AS41" i="1" s="1"/>
  <c r="AA122" i="1"/>
  <c r="AB102" i="1"/>
  <c r="AT24" i="1"/>
  <c r="AT40" i="1" s="1"/>
  <c r="AB121" i="1"/>
  <c r="AD100" i="1"/>
  <c r="AV22" i="1"/>
  <c r="AD119" i="1"/>
  <c r="AE119" i="1" s="1"/>
  <c r="AP37" i="1"/>
  <c r="X118" i="1"/>
  <c r="AE118" i="1" s="1"/>
  <c r="AS36" i="1"/>
  <c r="AA117" i="1"/>
  <c r="AT36" i="1"/>
  <c r="AB117" i="1"/>
  <c r="AU36" i="1"/>
  <c r="AC117" i="1"/>
  <c r="X117" i="1"/>
  <c r="AP36" i="1"/>
  <c r="AD51" i="1"/>
  <c r="Z51" i="1"/>
  <c r="Z75" i="1" s="1"/>
  <c r="AC51" i="1"/>
  <c r="AC75" i="1" s="1"/>
  <c r="Z76" i="1"/>
  <c r="AA51" i="1"/>
  <c r="AD76" i="1"/>
  <c r="Y76" i="1"/>
  <c r="AB51" i="1"/>
  <c r="Y51" i="1"/>
  <c r="Y75" i="1" s="1"/>
  <c r="AT25" i="1" l="1"/>
  <c r="AT41" i="1" s="1"/>
  <c r="AB122" i="1"/>
  <c r="AD101" i="1"/>
  <c r="AV23" i="1"/>
  <c r="AD120" i="1"/>
  <c r="AE120" i="1" s="1"/>
  <c r="AC102" i="1"/>
  <c r="AU24" i="1"/>
  <c r="AU40" i="1" s="1"/>
  <c r="AC121" i="1"/>
  <c r="AQ36" i="1"/>
  <c r="Y117" i="1"/>
  <c r="AD117" i="1"/>
  <c r="Z117" i="1"/>
  <c r="AR36" i="1"/>
  <c r="AC116" i="1"/>
  <c r="AU35" i="1"/>
  <c r="AR35" i="1"/>
  <c r="Z116" i="1"/>
  <c r="AQ35" i="1"/>
  <c r="Y116" i="1"/>
  <c r="AD50" i="1"/>
  <c r="AD74" i="1" s="1"/>
  <c r="AC50" i="1"/>
  <c r="AC74" i="1" s="1"/>
  <c r="AA50" i="1"/>
  <c r="AA74" i="1" s="1"/>
  <c r="AD75" i="1"/>
  <c r="Z50" i="1"/>
  <c r="Z74" i="1" s="1"/>
  <c r="AA75" i="1"/>
  <c r="AB50" i="1"/>
  <c r="AB75" i="1"/>
  <c r="AE76" i="1"/>
  <c r="AE117" i="1" l="1"/>
  <c r="AU25" i="1"/>
  <c r="AU41" i="1" s="1"/>
  <c r="AC122" i="1"/>
  <c r="AD102" i="1"/>
  <c r="AV24" i="1"/>
  <c r="AD121" i="1"/>
  <c r="AE121" i="1" s="1"/>
  <c r="AB116" i="1"/>
  <c r="AT35" i="1"/>
  <c r="AA116" i="1"/>
  <c r="AS35" i="1"/>
  <c r="AD116" i="1"/>
  <c r="Z115" i="1"/>
  <c r="AR34" i="1"/>
  <c r="AS34" i="1"/>
  <c r="AA115" i="1"/>
  <c r="AC115" i="1"/>
  <c r="AU34" i="1"/>
  <c r="AD115" i="1"/>
  <c r="AE75" i="1"/>
  <c r="AC49" i="1"/>
  <c r="AC73" i="1" s="1"/>
  <c r="AB74" i="1"/>
  <c r="AB49" i="1"/>
  <c r="AD49" i="1"/>
  <c r="AA49" i="1"/>
  <c r="AA73" i="1" s="1"/>
  <c r="AE116" i="1" l="1"/>
  <c r="AV25" i="1"/>
  <c r="AD122" i="1"/>
  <c r="AE122" i="1" s="1"/>
  <c r="AB115" i="1"/>
  <c r="AE115" i="1" s="1"/>
  <c r="AT34" i="1"/>
  <c r="AU33" i="1"/>
  <c r="AC114" i="1"/>
  <c r="AA114" i="1"/>
  <c r="AS33" i="1"/>
  <c r="AD48" i="1"/>
  <c r="AD72" i="1" s="1"/>
  <c r="AE74" i="1"/>
  <c r="AD73" i="1"/>
  <c r="AC48" i="1"/>
  <c r="AC72" i="1" s="1"/>
  <c r="AB73" i="1"/>
  <c r="AB48" i="1"/>
  <c r="AB72" i="1" s="1"/>
  <c r="AD114" i="1" l="1"/>
  <c r="AB114" i="1"/>
  <c r="AT33" i="1"/>
  <c r="AB113" i="1"/>
  <c r="AT32" i="1"/>
  <c r="AC113" i="1"/>
  <c r="AU32" i="1"/>
  <c r="AD113" i="1"/>
  <c r="AC47" i="1"/>
  <c r="AC71" i="1" s="1"/>
  <c r="AD47" i="1"/>
  <c r="AD71" i="1" s="1"/>
  <c r="AE73" i="1"/>
  <c r="AE72" i="1"/>
  <c r="AE114" i="1" l="1"/>
  <c r="AD46" i="1"/>
  <c r="AD70" i="1" s="1"/>
  <c r="AE113" i="1"/>
  <c r="AC112" i="1"/>
  <c r="AU31" i="1"/>
  <c r="AD112" i="1"/>
  <c r="AE71" i="1"/>
  <c r="AE112" i="1" l="1"/>
  <c r="AD111" i="1"/>
  <c r="AE111" i="1" s="1"/>
  <c r="AE70" i="1"/>
  <c r="AE82" i="1" s="1"/>
  <c r="AE123" i="1" l="1"/>
  <c r="AK45" i="1" l="1"/>
  <c r="AK46" i="1"/>
  <c r="AK47" i="1" l="1"/>
</calcChain>
</file>

<file path=xl/sharedStrings.xml><?xml version="1.0" encoding="utf-8"?>
<sst xmlns="http://schemas.openxmlformats.org/spreadsheetml/2006/main" count="142" uniqueCount="63">
  <si>
    <t/>
  </si>
  <si>
    <t xml:space="preserve">Importo sinistri pagati </t>
  </si>
  <si>
    <t>(in EURO .000)</t>
  </si>
  <si>
    <t>Anno di sviluppo</t>
  </si>
  <si>
    <t>Anno di</t>
  </si>
  <si>
    <t>1</t>
  </si>
  <si>
    <t>2</t>
  </si>
  <si>
    <t>3</t>
  </si>
  <si>
    <t>4</t>
  </si>
  <si>
    <t>5</t>
  </si>
  <si>
    <t>6</t>
  </si>
  <si>
    <t>7</t>
  </si>
  <si>
    <t>12+</t>
  </si>
  <si>
    <t>generazione</t>
  </si>
  <si>
    <t>Numero sinistri pagati</t>
  </si>
  <si>
    <t>Numero sinistrii</t>
  </si>
  <si>
    <t>denunciati</t>
  </si>
  <si>
    <t>ni</t>
  </si>
  <si>
    <t>Importi sinistri riservati</t>
  </si>
  <si>
    <t>Numero sinistri riservati</t>
  </si>
  <si>
    <t>Veloc.liquid. PRESCELTA:</t>
  </si>
  <si>
    <t>Veloc.liquid. da bilancio (N):</t>
  </si>
  <si>
    <t xml:space="preserve">                -</t>
  </si>
  <si>
    <t xml:space="preserve">                   -</t>
  </si>
  <si>
    <t xml:space="preserve">                 -</t>
  </si>
  <si>
    <t xml:space="preserve">                    -</t>
  </si>
  <si>
    <t xml:space="preserve">                  -</t>
  </si>
  <si>
    <t>Aliq. prescelte:</t>
  </si>
  <si>
    <t>Stima velocità di liquidazione sinistri a riserva</t>
  </si>
  <si>
    <t>Numero sinistri</t>
  </si>
  <si>
    <t>a riserva</t>
  </si>
  <si>
    <t>con seguito</t>
  </si>
  <si>
    <t>Totale</t>
  </si>
  <si>
    <t>Stima numero sinistri liquidati</t>
  </si>
  <si>
    <t>% Con Seguito</t>
  </si>
  <si>
    <t>A Ris. al 31.12</t>
  </si>
  <si>
    <t>Anno pagam.</t>
  </si>
  <si>
    <t>Stima Costi Medi futuri (inflazionati)</t>
  </si>
  <si>
    <t>(in EURO)</t>
  </si>
  <si>
    <t>Riserva sinistri</t>
  </si>
  <si>
    <t>Stimata</t>
  </si>
  <si>
    <t>Stima Pagamenti Futuri (a costo ultimo)</t>
  </si>
  <si>
    <t>Costi Medi Pagato (CMP)</t>
  </si>
  <si>
    <t>FISHER-LANGE</t>
  </si>
  <si>
    <t>Ris al 31.12</t>
  </si>
  <si>
    <t>DATI</t>
  </si>
  <si>
    <t>Fisher Lange</t>
  </si>
  <si>
    <t>Aliquote con seguito</t>
  </si>
  <si>
    <t>Inflazione</t>
  </si>
  <si>
    <t>sigma q</t>
  </si>
  <si>
    <t>cz</t>
  </si>
  <si>
    <t>a2z</t>
  </si>
  <si>
    <t>Collective Risk Model</t>
  </si>
  <si>
    <t>Var X poisson Pura</t>
  </si>
  <si>
    <t>Sqm Riserva</t>
  </si>
  <si>
    <t>Media Riserva</t>
  </si>
  <si>
    <t>CV</t>
  </si>
  <si>
    <t>sigma r</t>
  </si>
  <si>
    <t>Riserva</t>
  </si>
  <si>
    <t>Total</t>
  </si>
  <si>
    <t>Mean</t>
  </si>
  <si>
    <t>Sqm</t>
  </si>
  <si>
    <t>Sqm (calcolo alternativo)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</si>
</sst>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  <numFmt numFmtId="166" formatCode="0.000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2060"/>
      <name val="Arial"/>
      <family val="2"/>
    </font>
    <font>
      <b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164" fontId="0" fillId="0" borderId="0" xfId="1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1" applyNumberFormat="1" applyFont="1" applyAlignment="1">
      <alignment horizontal="center"/>
    </xf>
    <xf numFmtId="164" fontId="4" fillId="0" borderId="0" xfId="1" applyNumberFormat="1" applyFont="1"/>
    <xf numFmtId="0" fontId="4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4" fillId="0" borderId="3" xfId="0" applyFont="1" applyBorder="1"/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0" fillId="4" borderId="0" xfId="0" applyFill="1"/>
    <xf numFmtId="164" fontId="2" fillId="4" borderId="0" xfId="1" applyNumberFormat="1" applyFont="1" applyFill="1"/>
    <xf numFmtId="0" fontId="6" fillId="0" borderId="0" xfId="0" applyFont="1" applyAlignment="1">
      <alignment horizontal="center" vertical="center"/>
    </xf>
    <xf numFmtId="0" fontId="1" fillId="0" borderId="0" xfId="0" applyFont="1"/>
    <xf numFmtId="164" fontId="0" fillId="0" borderId="3" xfId="1" applyNumberFormat="1" applyFont="1" applyBorder="1" applyProtection="1">
      <protection locked="0"/>
    </xf>
    <xf numFmtId="164" fontId="0" fillId="0" borderId="4" xfId="1" applyNumberFormat="1" applyFont="1" applyBorder="1" applyProtection="1">
      <protection locked="0"/>
    </xf>
    <xf numFmtId="164" fontId="0" fillId="5" borderId="5" xfId="1" applyNumberFormat="1" applyFont="1" applyFill="1" applyBorder="1" applyProtection="1">
      <protection locked="0"/>
    </xf>
    <xf numFmtId="164" fontId="0" fillId="0" borderId="6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4" xfId="1" applyNumberFormat="1" applyFont="1" applyBorder="1" applyProtection="1">
      <protection locked="0"/>
    </xf>
    <xf numFmtId="164" fontId="0" fillId="0" borderId="9" xfId="1" applyNumberFormat="1" applyFont="1" applyBorder="1" applyProtection="1">
      <protection locked="0"/>
    </xf>
    <xf numFmtId="3" fontId="0" fillId="0" borderId="2" xfId="0" applyNumberFormat="1" applyBorder="1" applyProtection="1">
      <protection locked="0"/>
    </xf>
    <xf numFmtId="3" fontId="0" fillId="0" borderId="15" xfId="0" applyNumberFormat="1" applyBorder="1" applyProtection="1">
      <protection locked="0"/>
    </xf>
    <xf numFmtId="164" fontId="0" fillId="0" borderId="5" xfId="1" applyNumberFormat="1" applyFont="1" applyBorder="1" applyProtection="1">
      <protection locked="0"/>
    </xf>
    <xf numFmtId="3" fontId="0" fillId="0" borderId="3" xfId="0" applyNumberFormat="1" applyBorder="1" applyProtection="1">
      <protection locked="0"/>
    </xf>
    <xf numFmtId="3" fontId="0" fillId="0" borderId="4" xfId="0" applyNumberFormat="1" applyBorder="1" applyProtection="1">
      <protection locked="0"/>
    </xf>
    <xf numFmtId="3" fontId="0" fillId="0" borderId="5" xfId="0" applyNumberFormat="1" applyBorder="1" applyProtection="1">
      <protection locked="0"/>
    </xf>
    <xf numFmtId="3" fontId="0" fillId="0" borderId="0" xfId="0" applyNumberFormat="1" applyProtection="1">
      <protection locked="0"/>
    </xf>
    <xf numFmtId="3" fontId="0" fillId="0" borderId="6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3" fontId="0" fillId="0" borderId="8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4" xfId="0" applyBorder="1" applyProtection="1">
      <protection locked="0"/>
    </xf>
    <xf numFmtId="3" fontId="0" fillId="2" borderId="4" xfId="0" applyNumberFormat="1" applyFill="1" applyBorder="1" applyProtection="1">
      <protection locked="0"/>
    </xf>
    <xf numFmtId="3" fontId="0" fillId="0" borderId="1" xfId="0" applyNumberFormat="1" applyBorder="1" applyProtection="1">
      <protection locked="0"/>
    </xf>
    <xf numFmtId="43" fontId="0" fillId="0" borderId="0" xfId="1" applyFont="1" applyBorder="1" applyProtection="1">
      <protection locked="0"/>
    </xf>
    <xf numFmtId="43" fontId="0" fillId="0" borderId="14" xfId="1" applyFont="1" applyBorder="1" applyProtection="1">
      <protection locked="0"/>
    </xf>
    <xf numFmtId="165" fontId="0" fillId="0" borderId="3" xfId="1" applyNumberFormat="1" applyFont="1" applyBorder="1" applyAlignment="1" applyProtection="1">
      <alignment horizontal="right"/>
      <protection locked="0"/>
    </xf>
    <xf numFmtId="165" fontId="0" fillId="0" borderId="4" xfId="1" applyNumberFormat="1" applyFont="1" applyBorder="1" applyAlignment="1" applyProtection="1">
      <alignment horizontal="right"/>
      <protection locked="0"/>
    </xf>
    <xf numFmtId="165" fontId="0" fillId="0" borderId="5" xfId="1" applyNumberFormat="1" applyFont="1" applyBorder="1" applyAlignment="1" applyProtection="1">
      <alignment horizontal="right"/>
      <protection locked="0"/>
    </xf>
    <xf numFmtId="3" fontId="0" fillId="0" borderId="7" xfId="0" applyNumberFormat="1" applyBorder="1" applyProtection="1">
      <protection locked="0"/>
    </xf>
    <xf numFmtId="165" fontId="0" fillId="0" borderId="6" xfId="1" applyNumberFormat="1" applyFont="1" applyBorder="1" applyAlignment="1" applyProtection="1">
      <alignment horizontal="right"/>
      <protection locked="0"/>
    </xf>
    <xf numFmtId="165" fontId="0" fillId="0" borderId="0" xfId="1" applyNumberFormat="1" applyFont="1" applyBorder="1" applyAlignment="1" applyProtection="1">
      <alignment horizontal="right"/>
      <protection locked="0"/>
    </xf>
    <xf numFmtId="165" fontId="0" fillId="0" borderId="7" xfId="1" applyNumberFormat="1" applyFont="1" applyBorder="1" applyAlignment="1" applyProtection="1">
      <alignment horizontal="right"/>
      <protection locked="0"/>
    </xf>
    <xf numFmtId="165" fontId="0" fillId="0" borderId="8" xfId="1" applyNumberFormat="1" applyFont="1" applyBorder="1" applyAlignment="1" applyProtection="1">
      <alignment horizontal="right"/>
      <protection locked="0"/>
    </xf>
    <xf numFmtId="165" fontId="0" fillId="0" borderId="14" xfId="1" applyNumberFormat="1" applyFont="1" applyBorder="1" applyAlignment="1" applyProtection="1">
      <protection locked="0"/>
    </xf>
    <xf numFmtId="0" fontId="3" fillId="0" borderId="8" xfId="0" applyFont="1" applyBorder="1" applyProtection="1">
      <protection locked="0"/>
    </xf>
    <xf numFmtId="3" fontId="3" fillId="0" borderId="13" xfId="0" applyNumberFormat="1" applyFont="1" applyBorder="1" applyProtection="1">
      <protection locked="0"/>
    </xf>
    <xf numFmtId="3" fontId="0" fillId="2" borderId="3" xfId="0" applyNumberFormat="1" applyFill="1" applyBorder="1" applyProtection="1">
      <protection locked="0"/>
    </xf>
    <xf numFmtId="3" fontId="0" fillId="2" borderId="6" xfId="0" applyNumberFormat="1" applyFill="1" applyBorder="1" applyProtection="1">
      <protection locked="0"/>
    </xf>
    <xf numFmtId="3" fontId="0" fillId="2" borderId="0" xfId="0" applyNumberFormat="1" applyFill="1" applyProtection="1">
      <protection locked="0"/>
    </xf>
    <xf numFmtId="3" fontId="0" fillId="2" borderId="8" xfId="0" applyNumberFormat="1" applyFill="1" applyBorder="1" applyProtection="1">
      <protection locked="0"/>
    </xf>
    <xf numFmtId="3" fontId="0" fillId="0" borderId="14" xfId="0" applyNumberFormat="1" applyBorder="1" applyProtection="1">
      <protection locked="0"/>
    </xf>
    <xf numFmtId="3" fontId="0" fillId="0" borderId="9" xfId="0" applyNumberFormat="1" applyBorder="1" applyProtection="1">
      <protection locked="0"/>
    </xf>
    <xf numFmtId="166" fontId="5" fillId="0" borderId="10" xfId="0" applyNumberFormat="1" applyFont="1" applyBorder="1" applyProtection="1">
      <protection locked="0"/>
    </xf>
    <xf numFmtId="166" fontId="5" fillId="0" borderId="11" xfId="0" applyNumberFormat="1" applyFont="1" applyBorder="1" applyProtection="1">
      <protection locked="0"/>
    </xf>
    <xf numFmtId="166" fontId="5" fillId="0" borderId="12" xfId="0" applyNumberFormat="1" applyFont="1" applyBorder="1" applyProtection="1">
      <protection locked="0"/>
    </xf>
    <xf numFmtId="164" fontId="0" fillId="2" borderId="3" xfId="1" applyNumberFormat="1" applyFont="1" applyFill="1" applyBorder="1" applyProtection="1">
      <protection locked="0"/>
    </xf>
    <xf numFmtId="164" fontId="0" fillId="2" borderId="4" xfId="1" applyNumberFormat="1" applyFont="1" applyFill="1" applyBorder="1" applyProtection="1">
      <protection locked="0"/>
    </xf>
    <xf numFmtId="164" fontId="0" fillId="2" borderId="6" xfId="1" applyNumberFormat="1" applyFont="1" applyFill="1" applyBorder="1" applyProtection="1">
      <protection locked="0"/>
    </xf>
    <xf numFmtId="164" fontId="0" fillId="2" borderId="0" xfId="1" applyNumberFormat="1" applyFont="1" applyFill="1" applyBorder="1" applyProtection="1">
      <protection locked="0"/>
    </xf>
    <xf numFmtId="3" fontId="0" fillId="6" borderId="0" xfId="0" applyNumberFormat="1" applyFill="1" applyProtection="1">
      <protection locked="0"/>
    </xf>
    <xf numFmtId="3" fontId="5" fillId="6" borderId="10" xfId="0" applyNumberFormat="1" applyFont="1" applyFill="1" applyBorder="1" applyProtection="1">
      <protection locked="0"/>
    </xf>
    <xf numFmtId="164" fontId="0" fillId="0" borderId="0" xfId="0" applyNumberFormat="1"/>
    <xf numFmtId="10" fontId="0" fillId="0" borderId="0" xfId="2" applyNumberFormat="1" applyFont="1" applyBorder="1" applyProtection="1">
      <protection locked="0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3" fontId="0" fillId="3" borderId="0" xfId="0" applyNumberFormat="1" applyFill="1"/>
    <xf numFmtId="43" fontId="0" fillId="3" borderId="0" xfId="1" applyFont="1" applyFill="1"/>
    <xf numFmtId="43" fontId="0" fillId="0" borderId="10" xfId="1" applyFont="1" applyBorder="1"/>
    <xf numFmtId="10" fontId="0" fillId="6" borderId="16" xfId="2" applyNumberFormat="1" applyFont="1" applyFill="1" applyBorder="1" applyProtection="1">
      <protection locked="0"/>
    </xf>
    <xf numFmtId="10" fontId="0" fillId="6" borderId="21" xfId="2" applyNumberFormat="1" applyFont="1" applyFill="1" applyBorder="1" applyProtection="1">
      <protection locked="0"/>
    </xf>
    <xf numFmtId="10" fontId="0" fillId="0" borderId="21" xfId="2" applyNumberFormat="1" applyFont="1" applyBorder="1" applyProtection="1">
      <protection locked="0"/>
    </xf>
    <xf numFmtId="10" fontId="0" fillId="0" borderId="17" xfId="2" applyNumberFormat="1" applyFont="1" applyBorder="1" applyProtection="1">
      <protection locked="0"/>
    </xf>
    <xf numFmtId="10" fontId="0" fillId="6" borderId="18" xfId="2" applyNumberFormat="1" applyFont="1" applyFill="1" applyBorder="1" applyProtection="1">
      <protection locked="0"/>
    </xf>
    <xf numFmtId="10" fontId="0" fillId="6" borderId="0" xfId="2" applyNumberFormat="1" applyFont="1" applyFill="1" applyBorder="1" applyProtection="1">
      <protection locked="0"/>
    </xf>
    <xf numFmtId="10" fontId="0" fillId="0" borderId="19" xfId="2" applyNumberFormat="1" applyFont="1" applyBorder="1" applyProtection="1">
      <protection locked="0"/>
    </xf>
    <xf numFmtId="10" fontId="0" fillId="0" borderId="22" xfId="2" applyNumberFormat="1" applyFont="1" applyBorder="1" applyProtection="1">
      <protection locked="0"/>
    </xf>
    <xf numFmtId="10" fontId="0" fillId="0" borderId="23" xfId="2" applyNumberFormat="1" applyFont="1" applyBorder="1" applyProtection="1">
      <protection locked="0"/>
    </xf>
    <xf numFmtId="10" fontId="0" fillId="0" borderId="20" xfId="2" applyNumberFormat="1" applyFont="1" applyBorder="1" applyProtection="1">
      <protection locked="0"/>
    </xf>
    <xf numFmtId="10" fontId="0" fillId="0" borderId="11" xfId="2" applyNumberFormat="1" applyFont="1" applyBorder="1" applyProtection="1">
      <protection locked="0"/>
    </xf>
    <xf numFmtId="10" fontId="0" fillId="0" borderId="12" xfId="2" applyNumberFormat="1" applyFont="1" applyBorder="1" applyProtection="1">
      <protection locked="0"/>
    </xf>
    <xf numFmtId="10" fontId="0" fillId="2" borderId="0" xfId="2" applyNumberFormat="1" applyFont="1" applyFill="1" applyBorder="1" applyProtection="1">
      <protection locked="0"/>
    </xf>
    <xf numFmtId="10" fontId="0" fillId="0" borderId="2" xfId="2" applyNumberFormat="1" applyFont="1" applyBorder="1" applyProtection="1">
      <protection locked="0"/>
    </xf>
    <xf numFmtId="10" fontId="3" fillId="3" borderId="0" xfId="2" applyNumberFormat="1" applyFont="1" applyFill="1"/>
    <xf numFmtId="10" fontId="0" fillId="0" borderId="0" xfId="2" applyNumberFormat="1" applyFont="1"/>
    <xf numFmtId="3" fontId="3" fillId="3" borderId="0" xfId="0" applyNumberFormat="1" applyFont="1" applyFill="1"/>
    <xf numFmtId="43" fontId="0" fillId="0" borderId="0" xfId="1" applyFo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0" fillId="3" borderId="0" xfId="1" applyNumberFormat="1" applyFont="1" applyFill="1" applyAlignment="1">
      <alignment horizontal="center"/>
    </xf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23"/>
  <sheetViews>
    <sheetView tabSelected="1" zoomScale="75" zoomScaleNormal="75" workbookViewId="0"/>
  </sheetViews>
  <sheetFormatPr defaultRowHeight="13" x14ac:dyDescent="0.6"/>
  <cols>
    <col min="1" max="1" width="9.26953125" style="1" bestFit="1" customWidth="1"/>
    <col min="2" max="2" width="13.1796875" style="1" bestFit="1" customWidth="1"/>
    <col min="3" max="3" width="12.453125" style="1" bestFit="1" customWidth="1"/>
    <col min="4" max="4" width="12.1796875" style="1" bestFit="1" customWidth="1"/>
    <col min="5" max="6" width="12" style="1" bestFit="1" customWidth="1"/>
    <col min="7" max="7" width="11.26953125" style="1" bestFit="1" customWidth="1"/>
    <col min="8" max="8" width="11.1796875" style="1" bestFit="1" customWidth="1"/>
    <col min="9" max="9" width="11.26953125" style="1" bestFit="1" customWidth="1"/>
    <col min="10" max="10" width="11" style="1" bestFit="1" customWidth="1"/>
    <col min="11" max="11" width="10.7265625" style="1" bestFit="1" customWidth="1"/>
    <col min="12" max="12" width="10.54296875" style="1" bestFit="1" customWidth="1"/>
    <col min="13" max="13" width="10.7265625" style="1" bestFit="1" customWidth="1"/>
    <col min="14" max="14" width="10.54296875" style="1" bestFit="1" customWidth="1"/>
    <col min="15" max="15" width="18.453125" style="1" bestFit="1" customWidth="1"/>
    <col min="16" max="16" width="9.1796875" style="24"/>
    <col min="17" max="17" width="16.453125" customWidth="1"/>
    <col min="18" max="18" width="14.26953125" customWidth="1"/>
    <col min="19" max="19" width="13" bestFit="1" customWidth="1"/>
    <col min="20" max="20" width="16.453125" customWidth="1"/>
    <col min="21" max="21" width="11.54296875" bestFit="1" customWidth="1"/>
    <col min="22" max="22" width="11.26953125" bestFit="1" customWidth="1"/>
    <col min="23" max="23" width="11.1796875" bestFit="1" customWidth="1"/>
    <col min="24" max="25" width="11.54296875" bestFit="1" customWidth="1"/>
    <col min="26" max="26" width="11.1796875" bestFit="1" customWidth="1"/>
    <col min="27" max="27" width="11.453125" bestFit="1" customWidth="1"/>
    <col min="28" max="29" width="11.54296875" bestFit="1" customWidth="1"/>
    <col min="30" max="30" width="11.26953125" bestFit="1" customWidth="1"/>
    <col min="31" max="31" width="16" customWidth="1"/>
    <col min="32" max="32" width="15.1796875" customWidth="1"/>
    <col min="33" max="33" width="16.81640625" bestFit="1" customWidth="1"/>
    <col min="34" max="34" width="16.81640625" customWidth="1"/>
    <col min="36" max="36" width="12.36328125" bestFit="1" customWidth="1"/>
    <col min="37" max="37" width="16.1796875" bestFit="1" customWidth="1"/>
    <col min="39" max="39" width="12.7265625" bestFit="1" customWidth="1"/>
    <col min="40" max="40" width="16.1796875" bestFit="1" customWidth="1"/>
  </cols>
  <sheetData>
    <row r="1" spans="1:50" x14ac:dyDescent="0.6">
      <c r="D1" s="107" t="s">
        <v>45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Q1" s="107" t="s">
        <v>46</v>
      </c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J1" s="105" t="s">
        <v>52</v>
      </c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</row>
    <row r="2" spans="1:50" x14ac:dyDescent="0.6">
      <c r="C2" s="1" t="s">
        <v>0</v>
      </c>
      <c r="D2" s="5" t="s">
        <v>1</v>
      </c>
      <c r="I2" s="1" t="s">
        <v>2</v>
      </c>
      <c r="T2" s="6" t="s">
        <v>14</v>
      </c>
      <c r="AE2" s="17" t="s">
        <v>15</v>
      </c>
      <c r="AH2" s="23"/>
    </row>
    <row r="3" spans="1:50" x14ac:dyDescent="0.6">
      <c r="B3" s="1" t="s">
        <v>3</v>
      </c>
      <c r="R3" t="s">
        <v>3</v>
      </c>
      <c r="AE3" s="17" t="s">
        <v>16</v>
      </c>
      <c r="AH3" s="23"/>
    </row>
    <row r="4" spans="1:50" x14ac:dyDescent="0.6">
      <c r="A4" s="1" t="s">
        <v>4</v>
      </c>
      <c r="B4" s="4">
        <v>0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>
        <v>8</v>
      </c>
      <c r="K4" s="4">
        <v>9</v>
      </c>
      <c r="L4" s="4">
        <v>10</v>
      </c>
      <c r="M4" s="4">
        <v>11</v>
      </c>
      <c r="N4" s="4" t="s">
        <v>12</v>
      </c>
      <c r="Q4" t="s">
        <v>4</v>
      </c>
      <c r="R4" s="3">
        <v>0</v>
      </c>
      <c r="S4" s="3">
        <v>1</v>
      </c>
      <c r="T4" s="3">
        <v>2</v>
      </c>
      <c r="U4" s="3">
        <v>3</v>
      </c>
      <c r="V4" s="3">
        <v>4</v>
      </c>
      <c r="W4" s="3">
        <v>5</v>
      </c>
      <c r="X4" s="3">
        <v>6</v>
      </c>
      <c r="Y4" s="3">
        <v>7</v>
      </c>
      <c r="Z4" s="3">
        <v>8</v>
      </c>
      <c r="AA4" s="3">
        <v>9</v>
      </c>
      <c r="AB4" s="3">
        <v>10</v>
      </c>
      <c r="AC4" s="3">
        <v>11</v>
      </c>
      <c r="AD4" s="3" t="s">
        <v>12</v>
      </c>
      <c r="AE4" s="3" t="s">
        <v>17</v>
      </c>
      <c r="AH4" s="23"/>
    </row>
    <row r="5" spans="1:50" x14ac:dyDescent="0.6">
      <c r="A5" s="1" t="s">
        <v>13</v>
      </c>
      <c r="B5"/>
      <c r="C5"/>
      <c r="D5"/>
      <c r="E5"/>
      <c r="F5"/>
      <c r="G5"/>
      <c r="H5"/>
      <c r="I5"/>
      <c r="J5"/>
      <c r="K5"/>
      <c r="L5"/>
      <c r="M5"/>
      <c r="N5"/>
      <c r="Q5" t="s">
        <v>13</v>
      </c>
      <c r="AE5" s="2"/>
      <c r="AH5" s="23"/>
      <c r="AJ5" s="26" t="s">
        <v>57</v>
      </c>
      <c r="AK5">
        <v>0</v>
      </c>
    </row>
    <row r="6" spans="1:50" x14ac:dyDescent="0.6">
      <c r="A6" s="4">
        <v>1993</v>
      </c>
      <c r="B6" s="27">
        <v>28446.238239999999</v>
      </c>
      <c r="C6" s="28">
        <v>29251.193380000001</v>
      </c>
      <c r="D6" s="28">
        <v>12463.98379</v>
      </c>
      <c r="E6" s="28">
        <v>5144.0852889999996</v>
      </c>
      <c r="F6" s="28">
        <v>2726.947823</v>
      </c>
      <c r="G6" s="28">
        <v>2359.3624620000001</v>
      </c>
      <c r="H6" s="28">
        <v>1333.8561050000001</v>
      </c>
      <c r="I6" s="28">
        <v>1238.4299739999999</v>
      </c>
      <c r="J6" s="28">
        <v>941.4404753</v>
      </c>
      <c r="K6" s="28">
        <v>860.06389149999995</v>
      </c>
      <c r="L6" s="28">
        <v>281.86967870000001</v>
      </c>
      <c r="M6" s="28">
        <v>727.14206979999994</v>
      </c>
      <c r="N6" s="29">
        <f>M50</f>
        <v>1068.0881139999999</v>
      </c>
      <c r="Q6" s="3">
        <v>1993</v>
      </c>
      <c r="R6" s="39">
        <f>+B28</f>
        <v>34432.894189999999</v>
      </c>
      <c r="S6" s="40">
        <f t="shared" ref="S6:AD16" si="0">+C28</f>
        <v>13796.24447</v>
      </c>
      <c r="T6" s="40">
        <f t="shared" si="0"/>
        <v>1589.4056129999999</v>
      </c>
      <c r="U6" s="40">
        <f t="shared" si="0"/>
        <v>568.13866129999997</v>
      </c>
      <c r="V6" s="40">
        <f t="shared" si="0"/>
        <v>277.9564871</v>
      </c>
      <c r="W6" s="40">
        <f t="shared" si="0"/>
        <v>151.63362100000001</v>
      </c>
      <c r="X6" s="40">
        <f t="shared" si="0"/>
        <v>103.6978751</v>
      </c>
      <c r="Y6" s="40">
        <f t="shared" si="0"/>
        <v>54.677061430000002</v>
      </c>
      <c r="Z6" s="40">
        <f t="shared" si="0"/>
        <v>29.53818261</v>
      </c>
      <c r="AA6" s="40">
        <f t="shared" si="0"/>
        <v>31.423598519999999</v>
      </c>
      <c r="AB6" s="40">
        <f t="shared" si="0"/>
        <v>17.597215169999998</v>
      </c>
      <c r="AC6" s="40">
        <f t="shared" si="0"/>
        <v>19.255203420000001</v>
      </c>
      <c r="AD6" s="41">
        <f t="shared" si="0"/>
        <v>36.137138299999997</v>
      </c>
      <c r="AE6" s="42">
        <f>+O28</f>
        <v>57133</v>
      </c>
      <c r="AH6" s="23"/>
      <c r="AJ6" t="s">
        <v>49</v>
      </c>
      <c r="AK6" s="83">
        <v>0.08</v>
      </c>
    </row>
    <row r="7" spans="1:50" x14ac:dyDescent="0.6">
      <c r="A7" s="4">
        <v>1994</v>
      </c>
      <c r="B7" s="30">
        <v>31963.048289999999</v>
      </c>
      <c r="C7" s="31">
        <v>36106.295209999997</v>
      </c>
      <c r="D7" s="31">
        <v>13441.33311</v>
      </c>
      <c r="E7" s="31">
        <v>5868.2346319999997</v>
      </c>
      <c r="F7" s="31">
        <v>2881.972323</v>
      </c>
      <c r="G7" s="31">
        <v>2421.9878960000001</v>
      </c>
      <c r="H7" s="31">
        <v>918.0040391</v>
      </c>
      <c r="I7" s="31">
        <v>1075.9783399999999</v>
      </c>
      <c r="J7" s="31">
        <v>733.74102549999998</v>
      </c>
      <c r="K7" s="31">
        <v>458.15606639999999</v>
      </c>
      <c r="L7" s="31">
        <v>456.27065049999999</v>
      </c>
      <c r="M7" s="31">
        <v>0</v>
      </c>
      <c r="N7" s="32">
        <v>0</v>
      </c>
      <c r="Q7" s="3">
        <v>1994</v>
      </c>
      <c r="R7" s="43">
        <f t="shared" ref="R7:R17" si="1">+B29</f>
        <v>35475.043080000003</v>
      </c>
      <c r="S7" s="42">
        <f t="shared" si="0"/>
        <v>13717.51534</v>
      </c>
      <c r="T7" s="42">
        <f t="shared" si="0"/>
        <v>1500.8483570000001</v>
      </c>
      <c r="U7" s="42">
        <f t="shared" si="0"/>
        <v>547.65603020000003</v>
      </c>
      <c r="V7" s="42">
        <f t="shared" si="0"/>
        <v>209.480818</v>
      </c>
      <c r="W7" s="42">
        <f t="shared" si="0"/>
        <v>133.72216979999999</v>
      </c>
      <c r="X7" s="42">
        <f t="shared" si="0"/>
        <v>50.848937560000003</v>
      </c>
      <c r="Y7" s="42">
        <f t="shared" si="0"/>
        <v>43.99303793</v>
      </c>
      <c r="Z7" s="42">
        <f t="shared" si="0"/>
        <v>26.710058740000001</v>
      </c>
      <c r="AA7" s="42">
        <f t="shared" si="0"/>
        <v>20.111103050000001</v>
      </c>
      <c r="AB7" s="42">
        <f t="shared" si="0"/>
        <v>15.796867069999999</v>
      </c>
      <c r="AC7" s="44"/>
      <c r="AD7" s="45"/>
      <c r="AE7" s="42">
        <f t="shared" ref="AE7:AE17" si="2">+O29</f>
        <v>57896</v>
      </c>
      <c r="AH7" s="23"/>
    </row>
    <row r="8" spans="1:50" x14ac:dyDescent="0.6">
      <c r="A8" s="4">
        <v>1995</v>
      </c>
      <c r="B8" s="30">
        <v>37774.740230000003</v>
      </c>
      <c r="C8" s="31">
        <v>40125.390780000002</v>
      </c>
      <c r="D8" s="31">
        <v>12951.1764</v>
      </c>
      <c r="E8" s="31">
        <v>6033.7554639999998</v>
      </c>
      <c r="F8" s="31">
        <v>3009.6558559999999</v>
      </c>
      <c r="G8" s="31">
        <v>1264.3962670000001</v>
      </c>
      <c r="H8" s="31">
        <v>1249.9525169999999</v>
      </c>
      <c r="I8" s="31">
        <v>1134.7061430000001</v>
      </c>
      <c r="J8" s="31">
        <v>904.3711654</v>
      </c>
      <c r="K8" s="31">
        <v>559.3400537</v>
      </c>
      <c r="L8" s="31">
        <v>0</v>
      </c>
      <c r="M8" s="31">
        <v>0</v>
      </c>
      <c r="N8" s="32">
        <v>0</v>
      </c>
      <c r="Q8" s="3">
        <v>1995</v>
      </c>
      <c r="R8" s="43">
        <f t="shared" si="1"/>
        <v>37003.91747</v>
      </c>
      <c r="S8" s="42">
        <f t="shared" si="0"/>
        <v>13820.35557</v>
      </c>
      <c r="T8" s="42">
        <f t="shared" si="0"/>
        <v>1526.872652</v>
      </c>
      <c r="U8" s="42">
        <f t="shared" si="0"/>
        <v>436.47378350000002</v>
      </c>
      <c r="V8" s="42">
        <f t="shared" si="0"/>
        <v>193.56936690000001</v>
      </c>
      <c r="W8" s="42">
        <f t="shared" si="0"/>
        <v>71.960040609999993</v>
      </c>
      <c r="X8" s="42">
        <f t="shared" si="0"/>
        <v>45.506925809999998</v>
      </c>
      <c r="Y8" s="42">
        <f t="shared" si="0"/>
        <v>29.22394662</v>
      </c>
      <c r="Z8" s="42">
        <f t="shared" si="0"/>
        <v>16.824642829999998</v>
      </c>
      <c r="AA8" s="42">
        <f t="shared" si="0"/>
        <v>16.824642829999998</v>
      </c>
      <c r="AB8" s="44"/>
      <c r="AC8" s="44"/>
      <c r="AD8" s="45"/>
      <c r="AE8" s="42">
        <f t="shared" si="2"/>
        <v>58721</v>
      </c>
      <c r="AH8" s="23"/>
      <c r="AJ8" t="s">
        <v>50</v>
      </c>
      <c r="AK8">
        <v>1</v>
      </c>
      <c r="AL8">
        <v>2</v>
      </c>
      <c r="AM8">
        <f>AL8+1</f>
        <v>3</v>
      </c>
      <c r="AN8">
        <f t="shared" ref="AN8:AV8" si="3">AM8+1</f>
        <v>4</v>
      </c>
      <c r="AO8">
        <f t="shared" si="3"/>
        <v>5</v>
      </c>
      <c r="AP8">
        <f t="shared" si="3"/>
        <v>6</v>
      </c>
      <c r="AQ8">
        <f t="shared" si="3"/>
        <v>7</v>
      </c>
      <c r="AR8">
        <f t="shared" si="3"/>
        <v>8</v>
      </c>
      <c r="AS8">
        <f t="shared" si="3"/>
        <v>9</v>
      </c>
      <c r="AT8">
        <f t="shared" si="3"/>
        <v>10</v>
      </c>
      <c r="AU8">
        <f t="shared" si="3"/>
        <v>11</v>
      </c>
      <c r="AV8">
        <f t="shared" si="3"/>
        <v>12</v>
      </c>
    </row>
    <row r="9" spans="1:50" x14ac:dyDescent="0.6">
      <c r="A9" s="4">
        <v>1996</v>
      </c>
      <c r="B9" s="30">
        <v>40417.57213</v>
      </c>
      <c r="C9" s="31">
        <v>44498.942239999997</v>
      </c>
      <c r="D9" s="31">
        <v>15370.423629999999</v>
      </c>
      <c r="E9" s="31">
        <v>5593.8535460000003</v>
      </c>
      <c r="F9" s="31">
        <v>2615.5163400000001</v>
      </c>
      <c r="G9" s="31">
        <v>1984.311792</v>
      </c>
      <c r="H9" s="31">
        <v>2136.8046989999998</v>
      </c>
      <c r="I9" s="31">
        <v>1184.3554280000001</v>
      </c>
      <c r="J9" s="31">
        <v>872.63333090000003</v>
      </c>
      <c r="K9" s="31">
        <v>0</v>
      </c>
      <c r="L9" s="31">
        <v>0</v>
      </c>
      <c r="M9" s="31">
        <v>0</v>
      </c>
      <c r="N9" s="32">
        <v>0</v>
      </c>
      <c r="Q9" s="3">
        <v>1996</v>
      </c>
      <c r="R9" s="43">
        <f t="shared" si="1"/>
        <v>37037.999060000002</v>
      </c>
      <c r="S9" s="42">
        <f t="shared" si="0"/>
        <v>13630.61433</v>
      </c>
      <c r="T9" s="42">
        <f t="shared" si="0"/>
        <v>1462.768511</v>
      </c>
      <c r="U9" s="42">
        <f t="shared" si="0"/>
        <v>499.94945250000001</v>
      </c>
      <c r="V9" s="42">
        <f t="shared" si="0"/>
        <v>163.71694830000001</v>
      </c>
      <c r="W9" s="42">
        <f t="shared" si="0"/>
        <v>79.501704259999997</v>
      </c>
      <c r="X9" s="42">
        <f t="shared" si="0"/>
        <v>63.161433029999998</v>
      </c>
      <c r="Y9" s="42">
        <f t="shared" si="0"/>
        <v>39.593734140000002</v>
      </c>
      <c r="Z9" s="42">
        <f t="shared" si="0"/>
        <v>26.081586770000001</v>
      </c>
      <c r="AA9" s="44"/>
      <c r="AB9" s="44"/>
      <c r="AC9" s="44"/>
      <c r="AD9" s="45"/>
      <c r="AE9" s="42">
        <f t="shared" si="2"/>
        <v>58248</v>
      </c>
      <c r="AH9" s="23"/>
      <c r="AK9">
        <v>0.5</v>
      </c>
      <c r="AL9">
        <v>0.75</v>
      </c>
      <c r="AM9">
        <v>1</v>
      </c>
      <c r="AN9">
        <v>1.25</v>
      </c>
      <c r="AO9">
        <v>1.5</v>
      </c>
      <c r="AP9">
        <v>2</v>
      </c>
      <c r="AQ9">
        <v>2.5</v>
      </c>
      <c r="AR9">
        <v>3</v>
      </c>
      <c r="AS9">
        <v>4</v>
      </c>
      <c r="AT9">
        <v>5</v>
      </c>
      <c r="AU9">
        <v>7</v>
      </c>
      <c r="AV9">
        <v>7</v>
      </c>
    </row>
    <row r="10" spans="1:50" x14ac:dyDescent="0.6">
      <c r="A10" s="4">
        <v>1997</v>
      </c>
      <c r="B10" s="30">
        <v>44116.085709999999</v>
      </c>
      <c r="C10" s="31">
        <v>45490.189570000002</v>
      </c>
      <c r="D10" s="31">
        <v>15339.426369999999</v>
      </c>
      <c r="E10" s="31">
        <v>5478.0767569999998</v>
      </c>
      <c r="F10" s="31">
        <v>2540.6396580000001</v>
      </c>
      <c r="G10" s="31">
        <v>2906.3686269999998</v>
      </c>
      <c r="H10" s="31">
        <v>1294.338023</v>
      </c>
      <c r="I10" s="31">
        <v>1124.3363549999999</v>
      </c>
      <c r="J10" s="31">
        <v>0</v>
      </c>
      <c r="K10" s="31">
        <v>0</v>
      </c>
      <c r="L10" s="31">
        <v>0</v>
      </c>
      <c r="M10" s="31">
        <v>0</v>
      </c>
      <c r="N10" s="32">
        <v>0</v>
      </c>
      <c r="Q10" s="3">
        <v>1997</v>
      </c>
      <c r="R10" s="43">
        <f t="shared" si="1"/>
        <v>36848.594599999997</v>
      </c>
      <c r="S10" s="42">
        <f t="shared" si="0"/>
        <v>13415.99115</v>
      </c>
      <c r="T10" s="42">
        <f t="shared" si="0"/>
        <v>1563.6382619999999</v>
      </c>
      <c r="U10" s="42">
        <f t="shared" si="0"/>
        <v>422.33316409999998</v>
      </c>
      <c r="V10" s="42">
        <f t="shared" si="0"/>
        <v>181.9426354</v>
      </c>
      <c r="W10" s="42">
        <f t="shared" si="0"/>
        <v>106.84023500000001</v>
      </c>
      <c r="X10" s="42">
        <f t="shared" si="0"/>
        <v>80.758648199999996</v>
      </c>
      <c r="Y10" s="42">
        <f t="shared" si="0"/>
        <v>41.793386030000001</v>
      </c>
      <c r="Z10" s="44"/>
      <c r="AA10" s="44"/>
      <c r="AB10" s="44"/>
      <c r="AC10" s="44"/>
      <c r="AD10" s="45"/>
      <c r="AE10" s="42">
        <f t="shared" si="2"/>
        <v>57785</v>
      </c>
      <c r="AH10" s="23"/>
    </row>
    <row r="11" spans="1:50" x14ac:dyDescent="0.6">
      <c r="A11" s="4">
        <v>1998</v>
      </c>
      <c r="B11" s="30">
        <v>50294.259669999999</v>
      </c>
      <c r="C11" s="31">
        <v>48040.321559999997</v>
      </c>
      <c r="D11" s="31">
        <v>17842.901760000001</v>
      </c>
      <c r="E11" s="31">
        <v>7035.1991939999998</v>
      </c>
      <c r="F11" s="31">
        <v>3933.6060630000002</v>
      </c>
      <c r="G11" s="31">
        <v>2725.6829360000002</v>
      </c>
      <c r="H11" s="31">
        <v>2266.5998731499999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2">
        <v>0</v>
      </c>
      <c r="Q11" s="3">
        <v>1998</v>
      </c>
      <c r="R11" s="43">
        <f t="shared" si="1"/>
        <v>39171.45652</v>
      </c>
      <c r="S11" s="42">
        <f t="shared" si="0"/>
        <v>12600.863009999999</v>
      </c>
      <c r="T11" s="42">
        <f t="shared" si="0"/>
        <v>1591.9195010000001</v>
      </c>
      <c r="U11" s="42">
        <f t="shared" si="0"/>
        <v>559.3400537</v>
      </c>
      <c r="V11" s="42">
        <f t="shared" si="0"/>
        <v>273.07107109999998</v>
      </c>
      <c r="W11" s="42">
        <f t="shared" si="0"/>
        <v>175.3436797</v>
      </c>
      <c r="X11" s="42">
        <f t="shared" si="0"/>
        <v>154.67358039000001</v>
      </c>
      <c r="Y11" s="44"/>
      <c r="Z11" s="44"/>
      <c r="AA11" s="44"/>
      <c r="AB11" s="44"/>
      <c r="AC11" s="44"/>
      <c r="AD11" s="45"/>
      <c r="AE11" s="42">
        <f t="shared" si="2"/>
        <v>59753</v>
      </c>
      <c r="AH11" s="23"/>
    </row>
    <row r="12" spans="1:50" x14ac:dyDescent="0.6">
      <c r="A12" s="4">
        <v>1999</v>
      </c>
      <c r="B12" s="30">
        <v>49619.804179999999</v>
      </c>
      <c r="C12" s="31">
        <v>49991.357649999998</v>
      </c>
      <c r="D12" s="31">
        <v>19570.203659999999</v>
      </c>
      <c r="E12" s="31">
        <v>10047.067150000001</v>
      </c>
      <c r="F12" s="31">
        <v>5749.8900569999996</v>
      </c>
      <c r="G12" s="31">
        <v>3312.6914674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2">
        <v>0</v>
      </c>
      <c r="Q12" s="3">
        <v>1999</v>
      </c>
      <c r="R12" s="43">
        <f t="shared" si="1"/>
        <v>37492.266230000001</v>
      </c>
      <c r="S12" s="42">
        <f t="shared" si="0"/>
        <v>12282.227720000001</v>
      </c>
      <c r="T12" s="42">
        <f t="shared" si="0"/>
        <v>2056.6745230000001</v>
      </c>
      <c r="U12" s="42">
        <f t="shared" si="0"/>
        <v>739.39727319999997</v>
      </c>
      <c r="V12" s="42">
        <f t="shared" si="0"/>
        <v>390.59532960000001</v>
      </c>
      <c r="W12" s="42">
        <f t="shared" si="0"/>
        <v>287</v>
      </c>
      <c r="X12" s="44"/>
      <c r="Y12" s="44"/>
      <c r="Z12" s="44"/>
      <c r="AA12" s="44"/>
      <c r="AB12" s="44"/>
      <c r="AC12" s="44"/>
      <c r="AD12" s="45"/>
      <c r="AE12" s="42">
        <f t="shared" si="2"/>
        <v>58772</v>
      </c>
      <c r="AH12" s="23"/>
      <c r="AI12" t="s">
        <v>51</v>
      </c>
    </row>
    <row r="13" spans="1:50" x14ac:dyDescent="0.6">
      <c r="A13" s="4">
        <v>2000</v>
      </c>
      <c r="B13" s="30">
        <v>46409.720990000002</v>
      </c>
      <c r="C13" s="31">
        <v>49694.294990000002</v>
      </c>
      <c r="D13" s="31">
        <v>20880.666980000002</v>
      </c>
      <c r="E13" s="31">
        <v>8201.5592140000008</v>
      </c>
      <c r="F13" s="31">
        <v>4714.1682499999997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2">
        <v>0</v>
      </c>
      <c r="Q13" s="3">
        <v>2000</v>
      </c>
      <c r="R13" s="43">
        <f t="shared" si="1"/>
        <v>34187.61825</v>
      </c>
      <c r="S13" s="42">
        <f t="shared" si="0"/>
        <v>12245.147870000001</v>
      </c>
      <c r="T13" s="42">
        <f t="shared" si="0"/>
        <v>1937.893321</v>
      </c>
      <c r="U13" s="42">
        <f t="shared" si="0"/>
        <v>761.39379220000001</v>
      </c>
      <c r="V13" s="42">
        <f t="shared" si="0"/>
        <v>295.20472840000002</v>
      </c>
      <c r="W13" s="44"/>
      <c r="X13" s="44"/>
      <c r="Y13" s="44"/>
      <c r="Z13" s="44"/>
      <c r="AA13" s="44"/>
      <c r="AB13" s="44"/>
      <c r="AC13" s="44"/>
      <c r="AD13" s="45"/>
      <c r="AE13" s="42">
        <f t="shared" si="2"/>
        <v>54761</v>
      </c>
      <c r="AH13" s="23"/>
      <c r="AJ13" s="3">
        <v>0</v>
      </c>
      <c r="AK13" s="3">
        <v>1</v>
      </c>
      <c r="AL13" s="3">
        <v>2</v>
      </c>
      <c r="AM13" s="3">
        <v>3</v>
      </c>
      <c r="AN13" s="3">
        <v>4</v>
      </c>
      <c r="AO13" s="3">
        <v>5</v>
      </c>
      <c r="AP13" s="3">
        <v>6</v>
      </c>
      <c r="AQ13" s="3">
        <v>7</v>
      </c>
      <c r="AR13" s="3">
        <v>8</v>
      </c>
      <c r="AS13" s="3">
        <v>9</v>
      </c>
      <c r="AT13" s="3">
        <v>10</v>
      </c>
      <c r="AU13" s="3">
        <v>11</v>
      </c>
      <c r="AV13" s="3">
        <v>12</v>
      </c>
    </row>
    <row r="14" spans="1:50" x14ac:dyDescent="0.6">
      <c r="A14" s="4">
        <v>2001</v>
      </c>
      <c r="B14" s="30">
        <v>48294.757790000003</v>
      </c>
      <c r="C14" s="31">
        <v>49353.589599999999</v>
      </c>
      <c r="D14" s="31">
        <v>18304.246139999999</v>
      </c>
      <c r="E14" s="31">
        <v>8833.4877799999995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2">
        <v>0</v>
      </c>
      <c r="Q14" s="3">
        <v>2001</v>
      </c>
      <c r="R14" s="43">
        <f t="shared" si="1"/>
        <v>31307.643700000001</v>
      </c>
      <c r="S14" s="42">
        <f t="shared" si="0"/>
        <v>10743.09986</v>
      </c>
      <c r="T14" s="42">
        <f t="shared" si="0"/>
        <v>1907.726666</v>
      </c>
      <c r="U14" s="42">
        <f t="shared" si="0"/>
        <v>638.82776130000002</v>
      </c>
      <c r="V14" s="44"/>
      <c r="W14" s="44"/>
      <c r="X14" s="44"/>
      <c r="Y14" s="44"/>
      <c r="Z14" s="44"/>
      <c r="AA14" s="44"/>
      <c r="AB14" s="44"/>
      <c r="AC14" s="44"/>
      <c r="AD14" s="45"/>
      <c r="AE14" s="42">
        <f t="shared" si="2"/>
        <v>49832</v>
      </c>
      <c r="AH14" s="23"/>
      <c r="AI14" s="3">
        <v>1993</v>
      </c>
      <c r="AJ14" t="str">
        <f t="shared" ref="AJ14:AJ25" si="4">IF($AI14+AJ$13&gt;2004,(AJ$9*R91)^2+R91^2,"")</f>
        <v/>
      </c>
      <c r="AK14" t="str">
        <f t="shared" ref="AK14:AK25" si="5">IF($AI14+AK$13&gt;2004,(AK$9*S91)^2+S91^2,"")</f>
        <v/>
      </c>
      <c r="AL14" t="str">
        <f t="shared" ref="AL14:AL25" si="6">IF($AI14+AL$13&gt;2004,(AL$9*T91)^2+T91^2,"")</f>
        <v/>
      </c>
      <c r="AM14" t="str">
        <f t="shared" ref="AM14:AM25" si="7">IF($AI14+AM$13&gt;2004,(AM$9*U91)^2+U91^2,"")</f>
        <v/>
      </c>
      <c r="AN14" t="str">
        <f t="shared" ref="AN14:AN25" si="8">IF($AI14+AN$13&gt;2004,(AN$9*V91)^2+V91^2,"")</f>
        <v/>
      </c>
      <c r="AO14" t="str">
        <f t="shared" ref="AO14:AO25" si="9">IF($AI14+AO$13&gt;2004,(AO$9*W91)^2+W91^2,"")</f>
        <v/>
      </c>
      <c r="AP14" t="str">
        <f t="shared" ref="AP14:AP25" si="10">IF($AI14+AP$13&gt;2004,(AP$9*X91)^2+X91^2,"")</f>
        <v/>
      </c>
      <c r="AQ14" t="str">
        <f t="shared" ref="AQ14:AQ25" si="11">IF($AI14+AQ$13&gt;2004,(AQ$9*Y91)^2+Y91^2,"")</f>
        <v/>
      </c>
      <c r="AR14" t="str">
        <f t="shared" ref="AR14:AR25" si="12">IF($AI14+AR$13&gt;2004,(AR$9*Z91)^2+Z91^2,"")</f>
        <v/>
      </c>
      <c r="AS14" t="str">
        <f t="shared" ref="AS14:AS25" si="13">IF($AI14+AS$13&gt;2004,(AS$9*AA91)^2+AA91^2,"")</f>
        <v/>
      </c>
      <c r="AT14" t="str">
        <f t="shared" ref="AT14:AT25" si="14">IF($AI14+AT$13&gt;2004,(AT$9*AB91)^2+AB91^2,"")</f>
        <v/>
      </c>
      <c r="AU14" t="str">
        <f t="shared" ref="AU14:AU25" si="15">IF($AI14+AU$13&gt;2004,(AU$9*AC91)^2+AC91^2,"")</f>
        <v/>
      </c>
      <c r="AV14">
        <f t="shared" ref="AV14:AV25" si="16">IF($AI14+AV$13&gt;2004,(AV$9*AD91)^2+AD91^2,"")</f>
        <v>80116885300.569046</v>
      </c>
      <c r="AW14" t="str">
        <f t="shared" ref="AW14:AW25" si="17">IF($AI14+AW$13&gt;2004,(AW$9*AE111)^2+AE111^2,"")</f>
        <v/>
      </c>
      <c r="AX14" t="str">
        <f t="shared" ref="AX14:AX25" si="18">IF($AI14+AX$13&gt;2004,(AX$9*AF120)^2+AF120^2,"")</f>
        <v/>
      </c>
    </row>
    <row r="15" spans="1:50" x14ac:dyDescent="0.6">
      <c r="A15" s="4">
        <v>2002</v>
      </c>
      <c r="B15" s="30">
        <v>52590.220249999998</v>
      </c>
      <c r="C15" s="31">
        <v>50605.82</v>
      </c>
      <c r="D15" s="31">
        <v>18603.713029999999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2">
        <v>0</v>
      </c>
      <c r="Q15" s="3">
        <v>2002</v>
      </c>
      <c r="R15" s="43">
        <f t="shared" si="1"/>
        <v>30356.739580000001</v>
      </c>
      <c r="S15" s="42">
        <f t="shared" si="0"/>
        <v>10117.45602</v>
      </c>
      <c r="T15" s="42">
        <f t="shared" si="0"/>
        <v>1611.0564939999999</v>
      </c>
      <c r="U15" s="44"/>
      <c r="V15" s="44"/>
      <c r="W15" s="44"/>
      <c r="X15" s="44"/>
      <c r="Y15" s="44"/>
      <c r="Z15" s="44"/>
      <c r="AA15" s="44"/>
      <c r="AB15" s="44"/>
      <c r="AC15" s="44"/>
      <c r="AD15" s="45"/>
      <c r="AE15" s="42">
        <f t="shared" si="2"/>
        <v>47899</v>
      </c>
      <c r="AH15" s="23"/>
      <c r="AI15" s="3">
        <v>1994</v>
      </c>
      <c r="AJ15" t="str">
        <f t="shared" si="4"/>
        <v/>
      </c>
      <c r="AK15" t="str">
        <f t="shared" si="5"/>
        <v/>
      </c>
      <c r="AL15" t="str">
        <f t="shared" si="6"/>
        <v/>
      </c>
      <c r="AM15" t="str">
        <f t="shared" si="7"/>
        <v/>
      </c>
      <c r="AN15" t="str">
        <f t="shared" si="8"/>
        <v/>
      </c>
      <c r="AO15" t="str">
        <f t="shared" si="9"/>
        <v/>
      </c>
      <c r="AP15" t="str">
        <f t="shared" si="10"/>
        <v/>
      </c>
      <c r="AQ15" t="str">
        <f t="shared" si="11"/>
        <v/>
      </c>
      <c r="AR15" t="str">
        <f t="shared" si="12"/>
        <v/>
      </c>
      <c r="AS15" t="str">
        <f t="shared" si="13"/>
        <v/>
      </c>
      <c r="AT15" t="str">
        <f t="shared" si="14"/>
        <v/>
      </c>
      <c r="AU15">
        <f t="shared" si="15"/>
        <v>80116885300.569046</v>
      </c>
      <c r="AV15">
        <f t="shared" si="16"/>
        <v>88749980422.238556</v>
      </c>
      <c r="AW15" t="str">
        <f t="shared" si="17"/>
        <v/>
      </c>
      <c r="AX15" t="str">
        <f t="shared" si="18"/>
        <v/>
      </c>
    </row>
    <row r="16" spans="1:50" x14ac:dyDescent="0.6">
      <c r="A16" s="4">
        <v>2003</v>
      </c>
      <c r="B16" s="30">
        <v>58599</v>
      </c>
      <c r="C16" s="31">
        <v>53743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2">
        <v>0</v>
      </c>
      <c r="Q16" s="3">
        <v>2003</v>
      </c>
      <c r="R16" s="43">
        <f t="shared" si="1"/>
        <v>30717.083180000001</v>
      </c>
      <c r="S16" s="42">
        <f t="shared" si="0"/>
        <v>11081.48191</v>
      </c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  <c r="AE16" s="42">
        <f t="shared" si="2"/>
        <v>49511</v>
      </c>
      <c r="AH16" s="23"/>
      <c r="AI16" s="3">
        <v>1995</v>
      </c>
      <c r="AJ16" t="str">
        <f t="shared" si="4"/>
        <v/>
      </c>
      <c r="AK16" t="str">
        <f t="shared" si="5"/>
        <v/>
      </c>
      <c r="AL16" t="str">
        <f t="shared" si="6"/>
        <v/>
      </c>
      <c r="AM16" t="str">
        <f t="shared" si="7"/>
        <v/>
      </c>
      <c r="AN16" t="str">
        <f t="shared" si="8"/>
        <v/>
      </c>
      <c r="AO16" t="str">
        <f t="shared" si="9"/>
        <v/>
      </c>
      <c r="AP16" t="str">
        <f t="shared" si="10"/>
        <v/>
      </c>
      <c r="AQ16" t="str">
        <f t="shared" si="11"/>
        <v/>
      </c>
      <c r="AR16" t="str">
        <f t="shared" si="12"/>
        <v/>
      </c>
      <c r="AS16" t="str">
        <f t="shared" si="13"/>
        <v/>
      </c>
      <c r="AT16">
        <f t="shared" si="14"/>
        <v>24371834418.665154</v>
      </c>
      <c r="AU16">
        <f t="shared" si="15"/>
        <v>88749980422.238556</v>
      </c>
      <c r="AV16">
        <f t="shared" si="16"/>
        <v>96917197370.595016</v>
      </c>
      <c r="AW16" t="str">
        <f t="shared" si="17"/>
        <v/>
      </c>
      <c r="AX16" t="str">
        <f t="shared" si="18"/>
        <v/>
      </c>
    </row>
    <row r="17" spans="1:50" x14ac:dyDescent="0.6">
      <c r="A17" s="4">
        <v>2004</v>
      </c>
      <c r="B17" s="33">
        <v>60361.276160000001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5">
        <v>0</v>
      </c>
      <c r="Q17" s="3">
        <v>2004</v>
      </c>
      <c r="R17" s="46">
        <f t="shared" si="1"/>
        <v>30589.517080000001</v>
      </c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42">
        <f t="shared" si="2"/>
        <v>48946</v>
      </c>
      <c r="AH17" s="23"/>
      <c r="AI17" s="3">
        <v>1996</v>
      </c>
      <c r="AJ17" t="str">
        <f t="shared" si="4"/>
        <v/>
      </c>
      <c r="AK17" t="str">
        <f t="shared" si="5"/>
        <v/>
      </c>
      <c r="AL17" t="str">
        <f t="shared" si="6"/>
        <v/>
      </c>
      <c r="AM17" t="str">
        <f t="shared" si="7"/>
        <v/>
      </c>
      <c r="AN17" t="str">
        <f t="shared" si="8"/>
        <v/>
      </c>
      <c r="AO17" t="str">
        <f t="shared" si="9"/>
        <v/>
      </c>
      <c r="AP17" t="str">
        <f t="shared" si="10"/>
        <v/>
      </c>
      <c r="AQ17" t="str">
        <f t="shared" si="11"/>
        <v/>
      </c>
      <c r="AR17" t="str">
        <f t="shared" si="12"/>
        <v/>
      </c>
      <c r="AS17">
        <f t="shared" si="13"/>
        <v>21111582304.443375</v>
      </c>
      <c r="AT17">
        <f t="shared" si="14"/>
        <v>26998051901.241455</v>
      </c>
      <c r="AU17">
        <f t="shared" si="15"/>
        <v>96917197370.595016</v>
      </c>
      <c r="AV17">
        <f t="shared" si="16"/>
        <v>104322276982.19209</v>
      </c>
      <c r="AW17" t="str">
        <f t="shared" si="17"/>
        <v/>
      </c>
      <c r="AX17" t="str">
        <f t="shared" si="18"/>
        <v/>
      </c>
    </row>
    <row r="18" spans="1:50" x14ac:dyDescent="0.6"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H18" s="23"/>
      <c r="AI18" s="3">
        <v>1997</v>
      </c>
      <c r="AJ18" t="str">
        <f t="shared" si="4"/>
        <v/>
      </c>
      <c r="AK18" t="str">
        <f t="shared" si="5"/>
        <v/>
      </c>
      <c r="AL18" t="str">
        <f t="shared" si="6"/>
        <v/>
      </c>
      <c r="AM18" t="str">
        <f t="shared" si="7"/>
        <v/>
      </c>
      <c r="AN18" t="str">
        <f t="shared" si="8"/>
        <v/>
      </c>
      <c r="AO18" t="str">
        <f t="shared" si="9"/>
        <v/>
      </c>
      <c r="AP18" t="str">
        <f t="shared" si="10"/>
        <v/>
      </c>
      <c r="AQ18" t="str">
        <f t="shared" si="11"/>
        <v/>
      </c>
      <c r="AR18">
        <f t="shared" si="12"/>
        <v>12577875897.017218</v>
      </c>
      <c r="AS18">
        <f t="shared" si="13"/>
        <v>23386487245.136562</v>
      </c>
      <c r="AT18">
        <f t="shared" si="14"/>
        <v>29482547627.45319</v>
      </c>
      <c r="AU18">
        <f t="shared" si="15"/>
        <v>104322276982.19209</v>
      </c>
      <c r="AV18">
        <f t="shared" si="16"/>
        <v>110675503650.40753</v>
      </c>
      <c r="AW18" t="str">
        <f t="shared" si="17"/>
        <v/>
      </c>
      <c r="AX18" t="str">
        <f t="shared" si="18"/>
        <v/>
      </c>
    </row>
    <row r="19" spans="1:50" x14ac:dyDescent="0.6">
      <c r="S19" s="6" t="s">
        <v>47</v>
      </c>
      <c r="AH19" s="23"/>
      <c r="AI19" s="3">
        <v>1998</v>
      </c>
      <c r="AJ19" t="str">
        <f t="shared" si="4"/>
        <v/>
      </c>
      <c r="AK19" t="str">
        <f t="shared" si="5"/>
        <v/>
      </c>
      <c r="AL19" t="str">
        <f t="shared" si="6"/>
        <v/>
      </c>
      <c r="AM19" t="str">
        <f t="shared" si="7"/>
        <v/>
      </c>
      <c r="AN19" t="str">
        <f t="shared" si="8"/>
        <v/>
      </c>
      <c r="AO19" t="str">
        <f t="shared" si="9"/>
        <v/>
      </c>
      <c r="AP19" t="str">
        <f t="shared" si="10"/>
        <v/>
      </c>
      <c r="AQ19">
        <f t="shared" si="11"/>
        <v>5895588019.2167835</v>
      </c>
      <c r="AR19">
        <f t="shared" si="12"/>
        <v>13933220636.645182</v>
      </c>
      <c r="AS19">
        <f t="shared" si="13"/>
        <v>25538628733.870247</v>
      </c>
      <c r="AT19">
        <f t="shared" si="14"/>
        <v>31735198532.1133</v>
      </c>
      <c r="AU19">
        <f t="shared" si="15"/>
        <v>110675503650.40753</v>
      </c>
      <c r="AV19">
        <f t="shared" si="16"/>
        <v>117415641822.71729</v>
      </c>
      <c r="AW19" t="str">
        <f t="shared" si="17"/>
        <v/>
      </c>
      <c r="AX19" t="str">
        <f t="shared" si="18"/>
        <v/>
      </c>
    </row>
    <row r="20" spans="1:50" x14ac:dyDescent="0.6">
      <c r="R20" t="s">
        <v>3</v>
      </c>
      <c r="AH20" s="23"/>
      <c r="AI20" s="3">
        <v>1999</v>
      </c>
      <c r="AJ20" t="str">
        <f t="shared" si="4"/>
        <v/>
      </c>
      <c r="AK20" t="str">
        <f t="shared" si="5"/>
        <v/>
      </c>
      <c r="AL20" t="str">
        <f t="shared" si="6"/>
        <v/>
      </c>
      <c r="AM20" t="str">
        <f t="shared" si="7"/>
        <v/>
      </c>
      <c r="AN20" t="str">
        <f t="shared" si="8"/>
        <v/>
      </c>
      <c r="AO20" t="str">
        <f t="shared" si="9"/>
        <v/>
      </c>
      <c r="AP20">
        <f t="shared" si="10"/>
        <v>1206421803.926615</v>
      </c>
      <c r="AQ20">
        <f t="shared" si="11"/>
        <v>6530874475.712513</v>
      </c>
      <c r="AR20">
        <f t="shared" si="12"/>
        <v>15215425265.732454</v>
      </c>
      <c r="AS20">
        <f t="shared" si="13"/>
        <v>27489939585.567524</v>
      </c>
      <c r="AT20">
        <f t="shared" si="14"/>
        <v>33667872122.718971</v>
      </c>
      <c r="AU20">
        <f t="shared" si="15"/>
        <v>117415641822.71729</v>
      </c>
      <c r="AV20">
        <f t="shared" si="16"/>
        <v>124566254409.72073</v>
      </c>
      <c r="AW20" t="str">
        <f t="shared" si="17"/>
        <v/>
      </c>
      <c r="AX20" t="str">
        <f t="shared" si="18"/>
        <v/>
      </c>
    </row>
    <row r="21" spans="1:50" x14ac:dyDescent="0.6">
      <c r="Q21" t="s">
        <v>4</v>
      </c>
      <c r="R21" s="3">
        <v>0</v>
      </c>
      <c r="S21" s="3">
        <v>1</v>
      </c>
      <c r="T21" s="3">
        <v>2</v>
      </c>
      <c r="U21" s="3">
        <v>3</v>
      </c>
      <c r="V21" s="3">
        <v>4</v>
      </c>
      <c r="W21" s="3">
        <v>5</v>
      </c>
      <c r="X21" s="3">
        <v>6</v>
      </c>
      <c r="Y21" s="3">
        <v>7</v>
      </c>
      <c r="Z21" s="3">
        <v>8</v>
      </c>
      <c r="AA21" s="3">
        <v>9</v>
      </c>
      <c r="AB21" s="3">
        <v>10</v>
      </c>
      <c r="AC21" s="3">
        <v>11</v>
      </c>
      <c r="AD21" s="3" t="s">
        <v>12</v>
      </c>
      <c r="AH21" s="23"/>
      <c r="AI21" s="3">
        <v>2000</v>
      </c>
      <c r="AJ21" t="str">
        <f t="shared" si="4"/>
        <v/>
      </c>
      <c r="AK21" t="str">
        <f t="shared" si="5"/>
        <v/>
      </c>
      <c r="AL21" t="str">
        <f t="shared" si="6"/>
        <v/>
      </c>
      <c r="AM21" t="str">
        <f t="shared" si="7"/>
        <v/>
      </c>
      <c r="AN21" t="str">
        <f t="shared" si="8"/>
        <v/>
      </c>
      <c r="AO21">
        <f t="shared" si="9"/>
        <v>486511685.70048541</v>
      </c>
      <c r="AP21">
        <f t="shared" si="10"/>
        <v>1336421293.4359827</v>
      </c>
      <c r="AQ21">
        <f t="shared" si="11"/>
        <v>7131878199.3399563</v>
      </c>
      <c r="AR21">
        <f t="shared" si="12"/>
        <v>16377978852.442326</v>
      </c>
      <c r="AS21">
        <f t="shared" si="13"/>
        <v>29164076906.328579</v>
      </c>
      <c r="AT21">
        <f t="shared" si="14"/>
        <v>35718245534.992546</v>
      </c>
      <c r="AU21">
        <f t="shared" si="15"/>
        <v>124566254409.72073</v>
      </c>
      <c r="AV21">
        <f t="shared" si="16"/>
        <v>132152339303.27269</v>
      </c>
      <c r="AW21" t="str">
        <f t="shared" si="17"/>
        <v/>
      </c>
      <c r="AX21" t="str">
        <f t="shared" si="18"/>
        <v/>
      </c>
    </row>
    <row r="22" spans="1:50" ht="13.75" thickBot="1" x14ac:dyDescent="0.75">
      <c r="Q22" t="s">
        <v>13</v>
      </c>
      <c r="AE22" s="26" t="s">
        <v>44</v>
      </c>
      <c r="AH22" s="23"/>
      <c r="AI22" s="3">
        <v>2001</v>
      </c>
      <c r="AJ22" t="str">
        <f t="shared" si="4"/>
        <v/>
      </c>
      <c r="AK22" t="str">
        <f t="shared" si="5"/>
        <v/>
      </c>
      <c r="AL22" t="str">
        <f t="shared" si="6"/>
        <v/>
      </c>
      <c r="AM22" t="str">
        <f t="shared" si="7"/>
        <v/>
      </c>
      <c r="AN22">
        <f t="shared" si="8"/>
        <v>734241863.85001171</v>
      </c>
      <c r="AO22">
        <f t="shared" si="9"/>
        <v>538936360.53274846</v>
      </c>
      <c r="AP22">
        <f t="shared" si="10"/>
        <v>1459405462.9644289</v>
      </c>
      <c r="AQ22">
        <f t="shared" si="11"/>
        <v>7676798268.0082779</v>
      </c>
      <c r="AR22">
        <f t="shared" si="12"/>
        <v>17375397764.556057</v>
      </c>
      <c r="AS22">
        <f t="shared" si="13"/>
        <v>30940169189.923977</v>
      </c>
      <c r="AT22">
        <f t="shared" si="14"/>
        <v>37893486688.073586</v>
      </c>
      <c r="AU22">
        <f t="shared" si="15"/>
        <v>132152339303.27269</v>
      </c>
      <c r="AV22">
        <f t="shared" si="16"/>
        <v>140200416766.84195</v>
      </c>
      <c r="AW22" t="str">
        <f t="shared" si="17"/>
        <v/>
      </c>
      <c r="AX22" t="str">
        <f t="shared" si="18"/>
        <v/>
      </c>
    </row>
    <row r="23" spans="1:50" x14ac:dyDescent="0.6">
      <c r="Q23" s="3">
        <v>1993</v>
      </c>
      <c r="R23" s="87">
        <f>(SUM(S6:$AC6)+$AE23)/B72</f>
        <v>0.85482375285042578</v>
      </c>
      <c r="S23" s="88">
        <f>(SUM(T6:$AC6)+$AE23)/C72</f>
        <v>0.71310273788114231</v>
      </c>
      <c r="T23" s="88">
        <f>(SUM(U6:$AC6)+$AE23)/D72</f>
        <v>0.93858486132206254</v>
      </c>
      <c r="U23" s="88">
        <f>(SUM(V6:$AC6)+$AE23)/E72</f>
        <v>0.99238452796981724</v>
      </c>
      <c r="V23" s="88">
        <f>(SUM(W6:$AC6)+$AE23)/F72</f>
        <v>0.9977565091491003</v>
      </c>
      <c r="W23" s="88">
        <f>(SUM(X6:$AC6)+$AE23)/G72</f>
        <v>1.0100719347273239</v>
      </c>
      <c r="X23" s="88">
        <f>(SUM(Y6:$AC6)+$AE23)/H72</f>
        <v>1.0494340072529174</v>
      </c>
      <c r="Y23" s="88">
        <f>(SUM(Z6:$AC6)+$AE23)/I72</f>
        <v>1.0737437080619945</v>
      </c>
      <c r="Z23" s="88">
        <f>(SUM(AA6:$AC6)+$AE23)/J72</f>
        <v>1.064987987248565</v>
      </c>
      <c r="AA23" s="88">
        <f>(SUM(AB6:$AC6)+$AE23)/K72</f>
        <v>1.0323388978374148</v>
      </c>
      <c r="AB23" s="88">
        <f>(SUM(AC6:$AC6)+$AE23)/L72</f>
        <v>1.0308552749392557</v>
      </c>
      <c r="AC23" s="89" t="s">
        <v>22</v>
      </c>
      <c r="AD23" s="90"/>
      <c r="AE23" s="80">
        <f>+M72</f>
        <v>36.137138299999997</v>
      </c>
      <c r="AH23" s="23"/>
      <c r="AI23" s="3">
        <v>2002</v>
      </c>
      <c r="AJ23" t="str">
        <f t="shared" si="4"/>
        <v/>
      </c>
      <c r="AK23" t="str">
        <f t="shared" si="5"/>
        <v/>
      </c>
      <c r="AL23" t="str">
        <f t="shared" si="6"/>
        <v/>
      </c>
      <c r="AM23">
        <f t="shared" si="7"/>
        <v>429673519.93690687</v>
      </c>
      <c r="AN23">
        <f t="shared" si="8"/>
        <v>813361013.69149959</v>
      </c>
      <c r="AO23">
        <f t="shared" si="9"/>
        <v>588531979.11077476</v>
      </c>
      <c r="AP23">
        <f t="shared" si="10"/>
        <v>1570913161.6190553</v>
      </c>
      <c r="AQ23">
        <f t="shared" si="11"/>
        <v>8144315282.5299797</v>
      </c>
      <c r="AR23">
        <f t="shared" si="12"/>
        <v>18433559488.417511</v>
      </c>
      <c r="AS23">
        <f t="shared" si="13"/>
        <v>32824425493.590332</v>
      </c>
      <c r="AT23">
        <f t="shared" si="14"/>
        <v>40201200027.377251</v>
      </c>
      <c r="AU23">
        <f t="shared" si="15"/>
        <v>140200416766.84195</v>
      </c>
      <c r="AV23">
        <f t="shared" si="16"/>
        <v>148738622147.9426</v>
      </c>
      <c r="AW23" t="str">
        <f t="shared" si="17"/>
        <v/>
      </c>
      <c r="AX23" t="str">
        <f t="shared" si="18"/>
        <v/>
      </c>
    </row>
    <row r="24" spans="1:50" x14ac:dyDescent="0.6">
      <c r="D24" s="5" t="s">
        <v>14</v>
      </c>
      <c r="O24" s="20" t="s">
        <v>29</v>
      </c>
      <c r="Q24" s="3">
        <v>1994</v>
      </c>
      <c r="R24" s="91">
        <f>(SUM(S7:$AC7)+$AE24)/B73</f>
        <v>0.867800982667851</v>
      </c>
      <c r="S24" s="92">
        <f>(SUM(T7:$AC7)+$AE24)/C73</f>
        <v>0.7832918549857113</v>
      </c>
      <c r="T24" s="92">
        <f>(SUM(U7:$AC7)+$AE24)/D73</f>
        <v>0.97981593635223008</v>
      </c>
      <c r="U24" s="92">
        <f>(SUM(V7:$AC7)+$AE24)/E73</f>
        <v>1.0276899152809287</v>
      </c>
      <c r="V24" s="92">
        <f>(SUM(W7:$AC7)+$AE24)/F73</f>
        <v>1.0513779259329525</v>
      </c>
      <c r="W24" s="92">
        <f>(SUM(X7:$AC7)+$AE24)/G73</f>
        <v>1.0821143997375355</v>
      </c>
      <c r="X24" s="92">
        <f>(SUM(Y7:$AC7)+$AE24)/H73</f>
        <v>1.0141059953363549</v>
      </c>
      <c r="Y24" s="92">
        <f>(SUM(Z7:$AC7)+$AE24)/I73</f>
        <v>1.0078737051531921</v>
      </c>
      <c r="Z24" s="92">
        <f>(SUM(AA7:$AC7)+$AE24)/J73</f>
        <v>0.98292897527282475</v>
      </c>
      <c r="AA24" s="92">
        <f>(SUM(AB7:$AC7)+$AE24)/K73</f>
        <v>1.0142152307105683</v>
      </c>
      <c r="AB24" s="81" t="s">
        <v>22</v>
      </c>
      <c r="AC24" s="81"/>
      <c r="AD24" s="93"/>
      <c r="AE24" s="80">
        <f>+L73</f>
        <v>43.163173540000003</v>
      </c>
      <c r="AH24" s="23"/>
      <c r="AI24" s="3">
        <v>2003</v>
      </c>
      <c r="AJ24" t="str">
        <f t="shared" si="4"/>
        <v/>
      </c>
      <c r="AK24" t="str">
        <f t="shared" si="5"/>
        <v/>
      </c>
      <c r="AL24">
        <f t="shared" si="6"/>
        <v>234104348.22100747</v>
      </c>
      <c r="AM24">
        <f t="shared" si="7"/>
        <v>475973527.16960841</v>
      </c>
      <c r="AN24">
        <f t="shared" si="8"/>
        <v>888210560.9764595</v>
      </c>
      <c r="AO24">
        <f t="shared" si="9"/>
        <v>633499500.63970757</v>
      </c>
      <c r="AP24">
        <f t="shared" si="10"/>
        <v>1666581773.1616549</v>
      </c>
      <c r="AQ24">
        <f t="shared" si="11"/>
        <v>8640304083.2360497</v>
      </c>
      <c r="AR24">
        <f t="shared" si="12"/>
        <v>19556163261.262127</v>
      </c>
      <c r="AS24">
        <f t="shared" si="13"/>
        <v>34823433006.149963</v>
      </c>
      <c r="AT24">
        <f t="shared" si="14"/>
        <v>42649453109.044518</v>
      </c>
      <c r="AU24">
        <f t="shared" si="15"/>
        <v>148738622147.9426</v>
      </c>
      <c r="AV24">
        <f t="shared" si="16"/>
        <v>157796804236.7522</v>
      </c>
      <c r="AW24" t="str">
        <f t="shared" si="17"/>
        <v/>
      </c>
      <c r="AX24" t="str">
        <f t="shared" si="18"/>
        <v/>
      </c>
    </row>
    <row r="25" spans="1:50" x14ac:dyDescent="0.6">
      <c r="B25" s="1" t="s">
        <v>3</v>
      </c>
      <c r="O25" s="21" t="s">
        <v>16</v>
      </c>
      <c r="Q25" s="3">
        <v>1995</v>
      </c>
      <c r="R25" s="91">
        <f>(SUM(S8:$AC8)+$AE25)/B74</f>
        <v>0.89554377454245027</v>
      </c>
      <c r="S25" s="92">
        <f>(SUM(T8:$AC8)+$AE25)/C74</f>
        <v>0.83680641517336263</v>
      </c>
      <c r="T25" s="92">
        <f>(SUM(U8:$AC8)+$AE25)/D74</f>
        <v>1.0276284372118356</v>
      </c>
      <c r="U25" s="92">
        <f>(SUM(V8:$AC8)+$AE25)/E74</f>
        <v>1.0761437312986035</v>
      </c>
      <c r="V25" s="92">
        <f>(SUM(W8:$AC8)+$AE25)/F74</f>
        <v>1.1787402720218458</v>
      </c>
      <c r="W25" s="92">
        <f>(SUM(X8:$AC8)+$AE25)/G74</f>
        <v>1.148671199211968</v>
      </c>
      <c r="X25" s="92">
        <f>(SUM(Y8:$AC8)+$AE25)/H74</f>
        <v>1.1706290062162765</v>
      </c>
      <c r="Y25" s="92">
        <f>(SUM(Z8:$AC8)+$AE25)/I74</f>
        <v>1.1583476048796109</v>
      </c>
      <c r="Z25" s="92">
        <f>(SUM(AA8:$AC8)+$AE25)/J74</f>
        <v>0.98461208826553193</v>
      </c>
      <c r="AA25" s="81" t="s">
        <v>22</v>
      </c>
      <c r="AB25" s="81"/>
      <c r="AC25" s="81"/>
      <c r="AD25" s="93"/>
      <c r="AE25" s="80">
        <f>+K74</f>
        <v>51.161433029999998</v>
      </c>
      <c r="AH25" s="23"/>
      <c r="AI25" s="3">
        <v>2004</v>
      </c>
      <c r="AJ25" t="str">
        <f t="shared" si="4"/>
        <v/>
      </c>
      <c r="AK25">
        <f>IF($AI25+AK$13&gt;2004,(AK$9*S102)^2+S102^2,"")</f>
        <v>33034662.267942339</v>
      </c>
      <c r="AL25">
        <f t="shared" si="6"/>
        <v>259330554.89399749</v>
      </c>
      <c r="AM25">
        <f t="shared" si="7"/>
        <v>519774991.00739157</v>
      </c>
      <c r="AN25">
        <f t="shared" si="8"/>
        <v>956075399.15106738</v>
      </c>
      <c r="AO25">
        <f t="shared" si="9"/>
        <v>672079620.22866559</v>
      </c>
      <c r="AP25">
        <f t="shared" si="10"/>
        <v>1768076603.1471994</v>
      </c>
      <c r="AQ25">
        <f t="shared" si="11"/>
        <v>9166498601.9051247</v>
      </c>
      <c r="AR25">
        <f t="shared" si="12"/>
        <v>20747133603.872986</v>
      </c>
      <c r="AS25">
        <f t="shared" si="13"/>
        <v>36944180076.224487</v>
      </c>
      <c r="AT25">
        <f t="shared" si="14"/>
        <v>45246804803.385307</v>
      </c>
      <c r="AU25">
        <f t="shared" si="15"/>
        <v>157796804236.7522</v>
      </c>
      <c r="AV25">
        <f t="shared" si="16"/>
        <v>167406629614.77036</v>
      </c>
      <c r="AW25" t="str">
        <f t="shared" si="17"/>
        <v/>
      </c>
      <c r="AX25" t="str">
        <f t="shared" si="18"/>
        <v/>
      </c>
    </row>
    <row r="26" spans="1:50" x14ac:dyDescent="0.6">
      <c r="A26" s="1" t="s">
        <v>4</v>
      </c>
      <c r="B26" s="4">
        <v>0</v>
      </c>
      <c r="C26" s="4" t="s">
        <v>5</v>
      </c>
      <c r="D26" s="4" t="s">
        <v>6</v>
      </c>
      <c r="E26" s="4" t="s">
        <v>7</v>
      </c>
      <c r="F26" s="4" t="s">
        <v>8</v>
      </c>
      <c r="G26" s="4" t="s">
        <v>9</v>
      </c>
      <c r="H26" s="4" t="s">
        <v>10</v>
      </c>
      <c r="I26" s="4" t="s">
        <v>11</v>
      </c>
      <c r="J26" s="4">
        <v>8</v>
      </c>
      <c r="K26" s="4">
        <v>9</v>
      </c>
      <c r="L26" s="4">
        <v>10</v>
      </c>
      <c r="M26" s="4">
        <v>11</v>
      </c>
      <c r="N26" s="4" t="s">
        <v>12</v>
      </c>
      <c r="O26" s="22" t="s">
        <v>17</v>
      </c>
      <c r="Q26" s="3">
        <v>1996</v>
      </c>
      <c r="R26" s="91">
        <f>(SUM(S9:$AC9)+$AE26)/B75</f>
        <v>0.9126868008879323</v>
      </c>
      <c r="S26" s="92">
        <f>(SUM(T9:$AC9)+$AE26)/C75</f>
        <v>0.87849815147056498</v>
      </c>
      <c r="T26" s="92">
        <f>(SUM(U9:$AC9)+$AE26)/D75</f>
        <v>1.0712895606587742</v>
      </c>
      <c r="U26" s="92">
        <f>(SUM(V9:$AC9)+$AE26)/E75</f>
        <v>1.1078292970043173</v>
      </c>
      <c r="V26" s="92">
        <f>(SUM(W9:$AC9)+$AE26)/F75</f>
        <v>1.0949012894216692</v>
      </c>
      <c r="W26" s="92">
        <f>(SUM(X9:$AC9)+$AE26)/G75</f>
        <v>1.0947635866037786</v>
      </c>
      <c r="X26" s="92">
        <f>(SUM(Y9:$AC9)+$AE26)/H75</f>
        <v>1.0624463771705419</v>
      </c>
      <c r="Y26" s="92">
        <f>(SUM(Z9:$AC9)+$AE26)/I75</f>
        <v>1.0301817182807147</v>
      </c>
      <c r="Z26" s="81" t="s">
        <v>22</v>
      </c>
      <c r="AA26" s="81"/>
      <c r="AB26" s="81"/>
      <c r="AC26" s="81"/>
      <c r="AD26" s="93"/>
      <c r="AE26" s="80">
        <f>+J75</f>
        <v>65.531220540000007</v>
      </c>
      <c r="AH26" s="23"/>
    </row>
    <row r="27" spans="1:50" x14ac:dyDescent="0.6">
      <c r="A27" s="1" t="s">
        <v>13</v>
      </c>
      <c r="B27"/>
      <c r="C27"/>
      <c r="D27"/>
      <c r="E27"/>
      <c r="F27"/>
      <c r="G27"/>
      <c r="H27"/>
      <c r="I27"/>
      <c r="J27"/>
      <c r="K27"/>
      <c r="L27"/>
      <c r="M27"/>
      <c r="N27"/>
      <c r="O27" s="8"/>
      <c r="Q27" s="3">
        <v>1997</v>
      </c>
      <c r="R27" s="91">
        <f>(SUM(S10:$AC10)+$AE27)/B76</f>
        <v>0.92495589339876183</v>
      </c>
      <c r="S27" s="92">
        <f>(SUM(T10:$AC10)+$AE27)/C76</f>
        <v>0.94609120162970739</v>
      </c>
      <c r="T27" s="92">
        <f>(SUM(U10:$AC10)+$AE27)/D76</f>
        <v>1.0765214403961278</v>
      </c>
      <c r="U27" s="92">
        <f>(SUM(V10:$AC10)+$AE27)/E76</f>
        <v>1.0847609991827709</v>
      </c>
      <c r="V27" s="92">
        <f>(SUM(W10:$AC10)+$AE27)/F76</f>
        <v>1.0442480969362011</v>
      </c>
      <c r="W27" s="92">
        <f>(SUM(X10:$AC10)+$AE27)/G76</f>
        <v>1.0403122468536503</v>
      </c>
      <c r="X27" s="92">
        <f>(SUM(Y10:$AC10)+$AE27)/H76</f>
        <v>1.0216811260993959</v>
      </c>
      <c r="Y27" s="81" t="s">
        <v>22</v>
      </c>
      <c r="Z27" s="81"/>
      <c r="AA27" s="81"/>
      <c r="AB27" s="81"/>
      <c r="AC27" s="81"/>
      <c r="AD27" s="93"/>
      <c r="AE27" s="80">
        <f>+I76</f>
        <v>102.35760388999999</v>
      </c>
      <c r="AH27" s="23"/>
    </row>
    <row r="28" spans="1:50" x14ac:dyDescent="0.6">
      <c r="A28" s="4">
        <v>1993</v>
      </c>
      <c r="B28" s="27">
        <v>34432.894189999999</v>
      </c>
      <c r="C28" s="28">
        <v>13796.24447</v>
      </c>
      <c r="D28" s="28">
        <v>1589.4056129999999</v>
      </c>
      <c r="E28" s="28">
        <v>568.13866129999997</v>
      </c>
      <c r="F28" s="28">
        <v>277.9564871</v>
      </c>
      <c r="G28" s="28">
        <v>151.63362100000001</v>
      </c>
      <c r="H28" s="28">
        <v>103.6978751</v>
      </c>
      <c r="I28" s="28">
        <v>54.677061430000002</v>
      </c>
      <c r="J28" s="28">
        <v>29.53818261</v>
      </c>
      <c r="K28" s="28">
        <v>31.423598519999999</v>
      </c>
      <c r="L28" s="28">
        <v>17.597215169999998</v>
      </c>
      <c r="M28" s="28">
        <v>19.255203420000001</v>
      </c>
      <c r="N28" s="29">
        <f>M72</f>
        <v>36.137138299999997</v>
      </c>
      <c r="O28" s="36">
        <v>57133</v>
      </c>
      <c r="Q28" s="3">
        <v>1998</v>
      </c>
      <c r="R28" s="91">
        <f>(SUM(S11:$AC11)+$AE28)/B77</f>
        <v>0.924021353630885</v>
      </c>
      <c r="S28" s="92">
        <f>(SUM(T11:$AC11)+$AE28)/C77</f>
        <v>0.91474582858434994</v>
      </c>
      <c r="T28" s="92">
        <f>(SUM(U11:$AC11)+$AE28)/D77</f>
        <v>0.99807096417627772</v>
      </c>
      <c r="U28" s="92">
        <f>(SUM(V11:$AC11)+$AE28)/E77</f>
        <v>0.98754391359061466</v>
      </c>
      <c r="V28" s="92">
        <f>(SUM(W11:$AC11)+$AE28)/F77</f>
        <v>0.99799203138497372</v>
      </c>
      <c r="W28" s="92">
        <f>(SUM(X11:$AC11)+$AE28)/G77</f>
        <v>1.0148309455285098</v>
      </c>
      <c r="X28" s="81" t="s">
        <v>23</v>
      </c>
      <c r="Y28" s="81"/>
      <c r="Z28" s="81"/>
      <c r="AA28" s="81"/>
      <c r="AB28" s="81"/>
      <c r="AC28" s="81"/>
      <c r="AD28" s="93"/>
      <c r="AE28" s="80">
        <f>+H77</f>
        <v>145.40793389999999</v>
      </c>
      <c r="AH28" s="23"/>
      <c r="AI28" s="26" t="s">
        <v>53</v>
      </c>
    </row>
    <row r="29" spans="1:50" x14ac:dyDescent="0.6">
      <c r="A29" s="4">
        <v>1994</v>
      </c>
      <c r="B29" s="30">
        <v>35475.043080000003</v>
      </c>
      <c r="C29" s="31">
        <v>13717.51534</v>
      </c>
      <c r="D29" s="31">
        <v>1500.8483570000001</v>
      </c>
      <c r="E29" s="31">
        <v>547.65603020000003</v>
      </c>
      <c r="F29" s="31">
        <v>209.480818</v>
      </c>
      <c r="G29" s="31">
        <v>133.72216979999999</v>
      </c>
      <c r="H29" s="31">
        <v>50.848937560000003</v>
      </c>
      <c r="I29" s="31">
        <v>43.99303793</v>
      </c>
      <c r="J29" s="31">
        <v>26.710058740000001</v>
      </c>
      <c r="K29" s="31">
        <v>20.111103050000001</v>
      </c>
      <c r="L29" s="31">
        <v>15.796867069999999</v>
      </c>
      <c r="M29" s="31">
        <v>0</v>
      </c>
      <c r="N29" s="32">
        <v>0</v>
      </c>
      <c r="O29" s="36">
        <v>57896</v>
      </c>
      <c r="Q29" s="3">
        <v>1999</v>
      </c>
      <c r="R29" s="91">
        <f>(SUM(S12:$AC12)+$AE29)/B78</f>
        <v>0.92350279467158591</v>
      </c>
      <c r="S29" s="92">
        <f>(SUM(T12:$AC12)+$AE29)/C78</f>
        <v>0.86423962286379041</v>
      </c>
      <c r="T29" s="92">
        <f>(SUM(U12:$AC12)+$AE29)/D78</f>
        <v>0.91711891542542368</v>
      </c>
      <c r="U29" s="92">
        <f>(SUM(V12:$AC12)+$AE29)/E78</f>
        <v>0.94913261325438592</v>
      </c>
      <c r="V29" s="92">
        <f>(SUM(W12:$AC12)+$AE29)/F78</f>
        <v>0.9953928692671683</v>
      </c>
      <c r="W29" s="81" t="s">
        <v>22</v>
      </c>
      <c r="X29" s="81"/>
      <c r="Y29" s="81"/>
      <c r="Z29" s="81"/>
      <c r="AA29" s="81"/>
      <c r="AB29" s="81"/>
      <c r="AC29" s="81"/>
      <c r="AD29" s="93"/>
      <c r="AE29" s="80">
        <f>+G78</f>
        <v>325.12662269999998</v>
      </c>
      <c r="AH29" s="23"/>
      <c r="AJ29" s="3">
        <v>0</v>
      </c>
      <c r="AK29" s="3">
        <v>1</v>
      </c>
      <c r="AL29" s="3">
        <v>2</v>
      </c>
      <c r="AM29" s="3">
        <v>3</v>
      </c>
      <c r="AN29" s="3">
        <v>4</v>
      </c>
      <c r="AO29" s="3">
        <v>5</v>
      </c>
      <c r="AP29" s="3">
        <v>6</v>
      </c>
      <c r="AQ29" s="3">
        <v>7</v>
      </c>
      <c r="AR29" s="3">
        <v>8</v>
      </c>
      <c r="AS29" s="3">
        <v>9</v>
      </c>
      <c r="AT29" s="3">
        <v>10</v>
      </c>
      <c r="AU29" s="3">
        <v>11</v>
      </c>
      <c r="AV29" s="3">
        <v>12</v>
      </c>
    </row>
    <row r="30" spans="1:50" x14ac:dyDescent="0.6">
      <c r="A30" s="4">
        <v>1995</v>
      </c>
      <c r="B30" s="30">
        <v>37003.91747</v>
      </c>
      <c r="C30" s="31">
        <v>13820.35557</v>
      </c>
      <c r="D30" s="31">
        <v>1526.872652</v>
      </c>
      <c r="E30" s="31">
        <v>436.47378350000002</v>
      </c>
      <c r="F30" s="31">
        <v>193.56936690000001</v>
      </c>
      <c r="G30" s="31">
        <v>71.960040609999993</v>
      </c>
      <c r="H30" s="31">
        <v>45.506925809999998</v>
      </c>
      <c r="I30" s="31">
        <v>29.22394662</v>
      </c>
      <c r="J30" s="31">
        <v>16.824642829999998</v>
      </c>
      <c r="K30" s="31">
        <v>16.824642829999998</v>
      </c>
      <c r="L30" s="31">
        <v>0</v>
      </c>
      <c r="M30" s="31">
        <v>0</v>
      </c>
      <c r="N30" s="32">
        <v>0</v>
      </c>
      <c r="O30" s="36">
        <v>58721</v>
      </c>
      <c r="Q30" s="3">
        <v>2000</v>
      </c>
      <c r="R30" s="91">
        <f>(SUM(S13:$AC13)+$AE30)/B79</f>
        <v>0.89898140411199223</v>
      </c>
      <c r="S30" s="92">
        <f>(SUM(T13:$AC13)+$AE30)/C79</f>
        <v>0.8506597450706902</v>
      </c>
      <c r="T30" s="92">
        <f>(SUM(U13:$AC13)+$AE30)/D79</f>
        <v>0.92388808438997672</v>
      </c>
      <c r="U30" s="92">
        <f>(SUM(V13:$AC13)+$AE30)/E79</f>
        <v>0.9742207835494634</v>
      </c>
      <c r="V30" s="81" t="s">
        <v>24</v>
      </c>
      <c r="W30" s="81"/>
      <c r="X30" s="81"/>
      <c r="Y30" s="81"/>
      <c r="Z30" s="81"/>
      <c r="AA30" s="81"/>
      <c r="AB30" s="81"/>
      <c r="AC30" s="81"/>
      <c r="AD30" s="93"/>
      <c r="AE30" s="80">
        <f>+F79</f>
        <v>684.73413589999996</v>
      </c>
      <c r="AH30" s="23"/>
      <c r="AI30" s="3">
        <v>1993</v>
      </c>
      <c r="AJ30" t="str">
        <f t="shared" ref="AJ30:AJ41" si="19">IF($AI14+AJ$13&gt;2004,AJ14*R70,"")</f>
        <v/>
      </c>
      <c r="AK30" t="str">
        <f t="shared" ref="AK30:AK41" si="20">IF($AI14+AK$13&gt;2004,AK14*S70,"")</f>
        <v/>
      </c>
      <c r="AL30" t="str">
        <f t="shared" ref="AL30:AL41" si="21">IF($AI14+AL$13&gt;2004,AL14*T70,"")</f>
        <v/>
      </c>
      <c r="AM30" t="str">
        <f t="shared" ref="AM30:AM41" si="22">IF($AI14+AM$13&gt;2004,AM14*U70,"")</f>
        <v/>
      </c>
      <c r="AN30" t="str">
        <f t="shared" ref="AN30:AN41" si="23">IF($AI14+AN$13&gt;2004,AN14*V70,"")</f>
        <v/>
      </c>
      <c r="AO30" t="str">
        <f t="shared" ref="AO30:AO41" si="24">IF($AI14+AO$13&gt;2004,AO14*W70,"")</f>
        <v/>
      </c>
      <c r="AP30" t="str">
        <f t="shared" ref="AP30:AP41" si="25">IF($AI14+AP$13&gt;2004,AP14*X70,"")</f>
        <v/>
      </c>
      <c r="AQ30" t="str">
        <f t="shared" ref="AQ30:AQ41" si="26">IF($AI14+AQ$13&gt;2004,AQ14*Y70,"")</f>
        <v/>
      </c>
      <c r="AR30" t="str">
        <f t="shared" ref="AR30:AR41" si="27">IF($AI14+AR$13&gt;2004,AR14*Z70,"")</f>
        <v/>
      </c>
      <c r="AS30" t="str">
        <f t="shared" ref="AS30:AS41" si="28">IF($AI14+AS$13&gt;2004,AS14*AA70,"")</f>
        <v/>
      </c>
      <c r="AT30" t="str">
        <f t="shared" ref="AT30:AT41" si="29">IF($AI14+AT$13&gt;2004,AT14*AB70,"")</f>
        <v/>
      </c>
      <c r="AU30" t="str">
        <f t="shared" ref="AU30:AU41" si="30">IF($AI14+AU$13&gt;2004,AU14*AC70,"")</f>
        <v/>
      </c>
      <c r="AV30">
        <f t="shared" ref="AV30:AV41" si="31">IF($AI14+AV$13&gt;2004,AV14*AD70,"")</f>
        <v>2895194964271.9004</v>
      </c>
    </row>
    <row r="31" spans="1:50" x14ac:dyDescent="0.6">
      <c r="A31" s="4">
        <v>1996</v>
      </c>
      <c r="B31" s="30">
        <v>37037.999060000002</v>
      </c>
      <c r="C31" s="31">
        <v>13630.61433</v>
      </c>
      <c r="D31" s="31">
        <v>1462.768511</v>
      </c>
      <c r="E31" s="31">
        <v>499.94945250000001</v>
      </c>
      <c r="F31" s="31">
        <v>163.71694830000001</v>
      </c>
      <c r="G31" s="31">
        <v>79.501704259999997</v>
      </c>
      <c r="H31" s="31">
        <v>63.161433029999998</v>
      </c>
      <c r="I31" s="31">
        <v>39.593734140000002</v>
      </c>
      <c r="J31" s="31">
        <v>26.081586770000001</v>
      </c>
      <c r="K31" s="31">
        <v>0</v>
      </c>
      <c r="L31" s="31">
        <v>0</v>
      </c>
      <c r="M31" s="31">
        <v>0</v>
      </c>
      <c r="N31" s="32">
        <v>0</v>
      </c>
      <c r="O31" s="36">
        <v>58248</v>
      </c>
      <c r="Q31" s="3">
        <v>2001</v>
      </c>
      <c r="R31" s="91">
        <f>(SUM(S14:$AC14)+$AE31)/B80</f>
        <v>0.93016765766281262</v>
      </c>
      <c r="S31" s="92">
        <f>(SUM(T14:$AC14)+$AE31)/C80</f>
        <v>0.92890979941537755</v>
      </c>
      <c r="T31" s="92">
        <f>(SUM(U14:$AC14)+$AE31)/D80</f>
        <v>0.93511140364262602</v>
      </c>
      <c r="U31" s="81" t="s">
        <v>25</v>
      </c>
      <c r="V31" s="81"/>
      <c r="W31" s="81"/>
      <c r="X31" s="81"/>
      <c r="Y31" s="81"/>
      <c r="Z31" s="81"/>
      <c r="AA31" s="81"/>
      <c r="AB31" s="81"/>
      <c r="AC31" s="81"/>
      <c r="AD31" s="93"/>
      <c r="AE31" s="80">
        <f>+E80</f>
        <v>1050.4908989999999</v>
      </c>
      <c r="AH31" s="23"/>
      <c r="AI31" s="3">
        <v>1994</v>
      </c>
      <c r="AJ31" t="str">
        <f t="shared" si="19"/>
        <v/>
      </c>
      <c r="AK31" t="str">
        <f t="shared" si="20"/>
        <v/>
      </c>
      <c r="AL31" t="str">
        <f t="shared" si="21"/>
        <v/>
      </c>
      <c r="AM31" t="str">
        <f t="shared" si="22"/>
        <v/>
      </c>
      <c r="AN31" t="str">
        <f t="shared" si="23"/>
        <v/>
      </c>
      <c r="AO31" t="str">
        <f t="shared" si="24"/>
        <v/>
      </c>
      <c r="AP31" t="str">
        <f t="shared" si="25"/>
        <v/>
      </c>
      <c r="AQ31" t="str">
        <f t="shared" si="26"/>
        <v/>
      </c>
      <c r="AR31" t="str">
        <f t="shared" si="27"/>
        <v/>
      </c>
      <c r="AS31" t="str">
        <f t="shared" si="28"/>
        <v/>
      </c>
      <c r="AT31" t="str">
        <f t="shared" si="29"/>
        <v/>
      </c>
      <c r="AU31">
        <f t="shared" si="30"/>
        <v>1239177469312.3921</v>
      </c>
      <c r="AV31">
        <f t="shared" si="31"/>
        <v>2576222472403.7505</v>
      </c>
    </row>
    <row r="32" spans="1:50" x14ac:dyDescent="0.6">
      <c r="A32" s="4">
        <v>1997</v>
      </c>
      <c r="B32" s="30">
        <v>36848.594599999997</v>
      </c>
      <c r="C32" s="31">
        <v>13415.99115</v>
      </c>
      <c r="D32" s="31">
        <v>1563.6382619999999</v>
      </c>
      <c r="E32" s="31">
        <v>422.33316409999998</v>
      </c>
      <c r="F32" s="31">
        <v>181.9426354</v>
      </c>
      <c r="G32" s="31">
        <v>106.84023500000001</v>
      </c>
      <c r="H32" s="31">
        <v>80.758648199999996</v>
      </c>
      <c r="I32" s="31">
        <v>41.793386030000001</v>
      </c>
      <c r="J32" s="31">
        <v>0</v>
      </c>
      <c r="K32" s="31">
        <v>0</v>
      </c>
      <c r="L32" s="31">
        <v>0</v>
      </c>
      <c r="M32" s="31">
        <v>0</v>
      </c>
      <c r="N32" s="32">
        <v>0</v>
      </c>
      <c r="O32" s="36">
        <v>57785</v>
      </c>
      <c r="Q32" s="3">
        <v>2002</v>
      </c>
      <c r="R32" s="91">
        <f>(SUM(S15:$AC15)+$AE32)/B81</f>
        <v>0.9644272927673343</v>
      </c>
      <c r="S32" s="92">
        <f>(SUM(T15:$AC15)+$AE32)/C81</f>
        <v>0.93464857754171471</v>
      </c>
      <c r="T32" s="81" t="s">
        <v>22</v>
      </c>
      <c r="U32" s="81"/>
      <c r="V32" s="81"/>
      <c r="W32" s="81"/>
      <c r="X32" s="81"/>
      <c r="Y32" s="81"/>
      <c r="Z32" s="81"/>
      <c r="AA32" s="81"/>
      <c r="AB32" s="81"/>
      <c r="AC32" s="81"/>
      <c r="AD32" s="93"/>
      <c r="AE32" s="80">
        <f>+D81</f>
        <v>1894.842991</v>
      </c>
      <c r="AH32" s="23"/>
      <c r="AI32" s="3">
        <v>1995</v>
      </c>
      <c r="AJ32" t="str">
        <f t="shared" si="19"/>
        <v/>
      </c>
      <c r="AK32" t="str">
        <f t="shared" si="20"/>
        <v/>
      </c>
      <c r="AL32" t="str">
        <f t="shared" si="21"/>
        <v/>
      </c>
      <c r="AM32" t="str">
        <f t="shared" si="22"/>
        <v/>
      </c>
      <c r="AN32" t="str">
        <f t="shared" si="23"/>
        <v/>
      </c>
      <c r="AO32" t="str">
        <f t="shared" si="24"/>
        <v/>
      </c>
      <c r="AP32" t="str">
        <f t="shared" si="25"/>
        <v/>
      </c>
      <c r="AQ32" t="str">
        <f t="shared" si="26"/>
        <v/>
      </c>
      <c r="AR32" t="str">
        <f t="shared" si="27"/>
        <v/>
      </c>
      <c r="AS32" t="str">
        <f t="shared" si="28"/>
        <v/>
      </c>
      <c r="AT32">
        <f t="shared" si="29"/>
        <v>280214965506.6665</v>
      </c>
      <c r="AU32">
        <f t="shared" si="30"/>
        <v>1260404807759.6831</v>
      </c>
      <c r="AV32">
        <f t="shared" si="31"/>
        <v>2583141987910.0684</v>
      </c>
    </row>
    <row r="33" spans="1:48" x14ac:dyDescent="0.6">
      <c r="A33" s="4">
        <v>1998</v>
      </c>
      <c r="B33" s="30">
        <v>39171.45652</v>
      </c>
      <c r="C33" s="31">
        <v>12600.863009999999</v>
      </c>
      <c r="D33" s="31">
        <v>1591.9195010000001</v>
      </c>
      <c r="E33" s="31">
        <v>559.3400537</v>
      </c>
      <c r="F33" s="31">
        <v>273.07107109999998</v>
      </c>
      <c r="G33" s="31">
        <v>175.3436797</v>
      </c>
      <c r="H33" s="31">
        <v>154.67358039000001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2">
        <v>0</v>
      </c>
      <c r="O33" s="36">
        <v>59753</v>
      </c>
      <c r="Q33" s="3">
        <v>2003</v>
      </c>
      <c r="R33" s="91">
        <f>(SUM(S16:$AC16)+$AE33)/B82</f>
        <v>0.96975155335819119</v>
      </c>
      <c r="S33" s="81" t="s">
        <v>23</v>
      </c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93"/>
      <c r="AE33" s="80">
        <f>+C82</f>
        <v>3930.7779390000001</v>
      </c>
      <c r="AH33" s="23"/>
      <c r="AI33" s="3">
        <v>1996</v>
      </c>
      <c r="AJ33" t="str">
        <f t="shared" si="19"/>
        <v/>
      </c>
      <c r="AK33" t="str">
        <f t="shared" si="20"/>
        <v/>
      </c>
      <c r="AL33" t="str">
        <f t="shared" si="21"/>
        <v/>
      </c>
      <c r="AM33" t="str">
        <f t="shared" si="22"/>
        <v/>
      </c>
      <c r="AN33" t="str">
        <f t="shared" si="23"/>
        <v/>
      </c>
      <c r="AO33" t="str">
        <f t="shared" si="24"/>
        <v/>
      </c>
      <c r="AP33" t="str">
        <f t="shared" si="25"/>
        <v/>
      </c>
      <c r="AQ33" t="str">
        <f t="shared" si="26"/>
        <v/>
      </c>
      <c r="AR33" t="str">
        <f t="shared" si="27"/>
        <v/>
      </c>
      <c r="AS33">
        <f t="shared" si="28"/>
        <v>262075198020.12219</v>
      </c>
      <c r="AT33">
        <f t="shared" si="29"/>
        <v>319159340704.32251</v>
      </c>
      <c r="AU33">
        <f t="shared" si="30"/>
        <v>1415189690784.0679</v>
      </c>
      <c r="AV33">
        <f t="shared" si="31"/>
        <v>2858883865964.895</v>
      </c>
    </row>
    <row r="34" spans="1:48" ht="13.75" thickBot="1" x14ac:dyDescent="0.75">
      <c r="A34" s="4">
        <v>1999</v>
      </c>
      <c r="B34" s="30">
        <v>37492.266230000001</v>
      </c>
      <c r="C34" s="31">
        <v>12282.227720000001</v>
      </c>
      <c r="D34" s="31">
        <v>2056.6745230000001</v>
      </c>
      <c r="E34" s="31">
        <v>739.39727319999997</v>
      </c>
      <c r="F34" s="31">
        <v>390.59532960000001</v>
      </c>
      <c r="G34" s="31">
        <v>287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2">
        <v>0</v>
      </c>
      <c r="O34" s="36">
        <v>58772</v>
      </c>
      <c r="Q34" s="3">
        <v>2004</v>
      </c>
      <c r="R34" s="94" t="s">
        <v>26</v>
      </c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6"/>
      <c r="AE34" s="80">
        <f>+B83</f>
        <v>15177.912319999999</v>
      </c>
      <c r="AH34" s="23"/>
      <c r="AI34" s="3">
        <v>1997</v>
      </c>
      <c r="AJ34" t="str">
        <f t="shared" si="19"/>
        <v/>
      </c>
      <c r="AK34" t="str">
        <f t="shared" si="20"/>
        <v/>
      </c>
      <c r="AL34" t="str">
        <f t="shared" si="21"/>
        <v/>
      </c>
      <c r="AM34" t="str">
        <f t="shared" si="22"/>
        <v/>
      </c>
      <c r="AN34" t="str">
        <f t="shared" si="23"/>
        <v/>
      </c>
      <c r="AO34" t="str">
        <f t="shared" si="24"/>
        <v/>
      </c>
      <c r="AP34" t="str">
        <f t="shared" si="25"/>
        <v/>
      </c>
      <c r="AQ34" t="str">
        <f t="shared" si="26"/>
        <v/>
      </c>
      <c r="AR34">
        <f t="shared" si="27"/>
        <v>311336021296.31085</v>
      </c>
      <c r="AS34">
        <f t="shared" si="28"/>
        <v>370413220030.78241</v>
      </c>
      <c r="AT34">
        <f t="shared" si="29"/>
        <v>444689102459.14459</v>
      </c>
      <c r="AU34">
        <f t="shared" si="30"/>
        <v>1943601446403.2861</v>
      </c>
      <c r="AV34">
        <f t="shared" si="31"/>
        <v>3869789213565.3569</v>
      </c>
    </row>
    <row r="35" spans="1:48" x14ac:dyDescent="0.6">
      <c r="A35" s="4">
        <v>2000</v>
      </c>
      <c r="B35" s="30">
        <v>34187.61825</v>
      </c>
      <c r="C35" s="31">
        <v>12245.147870000001</v>
      </c>
      <c r="D35" s="31">
        <v>1937.893321</v>
      </c>
      <c r="E35" s="31">
        <v>761.39379220000001</v>
      </c>
      <c r="F35" s="31">
        <v>295.20472840000002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2">
        <v>0</v>
      </c>
      <c r="O35" s="36">
        <v>54761</v>
      </c>
      <c r="AH35" s="23"/>
      <c r="AI35" s="3">
        <v>1998</v>
      </c>
      <c r="AJ35" t="str">
        <f t="shared" si="19"/>
        <v/>
      </c>
      <c r="AK35" t="str">
        <f t="shared" si="20"/>
        <v/>
      </c>
      <c r="AL35" t="str">
        <f t="shared" si="21"/>
        <v/>
      </c>
      <c r="AM35" t="str">
        <f t="shared" si="22"/>
        <v/>
      </c>
      <c r="AN35" t="str">
        <f t="shared" si="23"/>
        <v/>
      </c>
      <c r="AO35" t="str">
        <f t="shared" si="24"/>
        <v/>
      </c>
      <c r="AP35" t="str">
        <f t="shared" si="25"/>
        <v/>
      </c>
      <c r="AQ35">
        <f t="shared" si="26"/>
        <v>244263449836.19534</v>
      </c>
      <c r="AR35">
        <f t="shared" si="27"/>
        <v>357390845729.74628</v>
      </c>
      <c r="AS35">
        <f t="shared" si="28"/>
        <v>419168755541.45471</v>
      </c>
      <c r="AT35">
        <f t="shared" si="29"/>
        <v>496023830325.29736</v>
      </c>
      <c r="AU35">
        <f t="shared" si="30"/>
        <v>2136739148867.813</v>
      </c>
      <c r="AV35">
        <f t="shared" si="31"/>
        <v>4254334203029.6934</v>
      </c>
    </row>
    <row r="36" spans="1:48" x14ac:dyDescent="0.6">
      <c r="A36" s="4">
        <v>2001</v>
      </c>
      <c r="B36" s="30">
        <v>31307.643700000001</v>
      </c>
      <c r="C36" s="31">
        <v>10743.09986</v>
      </c>
      <c r="D36" s="31">
        <v>1907.726666</v>
      </c>
      <c r="E36" s="31">
        <v>638.82776130000002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2">
        <v>0</v>
      </c>
      <c r="O36" s="36">
        <v>49832</v>
      </c>
      <c r="Q36" s="86" t="s">
        <v>27</v>
      </c>
      <c r="R36" s="97">
        <f>AVERAGE(R$23:R33)</f>
        <v>0.91515120550456575</v>
      </c>
      <c r="S36" s="97">
        <f>AVERAGE(S$23:S32)</f>
        <v>0.86509939346164111</v>
      </c>
      <c r="T36" s="97">
        <f>AVERAGE(T$23:T31)</f>
        <v>0.98533662261948152</v>
      </c>
      <c r="U36" s="97">
        <f>AVERAGE(U$23:U30)</f>
        <v>1.0249632226413627</v>
      </c>
      <c r="V36" s="97">
        <f>AVERAGE(V$23:V29)</f>
        <v>1.05148699915913</v>
      </c>
      <c r="W36" s="97">
        <f>AVERAGE(W$23:W28)</f>
        <v>1.0651273854437944</v>
      </c>
      <c r="X36" s="97">
        <f>AVERAGE(X$23:X27)</f>
        <v>1.0636593024150973</v>
      </c>
      <c r="Y36" s="97">
        <f>AVERAGE(Y$23:Y26)</f>
        <v>1.067536684093878</v>
      </c>
      <c r="Z36" s="97">
        <f>AVERAGE(Z$23:Z25)</f>
        <v>1.0108430169289739</v>
      </c>
      <c r="AA36" s="97">
        <f>AVERAGE(AA$23:AA24)</f>
        <v>1.0232770642739917</v>
      </c>
      <c r="AB36" s="97">
        <f>AVERAGE(AB$23:AB23)</f>
        <v>1.0308552749392557</v>
      </c>
      <c r="AC36" s="98">
        <v>1</v>
      </c>
      <c r="AH36" s="23"/>
      <c r="AI36" s="3">
        <v>1999</v>
      </c>
      <c r="AJ36" t="str">
        <f t="shared" si="19"/>
        <v/>
      </c>
      <c r="AK36" t="str">
        <f t="shared" si="20"/>
        <v/>
      </c>
      <c r="AL36" t="str">
        <f t="shared" si="21"/>
        <v/>
      </c>
      <c r="AM36" t="str">
        <f t="shared" si="22"/>
        <v/>
      </c>
      <c r="AN36" t="str">
        <f t="shared" si="23"/>
        <v/>
      </c>
      <c r="AO36" t="str">
        <f t="shared" si="24"/>
        <v/>
      </c>
      <c r="AP36">
        <f t="shared" si="25"/>
        <v>204493393151.25293</v>
      </c>
      <c r="AQ36">
        <f t="shared" si="26"/>
        <v>309305367729.35657</v>
      </c>
      <c r="AR36">
        <f t="shared" si="27"/>
        <v>446129320060.86481</v>
      </c>
      <c r="AS36">
        <f t="shared" si="28"/>
        <v>515762634253.1131</v>
      </c>
      <c r="AT36">
        <f t="shared" si="29"/>
        <v>601536178436.92285</v>
      </c>
      <c r="AU36">
        <f t="shared" si="30"/>
        <v>2591258369751.2642</v>
      </c>
      <c r="AV36">
        <f t="shared" si="31"/>
        <v>5159300384027.252</v>
      </c>
    </row>
    <row r="37" spans="1:48" x14ac:dyDescent="0.6">
      <c r="A37" s="4">
        <v>2002</v>
      </c>
      <c r="B37" s="30">
        <v>30356.739580000001</v>
      </c>
      <c r="C37" s="31">
        <v>10117.45602</v>
      </c>
      <c r="D37" s="31">
        <v>1611.0564939999999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2">
        <v>0</v>
      </c>
      <c r="O37" s="36">
        <v>47899</v>
      </c>
      <c r="Q37" s="9" t="s">
        <v>21</v>
      </c>
      <c r="R37" s="49"/>
      <c r="S37" s="50">
        <f>+S16*$AE$17/AE16</f>
        <v>10955.024410067663</v>
      </c>
      <c r="T37" s="50">
        <f>+T15*$AE$17/AE15</f>
        <v>1646.2717625696569</v>
      </c>
      <c r="U37" s="50">
        <f>+U14*$AE$17/AE14</f>
        <v>627.46956984648023</v>
      </c>
      <c r="V37" s="50">
        <f>+V13*$AE$17/AE13</f>
        <v>263.85731882665402</v>
      </c>
      <c r="W37" s="50">
        <f>+W12*$AE$17/AE12</f>
        <v>239.01691281562648</v>
      </c>
      <c r="X37" s="50">
        <f>+X11*$AE$17/AE11</f>
        <v>126.6991291779315</v>
      </c>
      <c r="Y37" s="50">
        <f>+Y10*$AE$17/AE10</f>
        <v>35.40052042267682</v>
      </c>
      <c r="Z37" s="50">
        <f>+Z9*$AE$17/AE9</f>
        <v>21.916449423918763</v>
      </c>
      <c r="AA37" s="50">
        <f>+AA8*$AE$17/AE8</f>
        <v>14.023926158566439</v>
      </c>
      <c r="AB37" s="50">
        <f>+AB7*$AE$17/AE7</f>
        <v>13.354868308833424</v>
      </c>
      <c r="AC37" s="50">
        <f>+AC6*$AE$17/AE6</f>
        <v>16.495986323058826</v>
      </c>
      <c r="AD37" s="50">
        <f>+AD6*$AE$17/AE6</f>
        <v>30.958786887294558</v>
      </c>
      <c r="AE37" s="51">
        <f>SUM(S37:AD37)</f>
        <v>13990.489640828364</v>
      </c>
      <c r="AH37" s="23"/>
      <c r="AI37" s="3">
        <v>2000</v>
      </c>
      <c r="AJ37" t="str">
        <f t="shared" si="19"/>
        <v/>
      </c>
      <c r="AK37" t="str">
        <f t="shared" si="20"/>
        <v/>
      </c>
      <c r="AL37" t="str">
        <f t="shared" si="21"/>
        <v/>
      </c>
      <c r="AM37" t="str">
        <f t="shared" si="22"/>
        <v/>
      </c>
      <c r="AN37" t="str">
        <f t="shared" si="23"/>
        <v/>
      </c>
      <c r="AO37">
        <f t="shared" si="24"/>
        <v>168164693939.33212</v>
      </c>
      <c r="AP37">
        <f t="shared" si="25"/>
        <v>244866813076.30963</v>
      </c>
      <c r="AQ37">
        <f t="shared" si="26"/>
        <v>365112310652.25208</v>
      </c>
      <c r="AR37">
        <f t="shared" si="27"/>
        <v>519090900541.7135</v>
      </c>
      <c r="AS37">
        <f t="shared" si="28"/>
        <v>591467333199.00696</v>
      </c>
      <c r="AT37">
        <f t="shared" si="29"/>
        <v>689830894395.89673</v>
      </c>
      <c r="AU37">
        <f t="shared" si="30"/>
        <v>2971608596279.6475</v>
      </c>
      <c r="AV37">
        <f t="shared" si="31"/>
        <v>5916593092735.8408</v>
      </c>
    </row>
    <row r="38" spans="1:48" x14ac:dyDescent="0.6">
      <c r="A38" s="4">
        <v>2003</v>
      </c>
      <c r="B38" s="30">
        <v>30717.083180000001</v>
      </c>
      <c r="C38" s="31">
        <v>11081.48191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2">
        <v>0</v>
      </c>
      <c r="O38" s="36">
        <v>49511</v>
      </c>
      <c r="Q38" s="12" t="s">
        <v>20</v>
      </c>
      <c r="R38" s="49"/>
      <c r="S38" s="99">
        <f t="shared" ref="S38:AD38" si="32">+S37/$AE$37</f>
        <v>0.78303366724904888</v>
      </c>
      <c r="T38" s="99">
        <f t="shared" si="32"/>
        <v>0.11767077527904038</v>
      </c>
      <c r="U38" s="99">
        <f t="shared" si="32"/>
        <v>4.4849721915045736E-2</v>
      </c>
      <c r="V38" s="99">
        <f t="shared" si="32"/>
        <v>1.885976299618855E-2</v>
      </c>
      <c r="W38" s="99">
        <f t="shared" si="32"/>
        <v>1.7084242149617467E-2</v>
      </c>
      <c r="X38" s="99">
        <f t="shared" si="32"/>
        <v>9.0560897031213387E-3</v>
      </c>
      <c r="Y38" s="99">
        <f t="shared" si="32"/>
        <v>2.530327481846503E-3</v>
      </c>
      <c r="Z38" s="99">
        <f t="shared" si="32"/>
        <v>1.5665248312653846E-3</v>
      </c>
      <c r="AA38" s="99">
        <f t="shared" si="32"/>
        <v>1.0023899462132117E-3</v>
      </c>
      <c r="AB38" s="99">
        <f t="shared" si="32"/>
        <v>9.5456761354942082E-4</v>
      </c>
      <c r="AC38" s="99">
        <f t="shared" si="32"/>
        <v>1.1790857036853583E-3</v>
      </c>
      <c r="AD38" s="99">
        <f t="shared" si="32"/>
        <v>2.2128451313775119E-3</v>
      </c>
      <c r="AE38" s="100">
        <f>SUM(S38:AD38)</f>
        <v>0.99999999999999978</v>
      </c>
      <c r="AH38" s="23"/>
      <c r="AI38" s="3">
        <v>2001</v>
      </c>
      <c r="AJ38" t="str">
        <f t="shared" si="19"/>
        <v/>
      </c>
      <c r="AK38" t="str">
        <f t="shared" si="20"/>
        <v/>
      </c>
      <c r="AL38" t="str">
        <f t="shared" si="21"/>
        <v/>
      </c>
      <c r="AM38" t="str">
        <f t="shared" si="22"/>
        <v/>
      </c>
      <c r="AN38">
        <f t="shared" si="23"/>
        <v>273849078062.87012</v>
      </c>
      <c r="AO38">
        <f t="shared" si="24"/>
        <v>182082879673.91315</v>
      </c>
      <c r="AP38">
        <f t="shared" si="25"/>
        <v>261368107251.67532</v>
      </c>
      <c r="AQ38">
        <f t="shared" si="26"/>
        <v>384142864260.26331</v>
      </c>
      <c r="AR38">
        <f t="shared" si="27"/>
        <v>538279633872.00568</v>
      </c>
      <c r="AS38">
        <f t="shared" si="28"/>
        <v>613331536402.12732</v>
      </c>
      <c r="AT38">
        <f t="shared" si="29"/>
        <v>715331208621.6825</v>
      </c>
      <c r="AU38">
        <f t="shared" si="30"/>
        <v>3081457188995.312</v>
      </c>
      <c r="AV38">
        <f t="shared" si="31"/>
        <v>6135306090713.415</v>
      </c>
    </row>
    <row r="39" spans="1:48" x14ac:dyDescent="0.6">
      <c r="A39" s="4">
        <v>2004</v>
      </c>
      <c r="B39" s="33">
        <v>30589.517080000001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5">
        <v>0</v>
      </c>
      <c r="O39" s="37">
        <v>48946</v>
      </c>
      <c r="AH39" s="23"/>
      <c r="AI39" s="3">
        <v>2002</v>
      </c>
      <c r="AJ39" t="str">
        <f t="shared" si="19"/>
        <v/>
      </c>
      <c r="AK39" t="str">
        <f t="shared" si="20"/>
        <v/>
      </c>
      <c r="AL39" t="str">
        <f t="shared" si="21"/>
        <v/>
      </c>
      <c r="AM39">
        <f t="shared" si="22"/>
        <v>362348426951.59033</v>
      </c>
      <c r="AN39">
        <f t="shared" si="23"/>
        <v>288434774285.37903</v>
      </c>
      <c r="AO39">
        <f t="shared" si="24"/>
        <v>189057460753.4639</v>
      </c>
      <c r="AP39">
        <f t="shared" si="25"/>
        <v>267498240692.46326</v>
      </c>
      <c r="AQ39">
        <f t="shared" si="26"/>
        <v>387488971270.08038</v>
      </c>
      <c r="AR39">
        <f t="shared" si="27"/>
        <v>542968361487.99091</v>
      </c>
      <c r="AS39">
        <f t="shared" si="28"/>
        <v>618674009591.75427</v>
      </c>
      <c r="AT39">
        <f t="shared" si="29"/>
        <v>721562158078.77856</v>
      </c>
      <c r="AU39">
        <f t="shared" si="30"/>
        <v>3108298467227.5747</v>
      </c>
      <c r="AV39">
        <f t="shared" si="31"/>
        <v>6188748162993.0664</v>
      </c>
    </row>
    <row r="40" spans="1:48" x14ac:dyDescent="0.6">
      <c r="O40" s="1" t="s">
        <v>0</v>
      </c>
      <c r="AH40" s="23"/>
      <c r="AI40" s="3">
        <v>2003</v>
      </c>
      <c r="AJ40" t="str">
        <f t="shared" si="19"/>
        <v/>
      </c>
      <c r="AK40" t="str">
        <f t="shared" si="20"/>
        <v/>
      </c>
      <c r="AL40">
        <f t="shared" si="21"/>
        <v>431747930144.96094</v>
      </c>
      <c r="AM40">
        <f t="shared" si="22"/>
        <v>334575951969.45697</v>
      </c>
      <c r="AN40">
        <f t="shared" si="23"/>
        <v>262545351069.42972</v>
      </c>
      <c r="AO40">
        <f t="shared" si="24"/>
        <v>169626680928.96866</v>
      </c>
      <c r="AP40">
        <f t="shared" si="25"/>
        <v>236548126390.28027</v>
      </c>
      <c r="AQ40">
        <f t="shared" si="26"/>
        <v>342655674719.79688</v>
      </c>
      <c r="AR40">
        <f t="shared" si="27"/>
        <v>480145769432.73108</v>
      </c>
      <c r="AS40">
        <f t="shared" si="28"/>
        <v>547092113340.44873</v>
      </c>
      <c r="AT40">
        <f t="shared" si="29"/>
        <v>638075884633.17834</v>
      </c>
      <c r="AU40">
        <f t="shared" si="30"/>
        <v>2748661736171.1079</v>
      </c>
      <c r="AV40">
        <f t="shared" si="31"/>
        <v>5472696862856.5811</v>
      </c>
    </row>
    <row r="41" spans="1:48" x14ac:dyDescent="0.6">
      <c r="AH41" s="23"/>
      <c r="AI41" s="3">
        <v>2004</v>
      </c>
      <c r="AJ41" t="str">
        <f t="shared" si="19"/>
        <v/>
      </c>
      <c r="AK41">
        <f>IF($AI25+AK$13&gt;2004,AK25*S81,"")</f>
        <v>359298333009.12665</v>
      </c>
      <c r="AL41">
        <f t="shared" si="21"/>
        <v>423864651655.2088</v>
      </c>
      <c r="AM41">
        <f t="shared" si="22"/>
        <v>323802375080.4704</v>
      </c>
      <c r="AN41">
        <f t="shared" si="23"/>
        <v>250457055262.87833</v>
      </c>
      <c r="AO41">
        <f t="shared" si="24"/>
        <v>159485550027.85498</v>
      </c>
      <c r="AP41">
        <f t="shared" si="25"/>
        <v>222406096958.35654</v>
      </c>
      <c r="AQ41">
        <f t="shared" si="26"/>
        <v>322170005647.50049</v>
      </c>
      <c r="AR41">
        <f t="shared" si="27"/>
        <v>451440255224.90289</v>
      </c>
      <c r="AS41">
        <f t="shared" si="28"/>
        <v>514384212048.224</v>
      </c>
      <c r="AT41">
        <f t="shared" si="29"/>
        <v>599928518691.26831</v>
      </c>
      <c r="AU41">
        <f t="shared" si="30"/>
        <v>2584332997810.2705</v>
      </c>
      <c r="AV41">
        <f t="shared" si="31"/>
        <v>5145511687951.3252</v>
      </c>
    </row>
    <row r="42" spans="1:48" x14ac:dyDescent="0.6">
      <c r="T42" s="6" t="s">
        <v>28</v>
      </c>
      <c r="AE42" s="18" t="s">
        <v>29</v>
      </c>
      <c r="AH42" s="23"/>
    </row>
    <row r="43" spans="1:48" x14ac:dyDescent="0.6">
      <c r="R43" t="s">
        <v>3</v>
      </c>
      <c r="AE43" s="19" t="s">
        <v>30</v>
      </c>
      <c r="AH43" s="23"/>
    </row>
    <row r="44" spans="1:48" x14ac:dyDescent="0.6">
      <c r="Q44" t="s">
        <v>4</v>
      </c>
      <c r="R44" s="3">
        <v>0</v>
      </c>
      <c r="S44" s="3">
        <v>1</v>
      </c>
      <c r="T44" s="3">
        <v>2</v>
      </c>
      <c r="U44" s="3">
        <v>3</v>
      </c>
      <c r="V44" s="3">
        <v>4</v>
      </c>
      <c r="W44" s="3">
        <v>5</v>
      </c>
      <c r="X44" s="3">
        <v>6</v>
      </c>
      <c r="Y44" s="3">
        <v>7</v>
      </c>
      <c r="Z44" s="3">
        <v>8</v>
      </c>
      <c r="AA44" s="3">
        <v>9</v>
      </c>
      <c r="AB44" s="3">
        <v>10</v>
      </c>
      <c r="AC44" s="3">
        <v>11</v>
      </c>
      <c r="AD44" s="3" t="s">
        <v>12</v>
      </c>
      <c r="AE44" s="19" t="s">
        <v>31</v>
      </c>
      <c r="AH44" s="23"/>
      <c r="AI44" s="26"/>
    </row>
    <row r="45" spans="1:48" x14ac:dyDescent="0.6">
      <c r="Q45" t="s">
        <v>13</v>
      </c>
      <c r="AE45" s="8"/>
      <c r="AH45" s="23"/>
      <c r="AI45" s="106" t="s">
        <v>55</v>
      </c>
      <c r="AJ45" s="106"/>
      <c r="AK45" s="84">
        <f>AE123</f>
        <v>255027375.04899496</v>
      </c>
    </row>
    <row r="46" spans="1:48" x14ac:dyDescent="0.6">
      <c r="D46" s="5" t="s">
        <v>18</v>
      </c>
      <c r="I46" s="1" t="s">
        <v>2</v>
      </c>
      <c r="Q46" s="3">
        <v>1993</v>
      </c>
      <c r="R46" s="54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6">
        <f>+AD47/(SUM($AD47))</f>
        <v>1</v>
      </c>
      <c r="AE46" s="57">
        <f t="shared" ref="AE46:AE57" si="33">+AF70*AG70</f>
        <v>36.137138299999997</v>
      </c>
      <c r="AH46" s="23"/>
      <c r="AI46" s="106" t="s">
        <v>54</v>
      </c>
      <c r="AJ46" s="106"/>
      <c r="AK46" s="85">
        <f>SQRT(SUM(AJ30:AV41)+AE123^2*AK6^2)</f>
        <v>22714818.350147542</v>
      </c>
    </row>
    <row r="47" spans="1:48" x14ac:dyDescent="0.6">
      <c r="B47" s="1" t="s">
        <v>3</v>
      </c>
      <c r="Q47" s="3">
        <v>1994</v>
      </c>
      <c r="R47" s="58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>
        <f>+AC48/(SUM($AC48:$AD48))</f>
        <v>0.34761490166514664</v>
      </c>
      <c r="AD47" s="60">
        <f>+AD48/(SUM($AC48:$AD48))</f>
        <v>0.65238509833485336</v>
      </c>
      <c r="AE47" s="57">
        <f t="shared" si="33"/>
        <v>44.494985126827508</v>
      </c>
      <c r="AH47" s="23"/>
      <c r="AI47" s="106" t="s">
        <v>56</v>
      </c>
      <c r="AJ47" s="106"/>
      <c r="AK47" s="101">
        <f>AK46/AK45</f>
        <v>8.9068157274424561E-2</v>
      </c>
    </row>
    <row r="48" spans="1:48" x14ac:dyDescent="0.6">
      <c r="A48" s="1" t="s">
        <v>4</v>
      </c>
      <c r="B48" s="4">
        <v>0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10</v>
      </c>
      <c r="I48" s="4" t="s">
        <v>11</v>
      </c>
      <c r="J48" s="4">
        <v>8</v>
      </c>
      <c r="K48" s="4">
        <v>9</v>
      </c>
      <c r="L48" s="4">
        <v>10</v>
      </c>
      <c r="M48" s="4">
        <v>11</v>
      </c>
      <c r="N48" s="4" t="s">
        <v>12</v>
      </c>
      <c r="Q48" s="3">
        <v>1995</v>
      </c>
      <c r="R48" s="58"/>
      <c r="S48" s="59"/>
      <c r="T48" s="59"/>
      <c r="U48" s="59"/>
      <c r="V48" s="59"/>
      <c r="W48" s="59"/>
      <c r="X48" s="59"/>
      <c r="Y48" s="59"/>
      <c r="Z48" s="59"/>
      <c r="AA48" s="59"/>
      <c r="AB48" s="59">
        <f>+AB49/(SUM($AB49:$AD49))</f>
        <v>0.21961761285206169</v>
      </c>
      <c r="AC48" s="59">
        <f t="shared" ref="AC48:AD48" si="34">+AC49/(SUM($AB49:$AD49))</f>
        <v>0.27127254676964296</v>
      </c>
      <c r="AD48" s="60">
        <f t="shared" si="34"/>
        <v>0.50910984037829532</v>
      </c>
      <c r="AE48" s="57">
        <f t="shared" si="33"/>
        <v>52.35232099498883</v>
      </c>
      <c r="AH48" s="23"/>
      <c r="AI48" s="3"/>
    </row>
    <row r="49" spans="1:40" x14ac:dyDescent="0.6">
      <c r="A49" s="1" t="s">
        <v>13</v>
      </c>
      <c r="B49"/>
      <c r="C49"/>
      <c r="D49"/>
      <c r="E49"/>
      <c r="F49"/>
      <c r="G49"/>
      <c r="H49"/>
      <c r="I49"/>
      <c r="J49"/>
      <c r="K49"/>
      <c r="L49"/>
      <c r="M49"/>
      <c r="N49"/>
      <c r="Q49" s="3">
        <v>1996</v>
      </c>
      <c r="R49" s="58"/>
      <c r="S49" s="59"/>
      <c r="T49" s="59"/>
      <c r="U49" s="59"/>
      <c r="V49" s="59"/>
      <c r="W49" s="59"/>
      <c r="X49" s="59"/>
      <c r="Y49" s="59"/>
      <c r="Z49" s="59"/>
      <c r="AA49" s="59">
        <f>+AA50/(SUM($AA50:$AD50))</f>
        <v>0.18740154443733029</v>
      </c>
      <c r="AB49" s="59">
        <f t="shared" ref="AB49:AD49" si="35">+AB50/(SUM($AA50:$AD50))</f>
        <v>0.17846093301794566</v>
      </c>
      <c r="AC49" s="59">
        <f t="shared" si="35"/>
        <v>0.22043565254156397</v>
      </c>
      <c r="AD49" s="60">
        <f t="shared" si="35"/>
        <v>0.41370187000316011</v>
      </c>
      <c r="AE49" s="57">
        <f t="shared" si="33"/>
        <v>66.241776673691547</v>
      </c>
      <c r="AH49" s="23"/>
      <c r="AI49" s="3"/>
      <c r="AJ49" t="s">
        <v>58</v>
      </c>
    </row>
    <row r="50" spans="1:40" x14ac:dyDescent="0.6">
      <c r="A50" s="4">
        <v>1993</v>
      </c>
      <c r="B50" s="27">
        <v>56550.69513</v>
      </c>
      <c r="C50" s="28">
        <v>26906.70983</v>
      </c>
      <c r="D50" s="28">
        <v>12909.63033</v>
      </c>
      <c r="E50" s="28">
        <v>7835.6981809999997</v>
      </c>
      <c r="F50" s="28">
        <v>6201.0757759999997</v>
      </c>
      <c r="G50" s="28">
        <v>4555.137264</v>
      </c>
      <c r="H50" s="28">
        <v>3805.8473709999998</v>
      </c>
      <c r="I50" s="28">
        <v>3188.6610000000001</v>
      </c>
      <c r="J50" s="28">
        <v>2792.0258480000002</v>
      </c>
      <c r="K50" s="28">
        <v>1986.5998979999999</v>
      </c>
      <c r="L50" s="28">
        <v>1784.2319239999999</v>
      </c>
      <c r="M50" s="28">
        <v>1068.0881139999999</v>
      </c>
      <c r="N50" s="38"/>
      <c r="Q50" s="3">
        <v>1997</v>
      </c>
      <c r="R50" s="58"/>
      <c r="S50" s="59"/>
      <c r="T50" s="59"/>
      <c r="U50" s="59"/>
      <c r="V50" s="59"/>
      <c r="W50" s="59"/>
      <c r="X50" s="59"/>
      <c r="Y50" s="59"/>
      <c r="Z50" s="59">
        <f>+Z51/(SUM($Z51:$AD51))</f>
        <v>0.22652656899158322</v>
      </c>
      <c r="AA50" s="59">
        <f t="shared" ref="AA50:AD50" si="36">+AA51/(SUM($Z51:$AD51))</f>
        <v>0.14495011555221812</v>
      </c>
      <c r="AB50" s="59">
        <f t="shared" si="36"/>
        <v>0.13803479016235368</v>
      </c>
      <c r="AC50" s="59">
        <f t="shared" si="36"/>
        <v>0.1705011204879027</v>
      </c>
      <c r="AD50" s="60">
        <f t="shared" si="36"/>
        <v>0.31998740480594223</v>
      </c>
      <c r="AE50" s="57">
        <f t="shared" si="33"/>
        <v>109.27049704852523</v>
      </c>
      <c r="AH50" s="23"/>
      <c r="AI50" s="3"/>
      <c r="AJ50" t="s">
        <v>60</v>
      </c>
      <c r="AK50" t="s">
        <v>61</v>
      </c>
      <c r="AL50" t="s">
        <v>56</v>
      </c>
      <c r="AM50" s="26"/>
      <c r="AN50" s="26" t="s">
        <v>62</v>
      </c>
    </row>
    <row r="51" spans="1:40" x14ac:dyDescent="0.6">
      <c r="A51" s="4">
        <v>1994</v>
      </c>
      <c r="B51" s="30">
        <v>63344.451589999997</v>
      </c>
      <c r="C51" s="31">
        <v>25706.144990000001</v>
      </c>
      <c r="D51" s="31">
        <v>12497.25311</v>
      </c>
      <c r="E51" s="31">
        <v>7797.3537489999999</v>
      </c>
      <c r="F51" s="31">
        <v>6088.2639980000004</v>
      </c>
      <c r="G51" s="31">
        <v>4288.8069159999995</v>
      </c>
      <c r="H51" s="31">
        <v>3743.1002579999999</v>
      </c>
      <c r="I51" s="31">
        <v>2915.0308279999999</v>
      </c>
      <c r="J51" s="31">
        <v>2251.5008339999999</v>
      </c>
      <c r="K51" s="31">
        <v>1761.921169</v>
      </c>
      <c r="L51" s="31">
        <v>1795.2301829999999</v>
      </c>
      <c r="M51" s="31">
        <v>0</v>
      </c>
      <c r="N51" s="32"/>
      <c r="Q51" s="3">
        <v>1998</v>
      </c>
      <c r="R51" s="58"/>
      <c r="S51" s="59"/>
      <c r="T51" s="59"/>
      <c r="U51" s="59"/>
      <c r="V51" s="59"/>
      <c r="W51" s="59"/>
      <c r="X51" s="59"/>
      <c r="Y51" s="59">
        <f>+Y52/(SUM($Y52:$AD52))</f>
        <v>0.26788026054115938</v>
      </c>
      <c r="Z51" s="59">
        <f t="shared" ref="Z51:AD51" si="37">+Z52/(SUM($Y52:$AD52))</f>
        <v>0.16584457267062302</v>
      </c>
      <c r="AA51" s="59">
        <f t="shared" si="37"/>
        <v>0.1061208408326188</v>
      </c>
      <c r="AB51" s="59">
        <f t="shared" si="37"/>
        <v>0.10105799460991813</v>
      </c>
      <c r="AC51" s="59">
        <f t="shared" si="37"/>
        <v>0.12482723590904374</v>
      </c>
      <c r="AD51" s="60">
        <f t="shared" si="37"/>
        <v>0.23426909543663704</v>
      </c>
      <c r="AE51" s="57">
        <f t="shared" si="33"/>
        <v>154.66450153769458</v>
      </c>
      <c r="AH51" s="23"/>
      <c r="AI51" s="3">
        <v>1993</v>
      </c>
      <c r="AJ51" s="2">
        <f>AE111</f>
        <v>1446541.1216371087</v>
      </c>
      <c r="AK51" s="2">
        <f>SQRT(SUM(AJ30:AV30)+AJ51^2*$AK$6^2)</f>
        <v>1705457.9572824591</v>
      </c>
      <c r="AL51" s="102">
        <f>AK51/AJ51</f>
        <v>1.178990304369864</v>
      </c>
      <c r="AN51" s="2">
        <f>SQRT(AV30+AD111^2*$AK$6^2)</f>
        <v>1705457.9572824591</v>
      </c>
    </row>
    <row r="52" spans="1:40" x14ac:dyDescent="0.6">
      <c r="A52" s="4">
        <v>1995</v>
      </c>
      <c r="B52" s="30">
        <v>66953.60428</v>
      </c>
      <c r="C52" s="31">
        <v>25501.984990000001</v>
      </c>
      <c r="D52" s="31">
        <v>13033.94397</v>
      </c>
      <c r="E52" s="31">
        <v>8177.273099</v>
      </c>
      <c r="F52" s="31">
        <v>5766.7894960000003</v>
      </c>
      <c r="G52" s="31">
        <v>4623.2987890000004</v>
      </c>
      <c r="H52" s="31">
        <v>3620.312786</v>
      </c>
      <c r="I52" s="31">
        <v>2546.8826600000002</v>
      </c>
      <c r="J52" s="31">
        <v>1804.028791</v>
      </c>
      <c r="K52" s="31">
        <v>1853.3638410000001</v>
      </c>
      <c r="L52" s="31">
        <v>0</v>
      </c>
      <c r="M52" s="31">
        <v>0</v>
      </c>
      <c r="N52" s="32"/>
      <c r="Q52" s="3">
        <v>1999</v>
      </c>
      <c r="R52" s="58"/>
      <c r="S52" s="59"/>
      <c r="T52" s="59"/>
      <c r="U52" s="59"/>
      <c r="V52" s="59"/>
      <c r="W52" s="59"/>
      <c r="X52" s="59">
        <f>+X53/(SUM($X53:$AD53))</f>
        <v>0.48946993361848262</v>
      </c>
      <c r="Y52" s="59">
        <f t="shared" ref="Y52:AD52" si="38">+Y53/(SUM($X53:$AD53))</f>
        <v>0.13676092719637625</v>
      </c>
      <c r="Z52" s="59">
        <f t="shared" si="38"/>
        <v>8.4668640694547548E-2</v>
      </c>
      <c r="AA52" s="59">
        <f t="shared" si="38"/>
        <v>5.417787991473931E-2</v>
      </c>
      <c r="AB52" s="59">
        <f t="shared" si="38"/>
        <v>5.159314469658452E-2</v>
      </c>
      <c r="AC52" s="59">
        <f t="shared" si="38"/>
        <v>6.3728057034865421E-2</v>
      </c>
      <c r="AD52" s="60">
        <f t="shared" si="38"/>
        <v>0.11960141684440433</v>
      </c>
      <c r="AE52" s="57">
        <f t="shared" si="33"/>
        <v>346.30126957462198</v>
      </c>
      <c r="AH52" s="23"/>
      <c r="AI52" s="3">
        <v>1994</v>
      </c>
      <c r="AJ52" s="2">
        <f t="shared" ref="AJ52:AJ63" si="39">AE112</f>
        <v>1842102.1659082235</v>
      </c>
      <c r="AK52" s="2">
        <f>SQRT(SUM(AJ31:AV31)+AJ52^2*$AK$6^2)</f>
        <v>1958856.1254492027</v>
      </c>
      <c r="AL52" s="102">
        <f t="shared" ref="AL52:AL63" si="40">AK52/AJ52</f>
        <v>1.0633808274599228</v>
      </c>
      <c r="AM52" s="104"/>
      <c r="AN52" s="2">
        <f>SQRT(AU31+AV31+(SUMSQ(AC112:AD112)+2*AC112*AD112)*$AK$6^2)</f>
        <v>1958856.1254492027</v>
      </c>
    </row>
    <row r="53" spans="1:40" x14ac:dyDescent="0.6">
      <c r="A53" s="4">
        <v>1996</v>
      </c>
      <c r="B53" s="30">
        <v>72767.861810000002</v>
      </c>
      <c r="C53" s="31">
        <v>26612.701160000001</v>
      </c>
      <c r="D53" s="31">
        <v>13663.302030000001</v>
      </c>
      <c r="E53" s="31">
        <v>9695.4899010000008</v>
      </c>
      <c r="F53" s="31">
        <v>7362.7428909999999</v>
      </c>
      <c r="G53" s="31">
        <v>6052.4187380000003</v>
      </c>
      <c r="H53" s="31">
        <v>4111.149394</v>
      </c>
      <c r="I53" s="31">
        <v>3060.0300240000001</v>
      </c>
      <c r="J53" s="31">
        <v>1901.4419459999999</v>
      </c>
      <c r="K53" s="31">
        <v>0</v>
      </c>
      <c r="L53" s="31">
        <v>0</v>
      </c>
      <c r="M53" s="31">
        <v>0</v>
      </c>
      <c r="N53" s="32"/>
      <c r="Q53" s="3">
        <v>2000</v>
      </c>
      <c r="R53" s="58"/>
      <c r="S53" s="59"/>
      <c r="T53" s="59"/>
      <c r="U53" s="59"/>
      <c r="V53" s="59"/>
      <c r="W53" s="59">
        <f>+W54/(SUM($W54:$AD54))</f>
        <v>0.48008226028561884</v>
      </c>
      <c r="X53" s="59">
        <f t="shared" ref="X53:AD53" si="41">+X54/(SUM($W54:$AD54))</f>
        <v>0.25448410154506967</v>
      </c>
      <c r="Y53" s="59">
        <f t="shared" si="41"/>
        <v>7.1104432149182981E-2</v>
      </c>
      <c r="Z53" s="59">
        <f t="shared" si="41"/>
        <v>4.402072829459823E-2</v>
      </c>
      <c r="AA53" s="59">
        <f t="shared" si="41"/>
        <v>2.8168040867788433E-2</v>
      </c>
      <c r="AB53" s="59">
        <f t="shared" si="41"/>
        <v>2.6824191175405236E-2</v>
      </c>
      <c r="AC53" s="59">
        <f t="shared" si="41"/>
        <v>3.3133347369956399E-2</v>
      </c>
      <c r="AD53" s="60">
        <f t="shared" si="41"/>
        <v>6.2182898312380212E-2</v>
      </c>
      <c r="AE53" s="57">
        <f t="shared" si="33"/>
        <v>719.98904177931092</v>
      </c>
      <c r="AH53" s="23"/>
      <c r="AI53" s="3">
        <v>1995</v>
      </c>
      <c r="AJ53" s="2">
        <f t="shared" si="39"/>
        <v>2123789.9896562384</v>
      </c>
      <c r="AK53" s="2">
        <f>SQRT(SUM(AJ32:AV32)+AJ53^2*$AK$6^2)</f>
        <v>2037800.0044816635</v>
      </c>
      <c r="AL53" s="102">
        <f t="shared" si="40"/>
        <v>0.95951106955330667</v>
      </c>
      <c r="AM53" s="104"/>
      <c r="AN53" s="2">
        <f>SQRT(SUM(AJ32:AV32)+(SUMSQ(AB113:AD113)+2*AC113*AD113+2*AB113*AC113+2*AD113*AB113)*$AK$6^2)</f>
        <v>2037800.0044816635</v>
      </c>
    </row>
    <row r="54" spans="1:40" x14ac:dyDescent="0.6">
      <c r="A54" s="4">
        <v>1997</v>
      </c>
      <c r="B54" s="30">
        <v>76337.823220000006</v>
      </c>
      <c r="C54" s="31">
        <v>29399.363549999998</v>
      </c>
      <c r="D54" s="31">
        <v>16012.277980000001</v>
      </c>
      <c r="E54" s="31">
        <v>10903.896350000001</v>
      </c>
      <c r="F54" s="31">
        <v>8774.2218209999992</v>
      </c>
      <c r="G54" s="31">
        <v>6308.2874030000003</v>
      </c>
      <c r="H54" s="31">
        <v>5254.9683809999997</v>
      </c>
      <c r="I54" s="31">
        <v>2845.0926100000001</v>
      </c>
      <c r="J54" s="31">
        <v>0</v>
      </c>
      <c r="K54" s="31">
        <v>0</v>
      </c>
      <c r="L54" s="31">
        <v>0</v>
      </c>
      <c r="M54" s="31">
        <v>0</v>
      </c>
      <c r="N54" s="32"/>
      <c r="Q54" s="3">
        <v>2001</v>
      </c>
      <c r="R54" s="58"/>
      <c r="S54" s="59"/>
      <c r="T54" s="59"/>
      <c r="U54" s="59"/>
      <c r="V54" s="59">
        <f>+V55/(SUM($V55:$AD55))</f>
        <v>0.34639495938106946</v>
      </c>
      <c r="W54" s="59">
        <f t="shared" ref="W54:AD54" si="42">+W55/(SUM($V55:$AD55))</f>
        <v>0.31378418523440987</v>
      </c>
      <c r="X54" s="59">
        <f t="shared" si="42"/>
        <v>0.1663320915272373</v>
      </c>
      <c r="Y54" s="59">
        <f t="shared" si="42"/>
        <v>4.6474215263052732E-2</v>
      </c>
      <c r="Z54" s="59">
        <f t="shared" si="42"/>
        <v>2.8772169905065783E-2</v>
      </c>
      <c r="AA54" s="59">
        <f t="shared" si="42"/>
        <v>1.8410773495546554E-2</v>
      </c>
      <c r="AB54" s="59">
        <f t="shared" si="42"/>
        <v>1.7532426562770698E-2</v>
      </c>
      <c r="AC54" s="59">
        <f t="shared" si="42"/>
        <v>2.165612285358149E-2</v>
      </c>
      <c r="AD54" s="60">
        <f t="shared" si="42"/>
        <v>4.0643055777266096E-2</v>
      </c>
      <c r="AE54" s="57">
        <f t="shared" si="33"/>
        <v>1076.7145371944623</v>
      </c>
      <c r="AH54" s="23"/>
      <c r="AI54" s="3">
        <v>1996</v>
      </c>
      <c r="AJ54" s="2">
        <f t="shared" si="39"/>
        <v>2713045.5701420279</v>
      </c>
      <c r="AK54" s="2">
        <f t="shared" ref="AK52:AK62" si="43">SQRT(SUM(AJ33:AV33)+AJ54^2*$AK$6^2)</f>
        <v>2214140.0225761873</v>
      </c>
      <c r="AL54" s="102">
        <f t="shared" si="40"/>
        <v>0.8161086739358665</v>
      </c>
      <c r="AN54" s="2">
        <f>SQRT(SUM(AJ33:AV33)+(SUMSQ(AA114:AD114)+2*AA114*SUM(AB114:AD114)+2*AB114*SUM(AC114:AD114)+2*AC114*AD114)*$AK$6^2)</f>
        <v>2214140.0225761873</v>
      </c>
    </row>
    <row r="55" spans="1:40" x14ac:dyDescent="0.6">
      <c r="A55" s="4">
        <v>1998</v>
      </c>
      <c r="B55" s="30">
        <v>83493.160329999999</v>
      </c>
      <c r="C55" s="31">
        <v>37079.603260000004</v>
      </c>
      <c r="D55" s="31">
        <v>19807.414250000002</v>
      </c>
      <c r="E55" s="31">
        <v>14191.22926</v>
      </c>
      <c r="F55" s="31">
        <v>11143.750739999999</v>
      </c>
      <c r="G55" s="31">
        <v>8161.3370080000004</v>
      </c>
      <c r="H55" s="31">
        <v>4925.6490679999997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2"/>
      <c r="Q55" s="3">
        <v>2002</v>
      </c>
      <c r="R55" s="58"/>
      <c r="S55" s="59"/>
      <c r="T55" s="59"/>
      <c r="U55" s="59">
        <f>+U56/(SUM($U56:$AD56))</f>
        <v>0.45167903838732337</v>
      </c>
      <c r="V55" s="59">
        <f t="shared" ref="V55:AD55" si="44">+V56/(SUM($U56:$AD56))</f>
        <v>0.18993561722561203</v>
      </c>
      <c r="W55" s="59">
        <f t="shared" si="44"/>
        <v>0.17205444618658183</v>
      </c>
      <c r="X55" s="59">
        <f t="shared" si="44"/>
        <v>9.1203372373262481E-2</v>
      </c>
      <c r="Y55" s="59">
        <f t="shared" si="44"/>
        <v>2.5482786403231601E-2</v>
      </c>
      <c r="Z55" s="59">
        <f t="shared" si="44"/>
        <v>1.5776383870028981E-2</v>
      </c>
      <c r="AA55" s="59">
        <f t="shared" si="44"/>
        <v>1.0095013027111265E-2</v>
      </c>
      <c r="AB55" s="59">
        <f t="shared" si="44"/>
        <v>9.6133969923020614E-3</v>
      </c>
      <c r="AC55" s="59">
        <f t="shared" si="44"/>
        <v>1.1874506107878062E-2</v>
      </c>
      <c r="AD55" s="60">
        <f t="shared" si="44"/>
        <v>2.2285439426668194E-2</v>
      </c>
      <c r="AE55" s="57">
        <f t="shared" si="33"/>
        <v>1867.0581931461365</v>
      </c>
      <c r="AH55" s="23"/>
      <c r="AI55" s="3">
        <v>1997</v>
      </c>
      <c r="AJ55" s="2">
        <f t="shared" si="39"/>
        <v>4469281.6373383701</v>
      </c>
      <c r="AK55" s="2">
        <f t="shared" si="43"/>
        <v>2658508.1653475356</v>
      </c>
      <c r="AL55" s="102">
        <f t="shared" si="40"/>
        <v>0.59484015129795664</v>
      </c>
      <c r="AN55" s="2">
        <f>SQRT(SUM(AJ34:AV34)+(SUMSQ(Z115:AD115)+2*Z115*SUM(AA115:AD115)+2*AA115*SUM(AB115:AD115)+2*AB115*SUM(AC115:AD115)+2*AC115*AD115)*$AK$6^2)</f>
        <v>2658508.1653475356</v>
      </c>
    </row>
    <row r="56" spans="1:40" x14ac:dyDescent="0.6">
      <c r="A56" s="4">
        <v>1999</v>
      </c>
      <c r="B56" s="30">
        <v>92136.366129999995</v>
      </c>
      <c r="C56" s="31">
        <v>44671.467669999998</v>
      </c>
      <c r="D56" s="31">
        <v>25963.0697</v>
      </c>
      <c r="E56" s="31">
        <v>17438.211759999998</v>
      </c>
      <c r="F56" s="31">
        <v>12033.98129</v>
      </c>
      <c r="G56" s="31">
        <v>7718.2642690000002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2"/>
      <c r="Q56" s="3">
        <v>2003</v>
      </c>
      <c r="R56" s="58"/>
      <c r="S56" s="59"/>
      <c r="T56" s="59">
        <f>+T57/(SUM($T57:$AD57))</f>
        <v>0.54234578142642587</v>
      </c>
      <c r="U56" s="59">
        <f t="shared" ref="U56:AD56" si="45">+U57/(SUM($T57:$AD57))</f>
        <v>0.20671281735921393</v>
      </c>
      <c r="V56" s="59">
        <f t="shared" si="45"/>
        <v>8.6924836480676976E-2</v>
      </c>
      <c r="W56" s="59">
        <f t="shared" si="45"/>
        <v>7.8741443121629187E-2</v>
      </c>
      <c r="X56" s="59">
        <f t="shared" si="45"/>
        <v>4.173960811476015E-2</v>
      </c>
      <c r="Y56" s="59">
        <f t="shared" si="45"/>
        <v>1.1662304698448261E-2</v>
      </c>
      <c r="Z56" s="59">
        <f t="shared" si="45"/>
        <v>7.2201286319548549E-3</v>
      </c>
      <c r="AA56" s="59">
        <f t="shared" si="45"/>
        <v>4.6200252984126581E-3</v>
      </c>
      <c r="AB56" s="59">
        <f t="shared" si="45"/>
        <v>4.3996116883495487E-3</v>
      </c>
      <c r="AC56" s="59">
        <f t="shared" si="45"/>
        <v>5.4344178137480693E-3</v>
      </c>
      <c r="AD56" s="60">
        <f t="shared" si="45"/>
        <v>1.0199025366380555E-2</v>
      </c>
      <c r="AE56" s="57">
        <f t="shared" si="33"/>
        <v>3400.5136108612996</v>
      </c>
      <c r="AH56" s="23"/>
      <c r="AI56" s="3">
        <v>1998</v>
      </c>
      <c r="AJ56" s="2">
        <f t="shared" si="39"/>
        <v>5985315.9338190518</v>
      </c>
      <c r="AK56" s="2">
        <f t="shared" si="43"/>
        <v>2852576.7083510691</v>
      </c>
      <c r="AL56" s="102">
        <f t="shared" si="40"/>
        <v>0.47659584554811041</v>
      </c>
      <c r="AN56" s="2">
        <f>SQRT(SUM(AJ35:AV35)+(SUMSQ(Y116:AD116)+2*Y116*SUM(Z116:AD116)+2*Z116*SUM(AA116:AD116)+2*AA116*SUM(AB116:AD116)+2*AB116*SUM(AC116:AD116)+2*AC116*AD116)*$AK$6^2)</f>
        <v>2852576.7083510691</v>
      </c>
    </row>
    <row r="57" spans="1:40" x14ac:dyDescent="0.6">
      <c r="A57" s="4">
        <v>2000</v>
      </c>
      <c r="B57" s="30">
        <v>97058.840530000001</v>
      </c>
      <c r="C57" s="31">
        <v>47808.492830000003</v>
      </c>
      <c r="D57" s="31">
        <v>26658.209800000001</v>
      </c>
      <c r="E57" s="31">
        <v>17589.98774</v>
      </c>
      <c r="F57" s="31">
        <v>12339.11836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2"/>
      <c r="Q57" s="3">
        <v>2004</v>
      </c>
      <c r="R57" s="61"/>
      <c r="S57" s="62">
        <f>S38</f>
        <v>0.78303366724904888</v>
      </c>
      <c r="T57" s="62">
        <f t="shared" ref="T57:AD57" si="46">T38</f>
        <v>0.11767077527904038</v>
      </c>
      <c r="U57" s="62">
        <f t="shared" si="46"/>
        <v>4.4849721915045736E-2</v>
      </c>
      <c r="V57" s="62">
        <f t="shared" si="46"/>
        <v>1.885976299618855E-2</v>
      </c>
      <c r="W57" s="62">
        <f t="shared" si="46"/>
        <v>1.7084242149617467E-2</v>
      </c>
      <c r="X57" s="62">
        <f t="shared" si="46"/>
        <v>9.0560897031213387E-3</v>
      </c>
      <c r="Y57" s="62">
        <f t="shared" si="46"/>
        <v>2.530327481846503E-3</v>
      </c>
      <c r="Z57" s="62">
        <f t="shared" si="46"/>
        <v>1.5665248312653846E-3</v>
      </c>
      <c r="AA57" s="62">
        <f t="shared" si="46"/>
        <v>1.0023899462132117E-3</v>
      </c>
      <c r="AB57" s="62">
        <f t="shared" si="46"/>
        <v>9.5456761354942082E-4</v>
      </c>
      <c r="AC57" s="62">
        <f t="shared" si="46"/>
        <v>1.1790857036853583E-3</v>
      </c>
      <c r="AD57" s="62">
        <f t="shared" si="46"/>
        <v>2.2128451313775119E-3</v>
      </c>
      <c r="AE57" s="57">
        <f t="shared" si="33"/>
        <v>13890.0847566906</v>
      </c>
      <c r="AH57" s="23"/>
      <c r="AI57" s="3">
        <v>1999</v>
      </c>
      <c r="AJ57" s="2">
        <f t="shared" si="39"/>
        <v>9732298.7184822466</v>
      </c>
      <c r="AK57" s="2">
        <f t="shared" si="43"/>
        <v>3230166.951230689</v>
      </c>
      <c r="AL57" s="102">
        <f t="shared" si="40"/>
        <v>0.33190174743572132</v>
      </c>
      <c r="AN57" s="2">
        <f>SQRT(SUM(AJ36:AV36)+(SUMSQ(X117:AD117)+2*X117*SUM(Y117:AD117)+2*Y117*SUM(Z117:AD117)+2*Z117*SUM(AA117:AD117)+2*AA117*SUM(AB117:AD117)+2*AB117*SUM(AC117:AD117)+2*AC117*AD117)*$AK$6^2)</f>
        <v>3230166.951230689</v>
      </c>
    </row>
    <row r="58" spans="1:40" x14ac:dyDescent="0.6">
      <c r="A58" s="4">
        <v>2001</v>
      </c>
      <c r="B58" s="30">
        <v>94657.620060000001</v>
      </c>
      <c r="C58" s="31">
        <v>44919.091379999998</v>
      </c>
      <c r="D58" s="31">
        <v>26904.570820000001</v>
      </c>
      <c r="E58" s="31">
        <v>18725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2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63" t="s">
        <v>32</v>
      </c>
      <c r="AE58" s="64">
        <f>SUM(AE46:AE57)</f>
        <v>21763.822628928159</v>
      </c>
      <c r="AH58" s="23"/>
      <c r="AI58" s="3">
        <v>2000</v>
      </c>
      <c r="AJ58" s="2">
        <f t="shared" si="39"/>
        <v>15161196.315415649</v>
      </c>
      <c r="AK58" s="2">
        <f t="shared" si="43"/>
        <v>3596922.3826200739</v>
      </c>
      <c r="AL58" s="102">
        <f t="shared" si="40"/>
        <v>0.23724528775890752</v>
      </c>
      <c r="AN58" s="2">
        <f>SQRT(SUM(AJ37:AV37)+(SUMSQ(W118:AD118)+2*W118*SUM(X118:AD118)+2*X118*SUM(Y118:AD118)+2*Y118*SUM(Z118:AD118)+2*Z118*SUM(AA118:AD118)+2*AA118*SUM(AB118:AD118)+2*AB118*SUM(AC118:AD118)+2*AC118*AD118)*$AK$6^2)</f>
        <v>3596922.3826200739</v>
      </c>
    </row>
    <row r="59" spans="1:40" x14ac:dyDescent="0.6">
      <c r="A59" s="4">
        <v>2002</v>
      </c>
      <c r="B59" s="30">
        <v>104836</v>
      </c>
      <c r="C59" s="31">
        <v>48967.70781</v>
      </c>
      <c r="D59" s="31">
        <v>29487</v>
      </c>
      <c r="E59" s="31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2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H59" s="23"/>
      <c r="AI59" s="3">
        <v>2001</v>
      </c>
      <c r="AJ59" s="2">
        <f t="shared" si="39"/>
        <v>21725780.095959462</v>
      </c>
      <c r="AK59" s="2">
        <f t="shared" si="43"/>
        <v>3899488.3665466155</v>
      </c>
      <c r="AL59" s="102">
        <f t="shared" si="40"/>
        <v>0.17948669043519586</v>
      </c>
      <c r="AN59" s="2">
        <f>SQRT(SUM(AJ38:AV38)+(SUMSQ(V119:AD119)+2*V119*SUM(W119:AD119)+2*W119*SUM(X119:AD119)+2*X119*SUM(Y119:AD119)+2*Y119*SUM(Z119:AD119)+2*Z119*SUM(AA119:AD119)+2*AA119*SUM(AB119:AD119)+2*AB119*SUM(AC119:AD119)+2*AC119*AD119)*$AK$6^2)</f>
        <v>3899488.3665466155</v>
      </c>
    </row>
    <row r="60" spans="1:40" x14ac:dyDescent="0.6">
      <c r="A60" s="4">
        <v>2003</v>
      </c>
      <c r="B60" s="30">
        <v>112264.89079999999</v>
      </c>
      <c r="C60" s="31">
        <v>47921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2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H60" s="23"/>
      <c r="AI60" s="3">
        <v>2002</v>
      </c>
      <c r="AJ60" s="2">
        <f t="shared" si="39"/>
        <v>33856326.044959448</v>
      </c>
      <c r="AK60" s="2">
        <f t="shared" si="43"/>
        <v>4473375.0388507312</v>
      </c>
      <c r="AL60" s="102">
        <f t="shared" si="40"/>
        <v>0.13212818877365254</v>
      </c>
      <c r="AN60" s="2">
        <f>SQRT(SUM(AJ39:AV39)+(SUMSQ(U120:AD120)+2*U120*SUM(V120:AD120)+2*V120*SUM(W120:AD120)+2*W120*SUM(X120:AD120)+2*X120*SUM(Y120:AD120)+2*Y120*SUM(Z120:AD120)+2*Z120*SUM(AA120:AD120)+2*AA120*SUM(AB120:AD120)+2*AB120*SUM(AC120:AD120)+2*AC120*AD120)*$AK$6^2)</f>
        <v>4473375.0388507312</v>
      </c>
    </row>
    <row r="61" spans="1:40" x14ac:dyDescent="0.6">
      <c r="A61" s="4">
        <v>2004</v>
      </c>
      <c r="B61" s="33">
        <v>107822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5"/>
      <c r="AH61" s="23"/>
      <c r="AI61" s="3">
        <v>2003</v>
      </c>
      <c r="AJ61" s="2">
        <f t="shared" si="39"/>
        <v>51979264.808890283</v>
      </c>
      <c r="AK61" s="2">
        <f t="shared" si="43"/>
        <v>5381094.0792855946</v>
      </c>
      <c r="AL61" s="102">
        <f t="shared" si="40"/>
        <v>0.10352385896703253</v>
      </c>
      <c r="AN61" s="2">
        <f>SQRT(SUM(AJ40:AV40)+(SUMSQ(T121:AD121)+2*T121*SUM(U121:AD121)+2*U121*SUM(V121:AD121)+2*V121*SUM(W121:AD121)+2*W121*SUM(X121:AD121)+2*X121*SUM(Y121:AD121)+2*Y121*SUM(Z121:AD121)+2*Z121*SUM(AA121:AD121)+2*AA121*SUM(AB121:AD121)+2*AB121*SUM(AC121:AD121)+2*AC121*AD121)*$AK$6^2)</f>
        <v>5381094.0792855946</v>
      </c>
    </row>
    <row r="62" spans="1:40" x14ac:dyDescent="0.6">
      <c r="AH62" s="23"/>
      <c r="AI62" s="3">
        <v>2004</v>
      </c>
      <c r="AJ62" s="2">
        <f t="shared" si="39"/>
        <v>103992432.64678682</v>
      </c>
      <c r="AK62" s="2">
        <f t="shared" si="43"/>
        <v>8976046.3704943582</v>
      </c>
      <c r="AL62" s="102">
        <f t="shared" si="40"/>
        <v>8.6314418674883278E-2</v>
      </c>
      <c r="AN62" s="2">
        <f>SQRT(SUM(AJ41:AV41)+(SUMSQ(S122:AD122)+2*S122*SUM(T122:AD122)+2*T122*SUM(U122:AD122)+2*U122*SUM(V122:AD122)+2*V122*SUM(W122:AD122)+2*W122*SUM(X122:AD122)+2*X122*SUM(Y122:AD122)+2*Y122*SUM(Z122:AD122)+2*Z122*SUM(AA122:AD122)+2*AA122*SUM(AB122:AD122)+2*AB122*SUM(AC122:AD122)+2*AC122*AD122)*$AK$6^2)</f>
        <v>8976046.3704943601</v>
      </c>
    </row>
    <row r="63" spans="1:40" x14ac:dyDescent="0.6">
      <c r="AH63" s="23"/>
      <c r="AI63" t="s">
        <v>59</v>
      </c>
      <c r="AJ63" s="103">
        <f t="shared" si="39"/>
        <v>255027375.04899496</v>
      </c>
      <c r="AK63" s="103">
        <f>SQRT(SUM(AJ30:AV41)+AJ63^2*$AK$6^2)</f>
        <v>22714818.350147542</v>
      </c>
      <c r="AL63" s="101">
        <f t="shared" si="40"/>
        <v>8.9068157274424561E-2</v>
      </c>
    </row>
    <row r="64" spans="1:40" x14ac:dyDescent="0.6">
      <c r="AH64" s="23"/>
    </row>
    <row r="65" spans="1:34" x14ac:dyDescent="0.6">
      <c r="AH65" s="23"/>
    </row>
    <row r="66" spans="1:34" x14ac:dyDescent="0.6">
      <c r="T66" s="6" t="s">
        <v>33</v>
      </c>
      <c r="AH66" s="23"/>
    </row>
    <row r="67" spans="1:34" x14ac:dyDescent="0.6">
      <c r="R67" t="s">
        <v>3</v>
      </c>
      <c r="AH67" s="23"/>
    </row>
    <row r="68" spans="1:34" x14ac:dyDescent="0.6">
      <c r="D68" s="5" t="s">
        <v>19</v>
      </c>
      <c r="Q68" t="s">
        <v>4</v>
      </c>
      <c r="R68" s="3">
        <v>0</v>
      </c>
      <c r="S68" s="3">
        <v>1</v>
      </c>
      <c r="T68" s="3">
        <v>2</v>
      </c>
      <c r="U68" s="3">
        <v>3</v>
      </c>
      <c r="V68" s="3">
        <v>4</v>
      </c>
      <c r="W68" s="3">
        <v>5</v>
      </c>
      <c r="X68" s="3">
        <v>6</v>
      </c>
      <c r="Y68" s="3">
        <v>7</v>
      </c>
      <c r="Z68" s="3">
        <v>8</v>
      </c>
      <c r="AA68" s="3">
        <v>9</v>
      </c>
      <c r="AB68" s="3">
        <v>10</v>
      </c>
      <c r="AC68" s="3">
        <v>11</v>
      </c>
      <c r="AD68" s="3" t="s">
        <v>12</v>
      </c>
      <c r="AE68" s="14" t="s">
        <v>32</v>
      </c>
      <c r="AF68" s="15" t="s">
        <v>34</v>
      </c>
      <c r="AG68" s="16" t="s">
        <v>35</v>
      </c>
      <c r="AH68" s="3"/>
    </row>
    <row r="69" spans="1:34" x14ac:dyDescent="0.6">
      <c r="B69" s="1" t="s">
        <v>3</v>
      </c>
      <c r="H69" s="1" t="s">
        <v>0</v>
      </c>
      <c r="Q69" t="s">
        <v>13</v>
      </c>
      <c r="AE69" s="10"/>
      <c r="AG69" s="11"/>
    </row>
    <row r="70" spans="1:34" x14ac:dyDescent="0.6">
      <c r="A70" s="1" t="s">
        <v>4</v>
      </c>
      <c r="B70" s="4">
        <v>0</v>
      </c>
      <c r="C70" s="4" t="s">
        <v>5</v>
      </c>
      <c r="D70" s="4" t="s">
        <v>6</v>
      </c>
      <c r="E70" s="4" t="s">
        <v>7</v>
      </c>
      <c r="F70" s="4" t="s">
        <v>8</v>
      </c>
      <c r="G70" s="4" t="s">
        <v>9</v>
      </c>
      <c r="H70" s="4" t="s">
        <v>10</v>
      </c>
      <c r="I70" s="4" t="s">
        <v>11</v>
      </c>
      <c r="J70" s="4">
        <v>8</v>
      </c>
      <c r="K70" s="4">
        <v>9</v>
      </c>
      <c r="L70" s="4">
        <v>10</v>
      </c>
      <c r="M70" s="4">
        <v>11</v>
      </c>
      <c r="N70" s="4" t="s">
        <v>12</v>
      </c>
      <c r="Q70" s="3">
        <v>1993</v>
      </c>
      <c r="R70" s="65">
        <f t="shared" ref="R70:AC70" si="47">+R6</f>
        <v>34432.894189999999</v>
      </c>
      <c r="S70" s="50">
        <f t="shared" si="47"/>
        <v>13796.24447</v>
      </c>
      <c r="T70" s="50">
        <f t="shared" si="47"/>
        <v>1589.4056129999999</v>
      </c>
      <c r="U70" s="50">
        <f t="shared" si="47"/>
        <v>568.13866129999997</v>
      </c>
      <c r="V70" s="50">
        <f t="shared" si="47"/>
        <v>277.9564871</v>
      </c>
      <c r="W70" s="50">
        <f t="shared" si="47"/>
        <v>151.63362100000001</v>
      </c>
      <c r="X70" s="50">
        <f t="shared" si="47"/>
        <v>103.6978751</v>
      </c>
      <c r="Y70" s="50">
        <f t="shared" si="47"/>
        <v>54.677061430000002</v>
      </c>
      <c r="Z70" s="50">
        <f t="shared" si="47"/>
        <v>29.53818261</v>
      </c>
      <c r="AA70" s="50">
        <f t="shared" si="47"/>
        <v>31.423598519999999</v>
      </c>
      <c r="AB70" s="50">
        <f t="shared" si="47"/>
        <v>17.597215169999998</v>
      </c>
      <c r="AC70" s="50">
        <f t="shared" si="47"/>
        <v>19.255203420000001</v>
      </c>
      <c r="AD70" s="41">
        <f>+AD46*$AE$46</f>
        <v>36.137138299999997</v>
      </c>
      <c r="AE70" s="43">
        <f>SUM(AD70)</f>
        <v>36.137138299999997</v>
      </c>
      <c r="AF70" s="52">
        <f>AC36</f>
        <v>1</v>
      </c>
      <c r="AG70" s="32">
        <f>+M72</f>
        <v>36.137138299999997</v>
      </c>
      <c r="AH70" s="31"/>
    </row>
    <row r="71" spans="1:34" x14ac:dyDescent="0.6">
      <c r="A71" s="1" t="s">
        <v>13</v>
      </c>
      <c r="B71"/>
      <c r="C71"/>
      <c r="D71"/>
      <c r="E71"/>
      <c r="F71"/>
      <c r="G71"/>
      <c r="H71"/>
      <c r="I71"/>
      <c r="J71"/>
      <c r="K71"/>
      <c r="L71"/>
      <c r="M71"/>
      <c r="N71"/>
      <c r="Q71" s="3">
        <v>1994</v>
      </c>
      <c r="R71" s="66">
        <f t="shared" ref="R71:AB71" si="48">+R7</f>
        <v>35475.043080000003</v>
      </c>
      <c r="S71" s="67">
        <f t="shared" si="48"/>
        <v>13717.51534</v>
      </c>
      <c r="T71" s="67">
        <f t="shared" si="48"/>
        <v>1500.8483570000001</v>
      </c>
      <c r="U71" s="67">
        <f t="shared" si="48"/>
        <v>547.65603020000003</v>
      </c>
      <c r="V71" s="67">
        <f t="shared" si="48"/>
        <v>209.480818</v>
      </c>
      <c r="W71" s="67">
        <f t="shared" si="48"/>
        <v>133.72216979999999</v>
      </c>
      <c r="X71" s="67">
        <f t="shared" si="48"/>
        <v>50.848937560000003</v>
      </c>
      <c r="Y71" s="67">
        <f t="shared" si="48"/>
        <v>43.99303793</v>
      </c>
      <c r="Z71" s="67">
        <f t="shared" si="48"/>
        <v>26.710058740000001</v>
      </c>
      <c r="AA71" s="67">
        <f t="shared" si="48"/>
        <v>20.111103050000001</v>
      </c>
      <c r="AB71" s="67">
        <f t="shared" si="48"/>
        <v>15.796867069999999</v>
      </c>
      <c r="AC71" s="42">
        <f>+AC47*$AE$47</f>
        <v>15.467119879454307</v>
      </c>
      <c r="AD71" s="57">
        <f>+AD47*$AE$47</f>
        <v>29.027865247373203</v>
      </c>
      <c r="AE71" s="43">
        <f>SUM(AC71:AD71)</f>
        <v>44.494985126827508</v>
      </c>
      <c r="AF71" s="52">
        <f>+AB36</f>
        <v>1.0308552749392557</v>
      </c>
      <c r="AG71" s="32">
        <f>+L73</f>
        <v>43.163173540000003</v>
      </c>
      <c r="AH71" s="31"/>
    </row>
    <row r="72" spans="1:34" x14ac:dyDescent="0.6">
      <c r="A72" s="4">
        <v>1993</v>
      </c>
      <c r="B72" s="27">
        <v>19507.769960000001</v>
      </c>
      <c r="C72" s="28">
        <v>4037.9324099999999</v>
      </c>
      <c r="D72" s="28">
        <v>1374.4681989999999</v>
      </c>
      <c r="E72" s="28">
        <v>727.4563058</v>
      </c>
      <c r="F72" s="28">
        <v>444.9581551</v>
      </c>
      <c r="G72" s="28">
        <v>289.41134240000002</v>
      </c>
      <c r="H72" s="28">
        <v>179.74298350000001</v>
      </c>
      <c r="I72" s="28">
        <v>124.7516861</v>
      </c>
      <c r="J72" s="28">
        <v>98.041627379999994</v>
      </c>
      <c r="K72" s="28">
        <v>70.703096669999994</v>
      </c>
      <c r="L72" s="28">
        <v>53.734353470000002</v>
      </c>
      <c r="M72" s="28">
        <v>36.137138299999997</v>
      </c>
      <c r="N72" s="38"/>
      <c r="Q72" s="3">
        <v>1995</v>
      </c>
      <c r="R72" s="66">
        <f t="shared" ref="R72:AA72" si="49">+R8</f>
        <v>37003.91747</v>
      </c>
      <c r="S72" s="67">
        <f t="shared" si="49"/>
        <v>13820.35557</v>
      </c>
      <c r="T72" s="67">
        <f t="shared" si="49"/>
        <v>1526.872652</v>
      </c>
      <c r="U72" s="67">
        <f t="shared" si="49"/>
        <v>436.47378350000002</v>
      </c>
      <c r="V72" s="67">
        <f t="shared" si="49"/>
        <v>193.56936690000001</v>
      </c>
      <c r="W72" s="67">
        <f t="shared" si="49"/>
        <v>71.960040609999993</v>
      </c>
      <c r="X72" s="67">
        <f t="shared" si="49"/>
        <v>45.506925809999998</v>
      </c>
      <c r="Y72" s="67">
        <f t="shared" si="49"/>
        <v>29.22394662</v>
      </c>
      <c r="Z72" s="67">
        <f t="shared" si="49"/>
        <v>16.824642829999998</v>
      </c>
      <c r="AA72" s="67">
        <f t="shared" si="49"/>
        <v>16.824642829999998</v>
      </c>
      <c r="AB72" s="42">
        <f>+AB48*$AE$48</f>
        <v>11.497491764184318</v>
      </c>
      <c r="AC72" s="42">
        <f>+AC48*$AE$48</f>
        <v>14.201747445612469</v>
      </c>
      <c r="AD72" s="57">
        <f>+AD48*$AE$48</f>
        <v>26.653081785192043</v>
      </c>
      <c r="AE72" s="43">
        <f>SUM(AB72:AD72)</f>
        <v>52.35232099498883</v>
      </c>
      <c r="AF72" s="52">
        <f>+AA36</f>
        <v>1.0232770642739917</v>
      </c>
      <c r="AG72" s="32">
        <f>+K74</f>
        <v>51.161433029999998</v>
      </c>
      <c r="AH72" s="31"/>
    </row>
    <row r="73" spans="1:34" x14ac:dyDescent="0.6">
      <c r="A73" s="4">
        <v>1994</v>
      </c>
      <c r="B73" s="30">
        <v>18794.454280000002</v>
      </c>
      <c r="C73" s="31">
        <v>3309.5333959999998</v>
      </c>
      <c r="D73" s="31">
        <v>1113.9665680000001</v>
      </c>
      <c r="E73" s="31">
        <v>529.17339909999998</v>
      </c>
      <c r="F73" s="31">
        <v>318.00681700000001</v>
      </c>
      <c r="G73" s="31">
        <v>185.3992313</v>
      </c>
      <c r="H73" s="31">
        <v>147.69091299999999</v>
      </c>
      <c r="I73" s="31">
        <v>104.95481909999999</v>
      </c>
      <c r="J73" s="31">
        <v>80.444412209999996</v>
      </c>
      <c r="K73" s="31">
        <v>58.13365726</v>
      </c>
      <c r="L73" s="31">
        <v>43.163173540000003</v>
      </c>
      <c r="M73" s="31">
        <v>0</v>
      </c>
      <c r="N73" s="32"/>
      <c r="Q73" s="3">
        <v>1996</v>
      </c>
      <c r="R73" s="66">
        <f t="shared" ref="R73:Z73" si="50">+R9</f>
        <v>37037.999060000002</v>
      </c>
      <c r="S73" s="67">
        <f t="shared" si="50"/>
        <v>13630.61433</v>
      </c>
      <c r="T73" s="67">
        <f t="shared" si="50"/>
        <v>1462.768511</v>
      </c>
      <c r="U73" s="67">
        <f t="shared" si="50"/>
        <v>499.94945250000001</v>
      </c>
      <c r="V73" s="67">
        <f t="shared" si="50"/>
        <v>163.71694830000001</v>
      </c>
      <c r="W73" s="67">
        <f t="shared" si="50"/>
        <v>79.501704259999997</v>
      </c>
      <c r="X73" s="67">
        <f t="shared" si="50"/>
        <v>63.161433029999998</v>
      </c>
      <c r="Y73" s="67">
        <f t="shared" si="50"/>
        <v>39.593734140000002</v>
      </c>
      <c r="Z73" s="67">
        <f t="shared" si="50"/>
        <v>26.081586770000001</v>
      </c>
      <c r="AA73" s="42">
        <f>+AA49*$AE$49</f>
        <v>12.413811254922516</v>
      </c>
      <c r="AB73" s="42">
        <f>+AB49*$AE$49</f>
        <v>11.821569269953383</v>
      </c>
      <c r="AC73" s="42">
        <f>+AC49*$AE$49</f>
        <v>14.602049266577747</v>
      </c>
      <c r="AD73" s="57">
        <f>+AD49*$AE$49</f>
        <v>27.404346882237903</v>
      </c>
      <c r="AE73" s="43">
        <f>SUM(AA73:AD73)</f>
        <v>66.241776673691547</v>
      </c>
      <c r="AF73" s="52">
        <f>+Z36</f>
        <v>1.0108430169289739</v>
      </c>
      <c r="AG73" s="32">
        <f>+J75</f>
        <v>65.531220540000007</v>
      </c>
      <c r="AH73" s="31"/>
    </row>
    <row r="74" spans="1:34" x14ac:dyDescent="0.6">
      <c r="A74" s="4">
        <v>1995</v>
      </c>
      <c r="B74" s="30">
        <v>18099.364280000002</v>
      </c>
      <c r="C74" s="31">
        <v>2854.2054539999999</v>
      </c>
      <c r="D74" s="31">
        <v>838.38160849999997</v>
      </c>
      <c r="E74" s="31">
        <v>394.9946334</v>
      </c>
      <c r="F74" s="31">
        <v>196.39749080000001</v>
      </c>
      <c r="G74" s="31">
        <v>138.89230549999999</v>
      </c>
      <c r="H74" s="31">
        <v>97.413155410000002</v>
      </c>
      <c r="I74" s="31">
        <v>73.216984550000006</v>
      </c>
      <c r="J74" s="31">
        <v>69.048589460000002</v>
      </c>
      <c r="K74" s="31">
        <v>51.161433029999998</v>
      </c>
      <c r="L74" s="31">
        <v>0</v>
      </c>
      <c r="M74" s="31">
        <v>0</v>
      </c>
      <c r="N74" s="32"/>
      <c r="Q74" s="3">
        <v>1997</v>
      </c>
      <c r="R74" s="66">
        <f t="shared" ref="R74:Y74" si="51">+R10</f>
        <v>36848.594599999997</v>
      </c>
      <c r="S74" s="67">
        <f t="shared" si="51"/>
        <v>13415.99115</v>
      </c>
      <c r="T74" s="67">
        <f t="shared" si="51"/>
        <v>1563.6382619999999</v>
      </c>
      <c r="U74" s="67">
        <f t="shared" si="51"/>
        <v>422.33316409999998</v>
      </c>
      <c r="V74" s="67">
        <f t="shared" si="51"/>
        <v>181.9426354</v>
      </c>
      <c r="W74" s="67">
        <f t="shared" si="51"/>
        <v>106.84023500000001</v>
      </c>
      <c r="X74" s="67">
        <f t="shared" si="51"/>
        <v>80.758648199999996</v>
      </c>
      <c r="Y74" s="67">
        <f t="shared" si="51"/>
        <v>41.793386030000001</v>
      </c>
      <c r="Z74" s="42">
        <f>+Z50*$AE$50</f>
        <v>24.75267078840734</v>
      </c>
      <c r="AA74" s="42">
        <f>+AA50*$AE$50</f>
        <v>15.838771173632042</v>
      </c>
      <c r="AB74" s="42">
        <f>+AB50*$AE$50</f>
        <v>15.083130131029266</v>
      </c>
      <c r="AC74" s="42">
        <f>+AC50*$AE$50</f>
        <v>18.630742183043616</v>
      </c>
      <c r="AD74" s="57">
        <f>+AD50*$AE$50</f>
        <v>34.965182772412959</v>
      </c>
      <c r="AE74" s="43">
        <f>SUM(Z74:AD74)</f>
        <v>109.27049704852521</v>
      </c>
      <c r="AF74" s="52">
        <f>+Y36</f>
        <v>1.067536684093878</v>
      </c>
      <c r="AG74" s="32">
        <f>+I76</f>
        <v>102.35760388999999</v>
      </c>
      <c r="AH74" s="31"/>
    </row>
    <row r="75" spans="1:34" x14ac:dyDescent="0.6">
      <c r="A75" s="4">
        <v>1996</v>
      </c>
      <c r="B75" s="30">
        <v>17564.534629999998</v>
      </c>
      <c r="C75" s="31">
        <v>2732.2818910000001</v>
      </c>
      <c r="D75" s="31">
        <v>875.14721880000002</v>
      </c>
      <c r="E75" s="31">
        <v>394.9946334</v>
      </c>
      <c r="F75" s="31">
        <v>250.13184419999999</v>
      </c>
      <c r="G75" s="31">
        <v>177.54333159999999</v>
      </c>
      <c r="H75" s="31">
        <v>123.4947422</v>
      </c>
      <c r="I75" s="31">
        <v>88.928783809999999</v>
      </c>
      <c r="J75" s="31">
        <v>65.531220540000007</v>
      </c>
      <c r="K75" s="31">
        <v>0</v>
      </c>
      <c r="L75" s="31">
        <v>0</v>
      </c>
      <c r="M75" s="31">
        <v>0</v>
      </c>
      <c r="N75" s="32"/>
      <c r="Q75" s="3">
        <v>1998</v>
      </c>
      <c r="R75" s="66">
        <f t="shared" ref="R75:X75" si="52">+R11</f>
        <v>39171.45652</v>
      </c>
      <c r="S75" s="67">
        <f t="shared" si="52"/>
        <v>12600.863009999999</v>
      </c>
      <c r="T75" s="67">
        <f t="shared" si="52"/>
        <v>1591.9195010000001</v>
      </c>
      <c r="U75" s="67">
        <f t="shared" si="52"/>
        <v>559.3400537</v>
      </c>
      <c r="V75" s="67">
        <f t="shared" si="52"/>
        <v>273.07107109999998</v>
      </c>
      <c r="W75" s="67">
        <f t="shared" si="52"/>
        <v>175.3436797</v>
      </c>
      <c r="X75" s="67">
        <f t="shared" si="52"/>
        <v>154.67358039000001</v>
      </c>
      <c r="Y75" s="42">
        <f t="shared" ref="Y75:AD75" si="53">+Y51*$AE$51</f>
        <v>41.431566968386171</v>
      </c>
      <c r="Z75" s="42">
        <f t="shared" si="53"/>
        <v>25.650268164833875</v>
      </c>
      <c r="AA75" s="42">
        <f t="shared" si="53"/>
        <v>16.413126950138011</v>
      </c>
      <c r="AB75" s="42">
        <f t="shared" si="53"/>
        <v>15.630084362742013</v>
      </c>
      <c r="AC75" s="42">
        <f t="shared" si="53"/>
        <v>19.30634222020046</v>
      </c>
      <c r="AD75" s="57">
        <f t="shared" si="53"/>
        <v>36.23311287139407</v>
      </c>
      <c r="AE75" s="43">
        <f>SUM(Y75:AD75)</f>
        <v>154.6645015376946</v>
      </c>
      <c r="AF75" s="52">
        <f>+X36</f>
        <v>1.0636593024150973</v>
      </c>
      <c r="AG75" s="32">
        <f>+H77</f>
        <v>145.40793389999999</v>
      </c>
      <c r="AH75" s="31"/>
    </row>
    <row r="76" spans="1:34" x14ac:dyDescent="0.6">
      <c r="A76" s="4">
        <v>1997</v>
      </c>
      <c r="B76" s="30">
        <v>17206.934079999999</v>
      </c>
      <c r="C76" s="31">
        <v>2642.096164</v>
      </c>
      <c r="D76" s="31">
        <v>869.49097110000002</v>
      </c>
      <c r="E76" s="31">
        <v>473.55362969999999</v>
      </c>
      <c r="F76" s="31">
        <v>317.69258100000002</v>
      </c>
      <c r="G76" s="31">
        <v>216.19435780000001</v>
      </c>
      <c r="H76" s="31">
        <v>141.09195740000001</v>
      </c>
      <c r="I76" s="31">
        <v>102.35760388999999</v>
      </c>
      <c r="J76" s="31">
        <v>0</v>
      </c>
      <c r="K76" s="31">
        <v>0</v>
      </c>
      <c r="L76" s="31">
        <v>0</v>
      </c>
      <c r="M76" s="31">
        <v>0</v>
      </c>
      <c r="N76" s="32"/>
      <c r="Q76" s="3">
        <v>1999</v>
      </c>
      <c r="R76" s="66">
        <f t="shared" ref="R76:W76" si="54">+R12</f>
        <v>37492.266230000001</v>
      </c>
      <c r="S76" s="67">
        <f t="shared" si="54"/>
        <v>12282.227720000001</v>
      </c>
      <c r="T76" s="67">
        <f t="shared" si="54"/>
        <v>2056.6745230000001</v>
      </c>
      <c r="U76" s="67">
        <f t="shared" si="54"/>
        <v>739.39727319999997</v>
      </c>
      <c r="V76" s="67">
        <f t="shared" si="54"/>
        <v>390.59532960000001</v>
      </c>
      <c r="W76" s="67">
        <f t="shared" si="54"/>
        <v>287</v>
      </c>
      <c r="X76" s="42">
        <f t="shared" ref="X76:AD76" si="55">+X52*$AE$52</f>
        <v>169.50405943068648</v>
      </c>
      <c r="Y76" s="42">
        <f t="shared" si="55"/>
        <v>47.360482716307544</v>
      </c>
      <c r="Z76" s="42">
        <f t="shared" si="55"/>
        <v>29.320857765679321</v>
      </c>
      <c r="AA76" s="42">
        <f t="shared" si="55"/>
        <v>18.761868597335635</v>
      </c>
      <c r="AB76" s="42">
        <f t="shared" si="55"/>
        <v>17.866771509774395</v>
      </c>
      <c r="AC76" s="42">
        <f t="shared" si="55"/>
        <v>22.069107058697814</v>
      </c>
      <c r="AD76" s="57">
        <f t="shared" si="55"/>
        <v>41.418122496140796</v>
      </c>
      <c r="AE76" s="43">
        <f>SUM(X76:AD76)</f>
        <v>346.30126957462198</v>
      </c>
      <c r="AF76" s="52">
        <f>+W36</f>
        <v>1.0651273854437944</v>
      </c>
      <c r="AG76" s="32">
        <f>+G78</f>
        <v>325.12662269999998</v>
      </c>
      <c r="AH76" s="31"/>
    </row>
    <row r="77" spans="1:34" x14ac:dyDescent="0.6">
      <c r="A77" s="4">
        <v>1998</v>
      </c>
      <c r="B77" s="30">
        <v>16775.17383</v>
      </c>
      <c r="C77" s="31">
        <v>3170.0126190000001</v>
      </c>
      <c r="D77" s="31">
        <v>1310.3640580000001</v>
      </c>
      <c r="E77" s="31">
        <v>757.93719629999998</v>
      </c>
      <c r="F77" s="31">
        <v>476.38175360000002</v>
      </c>
      <c r="G77" s="31">
        <v>295.69606210000001</v>
      </c>
      <c r="H77" s="31">
        <v>145.40793389999999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2"/>
      <c r="Q77" s="3">
        <v>2000</v>
      </c>
      <c r="R77" s="66">
        <f>+R13</f>
        <v>34187.61825</v>
      </c>
      <c r="S77" s="67">
        <f>+S13</f>
        <v>12245.147870000001</v>
      </c>
      <c r="T77" s="67">
        <f>+T13</f>
        <v>1937.893321</v>
      </c>
      <c r="U77" s="67">
        <f>+U13</f>
        <v>761.39379220000001</v>
      </c>
      <c r="V77" s="67">
        <f>+V13</f>
        <v>295.20472840000002</v>
      </c>
      <c r="W77" s="42">
        <f t="shared" ref="W77:AD77" si="56">+W53*$AE$53</f>
        <v>345.65396655828846</v>
      </c>
      <c r="X77" s="42">
        <f t="shared" si="56"/>
        <v>183.22576441950358</v>
      </c>
      <c r="Y77" s="42">
        <f t="shared" si="56"/>
        <v>51.194411969352281</v>
      </c>
      <c r="Z77" s="42">
        <f t="shared" si="56"/>
        <v>31.694441983255178</v>
      </c>
      <c r="AA77" s="42">
        <f t="shared" si="56"/>
        <v>20.280680753199462</v>
      </c>
      <c r="AB77" s="42">
        <f t="shared" si="56"/>
        <v>19.313123700885065</v>
      </c>
      <c r="AC77" s="42">
        <f t="shared" si="56"/>
        <v>23.85564702383596</v>
      </c>
      <c r="AD77" s="57">
        <f t="shared" si="56"/>
        <v>44.771005370990956</v>
      </c>
      <c r="AE77" s="43">
        <f>SUM(W77:AD77)</f>
        <v>719.98904177931092</v>
      </c>
      <c r="AF77" s="52">
        <f>+V36</f>
        <v>1.05148699915913</v>
      </c>
      <c r="AG77" s="32">
        <f>+F79</f>
        <v>684.73413589999996</v>
      </c>
      <c r="AH77" s="31"/>
    </row>
    <row r="78" spans="1:34" x14ac:dyDescent="0.6">
      <c r="A78" s="4">
        <v>1999</v>
      </c>
      <c r="B78" s="30">
        <v>17413.07288</v>
      </c>
      <c r="C78" s="31">
        <v>4395.5329609999999</v>
      </c>
      <c r="D78" s="31">
        <v>1899.5565309999999</v>
      </c>
      <c r="E78" s="31">
        <v>1056.461382</v>
      </c>
      <c r="F78" s="31">
        <v>614.95982300000003</v>
      </c>
      <c r="G78" s="31">
        <v>325.12662269999998</v>
      </c>
      <c r="H78" s="31">
        <v>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2"/>
      <c r="Q78" s="3">
        <v>2001</v>
      </c>
      <c r="R78" s="66">
        <f>+R14</f>
        <v>31307.643700000001</v>
      </c>
      <c r="S78" s="67">
        <f>+S14</f>
        <v>10743.09986</v>
      </c>
      <c r="T78" s="67">
        <f>+T14</f>
        <v>1907.726666</v>
      </c>
      <c r="U78" s="67">
        <f>+U14</f>
        <v>638.82776130000002</v>
      </c>
      <c r="V78" s="42">
        <f t="shared" ref="V78:AD78" si="57">+V54*$AE$54</f>
        <v>372.96848837648275</v>
      </c>
      <c r="W78" s="42">
        <f t="shared" si="57"/>
        <v>337.85599378360905</v>
      </c>
      <c r="X78" s="42">
        <f t="shared" si="57"/>
        <v>179.09218094933624</v>
      </c>
      <c r="Y78" s="42">
        <f t="shared" si="57"/>
        <v>50.039463178433635</v>
      </c>
      <c r="Z78" s="42">
        <f t="shared" si="57"/>
        <v>30.979413603413342</v>
      </c>
      <c r="AA78" s="42">
        <f t="shared" si="57"/>
        <v>19.82314746364948</v>
      </c>
      <c r="AB78" s="42">
        <f t="shared" si="57"/>
        <v>18.87741855242955</v>
      </c>
      <c r="AC78" s="42">
        <f t="shared" si="57"/>
        <v>23.317462295720414</v>
      </c>
      <c r="AD78" s="57">
        <f t="shared" si="57"/>
        <v>43.760968991387784</v>
      </c>
      <c r="AE78" s="43">
        <f>SUM(V78:AD78)</f>
        <v>1076.7145371944621</v>
      </c>
      <c r="AF78" s="52">
        <f>+U36</f>
        <v>1.0249632226413627</v>
      </c>
      <c r="AG78" s="32">
        <f>+E80</f>
        <v>1050.4908989999999</v>
      </c>
      <c r="AH78" s="31"/>
    </row>
    <row r="79" spans="1:34" x14ac:dyDescent="0.6">
      <c r="A79" s="4">
        <v>2000</v>
      </c>
      <c r="B79" s="30">
        <v>17713.796719999998</v>
      </c>
      <c r="C79" s="31">
        <v>4325.1441000000004</v>
      </c>
      <c r="D79" s="31">
        <v>1884.7874389999999</v>
      </c>
      <c r="E79" s="31">
        <v>1005.869389</v>
      </c>
      <c r="F79" s="31">
        <v>684.73413589999996</v>
      </c>
      <c r="G79" s="31">
        <v>0</v>
      </c>
      <c r="H79" s="31">
        <v>0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2"/>
      <c r="Q79" s="3">
        <v>2002</v>
      </c>
      <c r="R79" s="66">
        <f>+R15</f>
        <v>30356.739580000001</v>
      </c>
      <c r="S79" s="67">
        <f>+S15</f>
        <v>10117.45602</v>
      </c>
      <c r="T79" s="67">
        <f>+T15</f>
        <v>1611.0564939999999</v>
      </c>
      <c r="U79" s="42">
        <f t="shared" ref="U79:AD79" si="58">+U55*$AE$55</f>
        <v>843.31104929342041</v>
      </c>
      <c r="V79" s="42">
        <f t="shared" si="58"/>
        <v>354.6208503113474</v>
      </c>
      <c r="W79" s="42">
        <f t="shared" si="58"/>
        <v>321.23566341987868</v>
      </c>
      <c r="X79" s="42">
        <f t="shared" si="58"/>
        <v>170.28200363205772</v>
      </c>
      <c r="Y79" s="42">
        <f t="shared" si="58"/>
        <v>47.577845138346532</v>
      </c>
      <c r="Z79" s="42">
        <f t="shared" si="58"/>
        <v>29.455426762756161</v>
      </c>
      <c r="AA79" s="42">
        <f t="shared" si="58"/>
        <v>18.847976782185068</v>
      </c>
      <c r="AB79" s="42">
        <f t="shared" si="58"/>
        <v>17.948771618443992</v>
      </c>
      <c r="AC79" s="42">
        <f t="shared" si="58"/>
        <v>22.170393918277579</v>
      </c>
      <c r="AD79" s="57">
        <f t="shared" si="58"/>
        <v>41.608212269422793</v>
      </c>
      <c r="AE79" s="43">
        <f>SUM(U79:AD79)</f>
        <v>1867.0581931461361</v>
      </c>
      <c r="AF79" s="52">
        <f>+T36</f>
        <v>0.98533662261948152</v>
      </c>
      <c r="AG79" s="32">
        <f>+D81</f>
        <v>1894.842991</v>
      </c>
      <c r="AH79" s="31"/>
    </row>
    <row r="80" spans="1:34" x14ac:dyDescent="0.6">
      <c r="A80" s="4">
        <v>2001</v>
      </c>
      <c r="B80" s="30">
        <v>15416.731669999999</v>
      </c>
      <c r="C80" s="31">
        <v>3872.330046</v>
      </c>
      <c r="D80" s="31">
        <v>1806.5426789999999</v>
      </c>
      <c r="E80" s="31">
        <v>1050.4908989999999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2"/>
      <c r="Q80" s="3">
        <v>2003</v>
      </c>
      <c r="R80" s="66">
        <f>+R16</f>
        <v>30717.083180000001</v>
      </c>
      <c r="S80" s="67">
        <f>+S16</f>
        <v>11081.48191</v>
      </c>
      <c r="T80" s="42">
        <f t="shared" ref="T80:AD80" si="59">+T56*$AE$56</f>
        <v>1844.2542115337685</v>
      </c>
      <c r="U80" s="42">
        <f t="shared" si="59"/>
        <v>702.92974896949295</v>
      </c>
      <c r="V80" s="42">
        <f t="shared" si="59"/>
        <v>295.58908957443487</v>
      </c>
      <c r="W80" s="42">
        <f t="shared" si="59"/>
        <v>267.7613490739609</v>
      </c>
      <c r="X80" s="42">
        <f t="shared" si="59"/>
        <v>141.93610550625866</v>
      </c>
      <c r="Y80" s="42">
        <f t="shared" si="59"/>
        <v>39.657825861084994</v>
      </c>
      <c r="Z80" s="42">
        <f t="shared" si="59"/>
        <v>24.552145685131858</v>
      </c>
      <c r="AA80" s="42">
        <f t="shared" si="59"/>
        <v>15.710458909775781</v>
      </c>
      <c r="AB80" s="42">
        <f t="shared" si="59"/>
        <v>14.960939428737102</v>
      </c>
      <c r="AC80" s="42">
        <f t="shared" si="59"/>
        <v>18.479811742757416</v>
      </c>
      <c r="AD80" s="57">
        <f t="shared" si="59"/>
        <v>34.68192457589673</v>
      </c>
      <c r="AE80" s="43">
        <f>SUM(T80:AD80)</f>
        <v>3400.5136108612992</v>
      </c>
      <c r="AF80" s="52">
        <f>+S36</f>
        <v>0.86509939346164111</v>
      </c>
      <c r="AG80" s="32">
        <f>+C82</f>
        <v>3930.7779390000001</v>
      </c>
      <c r="AH80" s="31"/>
    </row>
    <row r="81" spans="1:34" x14ac:dyDescent="0.6">
      <c r="A81" s="4">
        <v>2002</v>
      </c>
      <c r="B81" s="30">
        <v>14125.85024</v>
      </c>
      <c r="C81" s="31">
        <v>3751.0349550000001</v>
      </c>
      <c r="D81" s="31">
        <v>1894.842991</v>
      </c>
      <c r="E81" s="31">
        <v>0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2"/>
      <c r="Q81" s="3">
        <v>2004</v>
      </c>
      <c r="R81" s="68">
        <f>+R17</f>
        <v>30589.517080000001</v>
      </c>
      <c r="S81" s="69">
        <f t="shared" ref="S81:AD81" si="60">+S57*$AE$57</f>
        <v>10876.404005431554</v>
      </c>
      <c r="T81" s="69">
        <f t="shared" si="60"/>
        <v>1634.4570420113639</v>
      </c>
      <c r="U81" s="69">
        <f t="shared" si="60"/>
        <v>622.96643871398908</v>
      </c>
      <c r="V81" s="69">
        <f t="shared" si="60"/>
        <v>261.96370650815601</v>
      </c>
      <c r="W81" s="69">
        <f t="shared" si="60"/>
        <v>237.30157146201262</v>
      </c>
      <c r="X81" s="69">
        <f t="shared" si="60"/>
        <v>125.78985354054841</v>
      </c>
      <c r="Y81" s="69">
        <f t="shared" si="60"/>
        <v>35.146463185031422</v>
      </c>
      <c r="Z81" s="69">
        <f t="shared" si="60"/>
        <v>21.759162679736633</v>
      </c>
      <c r="AA81" s="69">
        <f t="shared" si="60"/>
        <v>13.923281312156043</v>
      </c>
      <c r="AB81" s="69">
        <f t="shared" si="60"/>
        <v>13.259025058193334</v>
      </c>
      <c r="AC81" s="69">
        <f t="shared" si="60"/>
        <v>16.377600359591806</v>
      </c>
      <c r="AD81" s="70">
        <f t="shared" si="60"/>
        <v>30.736606428263784</v>
      </c>
      <c r="AE81" s="46">
        <f>SUM(S81:AD81)</f>
        <v>13890.084756690596</v>
      </c>
      <c r="AF81" s="53">
        <f>+R36</f>
        <v>0.91515120550456575</v>
      </c>
      <c r="AG81" s="35">
        <f>+B83</f>
        <v>15177.912319999999</v>
      </c>
      <c r="AH81" s="31"/>
    </row>
    <row r="82" spans="1:34" x14ac:dyDescent="0.6">
      <c r="A82" s="4">
        <v>2003</v>
      </c>
      <c r="B82" s="30">
        <v>15480.521580000001</v>
      </c>
      <c r="C82" s="31">
        <v>3930.7779390000001</v>
      </c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2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63" t="s">
        <v>32</v>
      </c>
      <c r="AE82" s="64">
        <f>SUM(AE70:AE81)</f>
        <v>21763.822628928152</v>
      </c>
    </row>
    <row r="83" spans="1:34" x14ac:dyDescent="0.6">
      <c r="A83" s="4">
        <v>2004</v>
      </c>
      <c r="B83" s="33">
        <v>15177.912319999999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5"/>
    </row>
    <row r="84" spans="1:34" x14ac:dyDescent="0.6">
      <c r="Q84" t="s">
        <v>36</v>
      </c>
      <c r="S84" s="3">
        <v>2005</v>
      </c>
      <c r="T84" s="3">
        <v>2006</v>
      </c>
      <c r="U84" s="3">
        <v>2007</v>
      </c>
      <c r="V84" s="3">
        <v>2008</v>
      </c>
      <c r="W84" s="3">
        <v>2009</v>
      </c>
      <c r="X84" s="3">
        <v>2010</v>
      </c>
      <c r="Y84" s="3">
        <v>2011</v>
      </c>
      <c r="Z84" s="3">
        <v>2012</v>
      </c>
      <c r="AA84" s="3">
        <v>2013</v>
      </c>
      <c r="AB84" s="3">
        <v>2014</v>
      </c>
      <c r="AC84" s="3">
        <v>2015</v>
      </c>
      <c r="AD84" s="3">
        <v>2016</v>
      </c>
    </row>
    <row r="85" spans="1:34" x14ac:dyDescent="0.6">
      <c r="Q85" t="s">
        <v>48</v>
      </c>
      <c r="S85" s="71">
        <v>1.0599999999999996</v>
      </c>
      <c r="T85" s="72">
        <v>1.0525000000000002</v>
      </c>
      <c r="U85" s="72">
        <v>1.0449999999999999</v>
      </c>
      <c r="V85" s="72">
        <v>1.0375000000000001</v>
      </c>
      <c r="W85" s="72">
        <v>1.0299999999999998</v>
      </c>
      <c r="X85" s="72">
        <v>1.0299999999999998</v>
      </c>
      <c r="Y85" s="72">
        <v>1.0299999999999998</v>
      </c>
      <c r="Z85" s="72">
        <v>1.0299999999999998</v>
      </c>
      <c r="AA85" s="72">
        <v>1.0299999999999998</v>
      </c>
      <c r="AB85" s="72">
        <v>1.0299999999999998</v>
      </c>
      <c r="AC85" s="72">
        <v>1.0299999999999998</v>
      </c>
      <c r="AD85" s="73">
        <v>1.0299999999999998</v>
      </c>
    </row>
    <row r="87" spans="1:34" x14ac:dyDescent="0.6">
      <c r="T87" s="6" t="s">
        <v>37</v>
      </c>
      <c r="Z87" t="s">
        <v>38</v>
      </c>
    </row>
    <row r="88" spans="1:34" x14ac:dyDescent="0.6">
      <c r="A88"/>
      <c r="B88"/>
      <c r="C88"/>
      <c r="D88" s="6" t="s">
        <v>42</v>
      </c>
      <c r="E88"/>
      <c r="F88"/>
      <c r="G88"/>
      <c r="H88"/>
      <c r="I88"/>
      <c r="J88" t="s">
        <v>38</v>
      </c>
      <c r="K88"/>
      <c r="L88"/>
      <c r="M88"/>
      <c r="N88"/>
      <c r="R88" t="s">
        <v>3</v>
      </c>
    </row>
    <row r="89" spans="1:34" x14ac:dyDescent="0.6">
      <c r="A89"/>
      <c r="B89" t="s">
        <v>3</v>
      </c>
      <c r="C89"/>
      <c r="D89"/>
      <c r="E89"/>
      <c r="F89"/>
      <c r="G89"/>
      <c r="H89"/>
      <c r="I89"/>
      <c r="J89"/>
      <c r="K89"/>
      <c r="L89"/>
      <c r="M89"/>
      <c r="N89"/>
      <c r="Q89" t="s">
        <v>4</v>
      </c>
      <c r="R89" s="3">
        <v>0</v>
      </c>
      <c r="S89" s="3">
        <v>1</v>
      </c>
      <c r="T89" s="3">
        <v>2</v>
      </c>
      <c r="U89" s="3">
        <v>3</v>
      </c>
      <c r="V89" s="3">
        <v>4</v>
      </c>
      <c r="W89" s="3">
        <v>5</v>
      </c>
      <c r="X89" s="3">
        <v>6</v>
      </c>
      <c r="Y89" s="3">
        <v>7</v>
      </c>
      <c r="Z89" s="3">
        <v>8</v>
      </c>
      <c r="AA89" s="3">
        <v>9</v>
      </c>
      <c r="AB89" s="3">
        <v>10</v>
      </c>
      <c r="AC89" s="3">
        <v>11</v>
      </c>
      <c r="AD89" s="3" t="s">
        <v>12</v>
      </c>
    </row>
    <row r="90" spans="1:34" x14ac:dyDescent="0.6">
      <c r="A90" t="s">
        <v>4</v>
      </c>
      <c r="B90" s="3">
        <v>0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 t="s">
        <v>12</v>
      </c>
      <c r="Q90" t="s">
        <v>13</v>
      </c>
    </row>
    <row r="91" spans="1:34" x14ac:dyDescent="0.6">
      <c r="A91" t="s">
        <v>13</v>
      </c>
      <c r="B91"/>
      <c r="C91"/>
      <c r="D91"/>
      <c r="E91"/>
      <c r="F91"/>
      <c r="G91"/>
      <c r="H91"/>
      <c r="I91"/>
      <c r="J91"/>
      <c r="K91"/>
      <c r="L91"/>
      <c r="M91"/>
      <c r="N91"/>
      <c r="Q91" s="3">
        <v>1993</v>
      </c>
      <c r="R91" s="74">
        <f t="shared" ref="R91:AC91" si="61">+B6*1000/B28</f>
        <v>826.13555755825359</v>
      </c>
      <c r="S91" s="75">
        <f t="shared" si="61"/>
        <v>2120.2286929321135</v>
      </c>
      <c r="T91" s="75">
        <f t="shared" si="61"/>
        <v>7841.9150455082745</v>
      </c>
      <c r="U91" s="75">
        <f t="shared" si="61"/>
        <v>9054.2778363814195</v>
      </c>
      <c r="V91" s="75">
        <f t="shared" si="61"/>
        <v>9810.7004137627118</v>
      </c>
      <c r="W91" s="75">
        <f t="shared" si="61"/>
        <v>15559.626199258275</v>
      </c>
      <c r="X91" s="75">
        <f t="shared" si="61"/>
        <v>12862.906821511138</v>
      </c>
      <c r="Y91" s="75">
        <f t="shared" si="61"/>
        <v>22649.900005791147</v>
      </c>
      <c r="Z91" s="75">
        <f t="shared" si="61"/>
        <v>31871.983721208366</v>
      </c>
      <c r="AA91" s="75">
        <f t="shared" si="61"/>
        <v>27370.000000241856</v>
      </c>
      <c r="AB91" s="75">
        <f t="shared" si="61"/>
        <v>16017.85714256286</v>
      </c>
      <c r="AC91" s="77">
        <f t="shared" si="61"/>
        <v>37763.406282414646</v>
      </c>
      <c r="AD91" s="40">
        <f>+AC91*S85</f>
        <v>40029.210659359509</v>
      </c>
    </row>
    <row r="92" spans="1:34" x14ac:dyDescent="0.6">
      <c r="A92" s="3">
        <v>1993</v>
      </c>
      <c r="B92" s="27">
        <f t="shared" ref="B92:M92" si="62">+B6/B28*1000</f>
        <v>826.13555755825348</v>
      </c>
      <c r="C92" s="28">
        <f t="shared" si="62"/>
        <v>2120.2286929321135</v>
      </c>
      <c r="D92" s="28">
        <f t="shared" si="62"/>
        <v>7841.9150455082736</v>
      </c>
      <c r="E92" s="28">
        <f t="shared" si="62"/>
        <v>9054.2778363814195</v>
      </c>
      <c r="F92" s="28">
        <f t="shared" si="62"/>
        <v>9810.7004137627118</v>
      </c>
      <c r="G92" s="28">
        <f t="shared" si="62"/>
        <v>15559.626199258277</v>
      </c>
      <c r="H92" s="28">
        <f t="shared" si="62"/>
        <v>12862.906821511138</v>
      </c>
      <c r="I92" s="28">
        <f t="shared" si="62"/>
        <v>22649.900005791147</v>
      </c>
      <c r="J92" s="28">
        <f t="shared" si="62"/>
        <v>31871.983721208366</v>
      </c>
      <c r="K92" s="28">
        <f t="shared" si="62"/>
        <v>27370.000000241856</v>
      </c>
      <c r="L92" s="28">
        <f t="shared" si="62"/>
        <v>16017.85714256286</v>
      </c>
      <c r="M92" s="28">
        <f t="shared" si="62"/>
        <v>37763.406282414646</v>
      </c>
      <c r="N92" s="38"/>
      <c r="Q92" s="3">
        <v>1994</v>
      </c>
      <c r="R92" s="76">
        <f t="shared" ref="R92:AB92" si="63">+B7*1000/B29</f>
        <v>901.00097180769922</v>
      </c>
      <c r="S92" s="77">
        <f t="shared" si="63"/>
        <v>2632.1308425815832</v>
      </c>
      <c r="T92" s="77">
        <f t="shared" si="63"/>
        <v>8955.8235829151108</v>
      </c>
      <c r="U92" s="77">
        <f t="shared" si="63"/>
        <v>10715.183086465719</v>
      </c>
      <c r="V92" s="77">
        <f t="shared" si="63"/>
        <v>13757.69080202847</v>
      </c>
      <c r="W92" s="77">
        <f t="shared" si="63"/>
        <v>18112.089413613452</v>
      </c>
      <c r="X92" s="77">
        <f t="shared" si="63"/>
        <v>18053.55398068616</v>
      </c>
      <c r="Y92" s="77">
        <f t="shared" si="63"/>
        <v>24457.923131202133</v>
      </c>
      <c r="Z92" s="77">
        <f t="shared" si="63"/>
        <v>27470.588239522531</v>
      </c>
      <c r="AA92" s="77">
        <f t="shared" si="63"/>
        <v>22781.25000209772</v>
      </c>
      <c r="AB92" s="77">
        <f t="shared" si="63"/>
        <v>28883.616509409545</v>
      </c>
      <c r="AC92" s="42">
        <f>+AC91*S85</f>
        <v>40029.210659359509</v>
      </c>
      <c r="AD92" s="42">
        <f>+AD91*T85</f>
        <v>42130.744218975895</v>
      </c>
    </row>
    <row r="93" spans="1:34" x14ac:dyDescent="0.6">
      <c r="A93" s="3">
        <v>1994</v>
      </c>
      <c r="B93" s="30">
        <f t="shared" ref="B93:L93" si="64">+B7/B29*1000</f>
        <v>901.00097180769922</v>
      </c>
      <c r="C93" s="31">
        <f t="shared" si="64"/>
        <v>2632.1308425815837</v>
      </c>
      <c r="D93" s="31">
        <f t="shared" si="64"/>
        <v>8955.8235829151126</v>
      </c>
      <c r="E93" s="31">
        <f t="shared" si="64"/>
        <v>10715.18308646572</v>
      </c>
      <c r="F93" s="31">
        <f t="shared" si="64"/>
        <v>13757.69080202847</v>
      </c>
      <c r="G93" s="31">
        <f t="shared" si="64"/>
        <v>18112.089413613452</v>
      </c>
      <c r="H93" s="31">
        <f t="shared" si="64"/>
        <v>18053.55398068616</v>
      </c>
      <c r="I93" s="31">
        <f t="shared" si="64"/>
        <v>24457.923131202137</v>
      </c>
      <c r="J93" s="31">
        <f t="shared" si="64"/>
        <v>27470.588239522531</v>
      </c>
      <c r="K93" s="31">
        <f t="shared" si="64"/>
        <v>22781.25000209772</v>
      </c>
      <c r="L93" s="31">
        <f t="shared" si="64"/>
        <v>28883.616509409545</v>
      </c>
      <c r="M93" s="31"/>
      <c r="N93" s="32"/>
      <c r="Q93" s="3">
        <v>1995</v>
      </c>
      <c r="R93" s="76">
        <f t="shared" ref="R93:AA93" si="65">+B8*1000/B30</f>
        <v>1020.8308420486811</v>
      </c>
      <c r="S93" s="77">
        <f t="shared" si="65"/>
        <v>2903.3544453154764</v>
      </c>
      <c r="T93" s="77">
        <f t="shared" si="65"/>
        <v>8482.1588644185103</v>
      </c>
      <c r="U93" s="77">
        <f t="shared" si="65"/>
        <v>13823.866843997972</v>
      </c>
      <c r="V93" s="77">
        <f t="shared" si="65"/>
        <v>15548.203231737694</v>
      </c>
      <c r="W93" s="77">
        <f t="shared" si="65"/>
        <v>17570.810915082948</v>
      </c>
      <c r="X93" s="77">
        <f t="shared" si="65"/>
        <v>27467.302937992066</v>
      </c>
      <c r="Y93" s="77">
        <f t="shared" si="65"/>
        <v>38827.957009182363</v>
      </c>
      <c r="Z93" s="77">
        <f t="shared" si="65"/>
        <v>53752.770536526157</v>
      </c>
      <c r="AA93" s="77">
        <f t="shared" si="65"/>
        <v>33245.285463215987</v>
      </c>
      <c r="AB93" s="42">
        <f>+AB92*S85</f>
        <v>30616.633499974105</v>
      </c>
      <c r="AC93" s="42">
        <f>+AC92*T85</f>
        <v>42130.744218975895</v>
      </c>
      <c r="AD93" s="42">
        <f>+AD92*U85</f>
        <v>44026.627708829808</v>
      </c>
    </row>
    <row r="94" spans="1:34" x14ac:dyDescent="0.6">
      <c r="A94" s="3">
        <v>1995</v>
      </c>
      <c r="B94" s="30">
        <f t="shared" ref="B94:K94" si="66">+B8/B30*1000</f>
        <v>1020.8308420486811</v>
      </c>
      <c r="C94" s="31">
        <f t="shared" si="66"/>
        <v>2903.3544453154764</v>
      </c>
      <c r="D94" s="31">
        <f t="shared" si="66"/>
        <v>8482.1588644185103</v>
      </c>
      <c r="E94" s="31">
        <f t="shared" si="66"/>
        <v>13823.866843997972</v>
      </c>
      <c r="F94" s="31">
        <f t="shared" si="66"/>
        <v>15548.203231737696</v>
      </c>
      <c r="G94" s="31">
        <f t="shared" si="66"/>
        <v>17570.810915082948</v>
      </c>
      <c r="H94" s="31">
        <f t="shared" si="66"/>
        <v>27467.302937992066</v>
      </c>
      <c r="I94" s="31">
        <f t="shared" si="66"/>
        <v>38827.957009182363</v>
      </c>
      <c r="J94" s="31">
        <f t="shared" si="66"/>
        <v>53752.770536526157</v>
      </c>
      <c r="K94" s="31">
        <f t="shared" si="66"/>
        <v>33245.285463215987</v>
      </c>
      <c r="L94" s="31"/>
      <c r="M94" s="31"/>
      <c r="N94" s="32"/>
      <c r="Q94" s="3">
        <v>1996</v>
      </c>
      <c r="R94" s="76">
        <f t="shared" ref="R94:Z94" si="67">+B9*1000/B31</f>
        <v>1091.2461028071532</v>
      </c>
      <c r="S94" s="77">
        <f t="shared" si="67"/>
        <v>3264.6321847769568</v>
      </c>
      <c r="T94" s="77">
        <f t="shared" si="67"/>
        <v>10507.762174544103</v>
      </c>
      <c r="U94" s="77">
        <f t="shared" si="67"/>
        <v>11188.83822760062</v>
      </c>
      <c r="V94" s="77">
        <f t="shared" si="67"/>
        <v>15975.843473500661</v>
      </c>
      <c r="W94" s="77">
        <f t="shared" si="67"/>
        <v>24959.36169507217</v>
      </c>
      <c r="X94" s="77">
        <f t="shared" si="67"/>
        <v>33830.8457628736</v>
      </c>
      <c r="Y94" s="77">
        <f t="shared" si="67"/>
        <v>29912.698403545932</v>
      </c>
      <c r="Z94" s="77">
        <f t="shared" si="67"/>
        <v>33457.831327338368</v>
      </c>
      <c r="AA94" s="42">
        <f>+AA93*S85</f>
        <v>35240.002591008932</v>
      </c>
      <c r="AB94" s="42">
        <f>+AB93*T85</f>
        <v>32224.006758722753</v>
      </c>
      <c r="AC94" s="42">
        <f>+AC93*U85</f>
        <v>44026.627708829808</v>
      </c>
      <c r="AD94" s="42">
        <f>+AD93*V85</f>
        <v>45677.626247910928</v>
      </c>
    </row>
    <row r="95" spans="1:34" x14ac:dyDescent="0.6">
      <c r="A95" s="3">
        <v>1996</v>
      </c>
      <c r="B95" s="30">
        <f t="shared" ref="B95:J95" si="68">+B9/B31*1000</f>
        <v>1091.246102807153</v>
      </c>
      <c r="C95" s="31">
        <f t="shared" si="68"/>
        <v>3264.6321847769568</v>
      </c>
      <c r="D95" s="31">
        <f t="shared" si="68"/>
        <v>10507.762174544103</v>
      </c>
      <c r="E95" s="31">
        <f t="shared" si="68"/>
        <v>11188.83822760062</v>
      </c>
      <c r="F95" s="31">
        <f t="shared" si="68"/>
        <v>15975.843473500659</v>
      </c>
      <c r="G95" s="31">
        <f t="shared" si="68"/>
        <v>24959.361695072173</v>
      </c>
      <c r="H95" s="31">
        <f t="shared" si="68"/>
        <v>33830.845762873592</v>
      </c>
      <c r="I95" s="31">
        <f t="shared" si="68"/>
        <v>29912.698403545932</v>
      </c>
      <c r="J95" s="31">
        <f t="shared" si="68"/>
        <v>33457.831327338368</v>
      </c>
      <c r="K95" s="31"/>
      <c r="L95" s="31"/>
      <c r="M95" s="31"/>
      <c r="N95" s="32"/>
      <c r="Q95" s="3">
        <v>1997</v>
      </c>
      <c r="R95" s="76">
        <f t="shared" ref="R95:Y95" si="69">+B10*1000/B32</f>
        <v>1197.2257338140109</v>
      </c>
      <c r="S95" s="77">
        <f t="shared" si="69"/>
        <v>3390.7438564462677</v>
      </c>
      <c r="T95" s="77">
        <f t="shared" si="69"/>
        <v>9810.0863497544669</v>
      </c>
      <c r="U95" s="77">
        <f t="shared" si="69"/>
        <v>12970.984101316993</v>
      </c>
      <c r="V95" s="77">
        <f t="shared" si="69"/>
        <v>13963.959862483116</v>
      </c>
      <c r="W95" s="77">
        <f t="shared" si="69"/>
        <v>27202.94116724846</v>
      </c>
      <c r="X95" s="77">
        <f t="shared" si="69"/>
        <v>16027.23735289071</v>
      </c>
      <c r="Y95" s="77">
        <f t="shared" si="69"/>
        <v>26902.255639036575</v>
      </c>
      <c r="Z95" s="42">
        <f>+Z94*S85</f>
        <v>35465.301206978656</v>
      </c>
      <c r="AA95" s="42">
        <f>+AA94*T85</f>
        <v>37090.102727036909</v>
      </c>
      <c r="AB95" s="42">
        <f>+AB94*U85</f>
        <v>33674.087062865277</v>
      </c>
      <c r="AC95" s="42">
        <f>+AC94*V85</f>
        <v>45677.626247910928</v>
      </c>
      <c r="AD95" s="42">
        <f>+AD94*W85</f>
        <v>47047.955035348248</v>
      </c>
    </row>
    <row r="96" spans="1:34" x14ac:dyDescent="0.6">
      <c r="A96" s="3">
        <v>1997</v>
      </c>
      <c r="B96" s="30">
        <f t="shared" ref="B96:I96" si="70">+B10/B32*1000</f>
        <v>1197.2257338140112</v>
      </c>
      <c r="C96" s="31">
        <f t="shared" si="70"/>
        <v>3390.7438564462682</v>
      </c>
      <c r="D96" s="31">
        <f t="shared" si="70"/>
        <v>9810.0863497544669</v>
      </c>
      <c r="E96" s="31">
        <f t="shared" si="70"/>
        <v>12970.984101316992</v>
      </c>
      <c r="F96" s="31">
        <f t="shared" si="70"/>
        <v>13963.959862483118</v>
      </c>
      <c r="G96" s="31">
        <f t="shared" si="70"/>
        <v>27202.941167248457</v>
      </c>
      <c r="H96" s="31">
        <f t="shared" si="70"/>
        <v>16027.237352890708</v>
      </c>
      <c r="I96" s="31">
        <f t="shared" si="70"/>
        <v>26902.255639036575</v>
      </c>
      <c r="J96" s="31"/>
      <c r="K96" s="31"/>
      <c r="L96" s="31"/>
      <c r="M96" s="31"/>
      <c r="N96" s="32"/>
      <c r="Q96" s="3">
        <v>1998</v>
      </c>
      <c r="R96" s="76">
        <f t="shared" ref="R96:X96" si="71">+B11*1000/B33</f>
        <v>1283.9517377741868</v>
      </c>
      <c r="S96" s="77">
        <f t="shared" si="71"/>
        <v>3812.4628068629404</v>
      </c>
      <c r="T96" s="77">
        <f t="shared" si="71"/>
        <v>11208.419614680002</v>
      </c>
      <c r="U96" s="77">
        <f t="shared" si="71"/>
        <v>12577.678189613976</v>
      </c>
      <c r="V96" s="77">
        <f t="shared" si="71"/>
        <v>14405.063294161591</v>
      </c>
      <c r="W96" s="77">
        <f t="shared" si="71"/>
        <v>15544.802873211291</v>
      </c>
      <c r="X96" s="77">
        <f t="shared" si="71"/>
        <v>14654.08550985182</v>
      </c>
      <c r="Y96" s="42">
        <f t="shared" ref="Y96:AD96" si="72">+Y95*S85</f>
        <v>28516.39097737876</v>
      </c>
      <c r="Z96" s="42">
        <f t="shared" si="72"/>
        <v>37327.229520345041</v>
      </c>
      <c r="AA96" s="42">
        <f t="shared" si="72"/>
        <v>38759.157349753565</v>
      </c>
      <c r="AB96" s="42">
        <f t="shared" si="72"/>
        <v>34936.865327722728</v>
      </c>
      <c r="AC96" s="42">
        <f t="shared" si="72"/>
        <v>47047.955035348248</v>
      </c>
      <c r="AD96" s="42">
        <f t="shared" si="72"/>
        <v>48459.393686408686</v>
      </c>
    </row>
    <row r="97" spans="1:34" x14ac:dyDescent="0.6">
      <c r="A97" s="3">
        <v>1998</v>
      </c>
      <c r="B97" s="30">
        <f t="shared" ref="B97:H97" si="73">+B11/B33*1000</f>
        <v>1283.9517377741868</v>
      </c>
      <c r="C97" s="31">
        <f t="shared" si="73"/>
        <v>3812.4628068629404</v>
      </c>
      <c r="D97" s="31">
        <f t="shared" si="73"/>
        <v>11208.41961468</v>
      </c>
      <c r="E97" s="31">
        <f t="shared" si="73"/>
        <v>12577.678189613975</v>
      </c>
      <c r="F97" s="31">
        <f t="shared" si="73"/>
        <v>14405.063294161593</v>
      </c>
      <c r="G97" s="31">
        <f t="shared" si="73"/>
        <v>15544.802873211291</v>
      </c>
      <c r="H97" s="31">
        <f t="shared" si="73"/>
        <v>14654.085509851822</v>
      </c>
      <c r="I97" s="31"/>
      <c r="J97" s="31"/>
      <c r="K97" s="31"/>
      <c r="L97" s="31"/>
      <c r="M97" s="31"/>
      <c r="N97" s="32"/>
      <c r="Q97" s="3">
        <v>1999</v>
      </c>
      <c r="R97" s="76">
        <f t="shared" ref="R97:W97" si="74">+B12*1000/B34</f>
        <v>1323.4677219990497</v>
      </c>
      <c r="S97" s="77">
        <f t="shared" si="74"/>
        <v>4070.2190831876219</v>
      </c>
      <c r="T97" s="77">
        <f t="shared" si="74"/>
        <v>9515.4597585298125</v>
      </c>
      <c r="U97" s="77">
        <f t="shared" si="74"/>
        <v>13588.185288427976</v>
      </c>
      <c r="V97" s="77">
        <f t="shared" si="74"/>
        <v>14720.83668508872</v>
      </c>
      <c r="W97" s="77">
        <f t="shared" si="74"/>
        <v>11542.478980487806</v>
      </c>
      <c r="X97" s="42">
        <f t="shared" ref="X97:AD97" si="75">+X96*S85</f>
        <v>15533.330640442924</v>
      </c>
      <c r="Y97" s="42">
        <f t="shared" si="75"/>
        <v>30013.50150369115</v>
      </c>
      <c r="Z97" s="42">
        <f t="shared" si="75"/>
        <v>39006.954848760564</v>
      </c>
      <c r="AA97" s="42">
        <f t="shared" si="75"/>
        <v>40212.625750369327</v>
      </c>
      <c r="AB97" s="42">
        <f t="shared" si="75"/>
        <v>35984.971287554399</v>
      </c>
      <c r="AC97" s="42">
        <f t="shared" si="75"/>
        <v>48459.393686408686</v>
      </c>
      <c r="AD97" s="42">
        <f t="shared" si="75"/>
        <v>49913.175497000935</v>
      </c>
    </row>
    <row r="98" spans="1:34" x14ac:dyDescent="0.6">
      <c r="A98" s="3">
        <v>1999</v>
      </c>
      <c r="B98" s="30">
        <f t="shared" ref="B98:G98" si="76">+B12/B34*1000</f>
        <v>1323.4677219990497</v>
      </c>
      <c r="C98" s="31">
        <f t="shared" si="76"/>
        <v>4070.2190831876219</v>
      </c>
      <c r="D98" s="31">
        <f t="shared" si="76"/>
        <v>9515.4597585298125</v>
      </c>
      <c r="E98" s="31">
        <f t="shared" si="76"/>
        <v>13588.185288427976</v>
      </c>
      <c r="F98" s="31">
        <f t="shared" si="76"/>
        <v>14720.836685088718</v>
      </c>
      <c r="G98" s="31">
        <f t="shared" si="76"/>
        <v>11542.478980487806</v>
      </c>
      <c r="H98" s="31"/>
      <c r="I98" s="31"/>
      <c r="J98" s="31"/>
      <c r="K98" s="31"/>
      <c r="L98" s="31"/>
      <c r="M98" s="31"/>
      <c r="N98" s="32"/>
      <c r="Q98" s="3">
        <v>2000</v>
      </c>
      <c r="R98" s="76">
        <f>+B13*1000/B35</f>
        <v>1357.5008545674282</v>
      </c>
      <c r="S98" s="77">
        <f>+C13*1000/C35</f>
        <v>4058.2845970973153</v>
      </c>
      <c r="T98" s="77">
        <f>+D13*1000/D35</f>
        <v>10774.931083009806</v>
      </c>
      <c r="U98" s="77">
        <f>+E13*1000/E35</f>
        <v>10771.770531911096</v>
      </c>
      <c r="V98" s="76">
        <f>+F13*1000/F35</f>
        <v>15969.148853240386</v>
      </c>
      <c r="W98" s="42">
        <f t="shared" ref="W98:AD98" si="77">+W97*S85</f>
        <v>12235.02771931707</v>
      </c>
      <c r="X98" s="42">
        <f t="shared" si="77"/>
        <v>16348.83049906618</v>
      </c>
      <c r="Y98" s="42">
        <f t="shared" si="77"/>
        <v>31364.109071357248</v>
      </c>
      <c r="Z98" s="42">
        <f t="shared" si="77"/>
        <v>40469.715655589091</v>
      </c>
      <c r="AA98" s="42">
        <f t="shared" si="77"/>
        <v>41419.004522880401</v>
      </c>
      <c r="AB98" s="42">
        <f t="shared" si="77"/>
        <v>37064.520426181021</v>
      </c>
      <c r="AC98" s="42">
        <f t="shared" si="77"/>
        <v>49913.175497000935</v>
      </c>
      <c r="AD98" s="42">
        <f t="shared" si="77"/>
        <v>51410.570761910953</v>
      </c>
    </row>
    <row r="99" spans="1:34" x14ac:dyDescent="0.6">
      <c r="A99" s="3">
        <v>2000</v>
      </c>
      <c r="B99" s="30">
        <f>+B13/B35*1000</f>
        <v>1357.5008545674282</v>
      </c>
      <c r="C99" s="31">
        <f>+C13/C35*1000</f>
        <v>4058.2845970973153</v>
      </c>
      <c r="D99" s="31">
        <f>+D13/D35*1000</f>
        <v>10774.931083009807</v>
      </c>
      <c r="E99" s="31">
        <f>+E13/E35*1000</f>
        <v>10771.770531911097</v>
      </c>
      <c r="F99" s="31">
        <f>+F13/F35*1000</f>
        <v>15969.148853240386</v>
      </c>
      <c r="G99" s="31"/>
      <c r="H99" s="31"/>
      <c r="I99" s="31"/>
      <c r="J99" s="31"/>
      <c r="K99" s="31"/>
      <c r="L99" s="31"/>
      <c r="M99" s="31"/>
      <c r="N99" s="32"/>
      <c r="Q99" s="3">
        <v>2001</v>
      </c>
      <c r="R99" s="76">
        <f>+B14*1000/B36</f>
        <v>1542.5867961439719</v>
      </c>
      <c r="S99" s="77">
        <f>+C14*1000/C36</f>
        <v>4593.9803448871598</v>
      </c>
      <c r="T99" s="77">
        <f>+D14*1000/D36</f>
        <v>9594.794928551888</v>
      </c>
      <c r="U99" s="76">
        <f>+E14*1000/E36</f>
        <v>13827.651700708891</v>
      </c>
      <c r="V99" s="42">
        <f t="shared" ref="V99:AD99" si="78">+V98*S85</f>
        <v>16927.297784434802</v>
      </c>
      <c r="W99" s="42">
        <f t="shared" si="78"/>
        <v>12877.366674581219</v>
      </c>
      <c r="X99" s="42">
        <f t="shared" si="78"/>
        <v>17084.527871524158</v>
      </c>
      <c r="Y99" s="42">
        <f t="shared" si="78"/>
        <v>32540.263161533148</v>
      </c>
      <c r="Z99" s="42">
        <f t="shared" si="78"/>
        <v>41683.807125256753</v>
      </c>
      <c r="AA99" s="42">
        <f t="shared" si="78"/>
        <v>42661.574658566802</v>
      </c>
      <c r="AB99" s="42">
        <f t="shared" si="78"/>
        <v>38176.456038966448</v>
      </c>
      <c r="AC99" s="42">
        <f t="shared" si="78"/>
        <v>51410.570761910953</v>
      </c>
      <c r="AD99" s="42">
        <f t="shared" si="78"/>
        <v>52952.887884768272</v>
      </c>
    </row>
    <row r="100" spans="1:34" x14ac:dyDescent="0.6">
      <c r="A100" s="3">
        <v>2001</v>
      </c>
      <c r="B100" s="30">
        <f>+B14/B36*1000</f>
        <v>1542.5867961439719</v>
      </c>
      <c r="C100" s="31">
        <f>+C14/C36*1000</f>
        <v>4593.9803448871598</v>
      </c>
      <c r="D100" s="31">
        <f>+D14/D36*1000</f>
        <v>9594.7949285518862</v>
      </c>
      <c r="E100" s="31">
        <f>+E14/E36*1000</f>
        <v>13827.651700708891</v>
      </c>
      <c r="F100" s="31"/>
      <c r="G100" s="31"/>
      <c r="H100" s="31"/>
      <c r="I100" s="31"/>
      <c r="J100" s="31"/>
      <c r="K100" s="31"/>
      <c r="L100" s="31"/>
      <c r="M100" s="31"/>
      <c r="N100" s="32"/>
      <c r="Q100" s="3">
        <v>2002</v>
      </c>
      <c r="R100" s="76">
        <f>+B15*1000/B37</f>
        <v>1732.406739907211</v>
      </c>
      <c r="S100" s="77">
        <f>+C15*1000/C37</f>
        <v>5001.8324665769096</v>
      </c>
      <c r="T100" s="77">
        <f>+D15*1000/D37</f>
        <v>11547.523689755846</v>
      </c>
      <c r="U100" s="42">
        <f t="shared" ref="U100:AD100" si="79">+U99*S85</f>
        <v>14657.310802751419</v>
      </c>
      <c r="V100" s="42">
        <f t="shared" si="79"/>
        <v>17815.980918117632</v>
      </c>
      <c r="W100" s="42">
        <f t="shared" si="79"/>
        <v>13456.848174937373</v>
      </c>
      <c r="X100" s="42">
        <f t="shared" si="79"/>
        <v>17725.197666706317</v>
      </c>
      <c r="Y100" s="42">
        <f t="shared" si="79"/>
        <v>33516.471056379138</v>
      </c>
      <c r="Z100" s="42">
        <f t="shared" si="79"/>
        <v>42934.321339014445</v>
      </c>
      <c r="AA100" s="42">
        <f t="shared" si="79"/>
        <v>43941.421898323795</v>
      </c>
      <c r="AB100" s="42">
        <f t="shared" si="79"/>
        <v>39321.749720135434</v>
      </c>
      <c r="AC100" s="42">
        <f t="shared" si="79"/>
        <v>52952.887884768272</v>
      </c>
      <c r="AD100" s="42">
        <f t="shared" si="79"/>
        <v>54541.474521311313</v>
      </c>
    </row>
    <row r="101" spans="1:34" x14ac:dyDescent="0.6">
      <c r="A101" s="3">
        <v>2002</v>
      </c>
      <c r="B101" s="30">
        <f>+B15/B37*1000</f>
        <v>1732.406739907211</v>
      </c>
      <c r="C101" s="31">
        <f>+C15/C37*1000</f>
        <v>5001.8324665769096</v>
      </c>
      <c r="D101" s="31">
        <f>+D15/D37*1000</f>
        <v>11547.523689755848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2"/>
      <c r="Q101" s="3">
        <v>2003</v>
      </c>
      <c r="R101" s="76">
        <f>+B16*1000/B38</f>
        <v>1907.7006646957291</v>
      </c>
      <c r="S101" s="76">
        <f>+C16*1000/C38</f>
        <v>4849.8026199458009</v>
      </c>
      <c r="T101" s="42">
        <f t="shared" ref="T101:AD101" si="80">+T100*S85</f>
        <v>12240.375111141193</v>
      </c>
      <c r="U101" s="42">
        <f t="shared" si="80"/>
        <v>15426.819619895872</v>
      </c>
      <c r="V101" s="42">
        <f t="shared" si="80"/>
        <v>18617.700059432922</v>
      </c>
      <c r="W101" s="42">
        <f t="shared" si="80"/>
        <v>13961.479981497527</v>
      </c>
      <c r="X101" s="42">
        <f t="shared" si="80"/>
        <v>18256.953596707503</v>
      </c>
      <c r="Y101" s="42">
        <f t="shared" si="80"/>
        <v>34521.965188070506</v>
      </c>
      <c r="Z101" s="42">
        <f t="shared" si="80"/>
        <v>44222.35097918487</v>
      </c>
      <c r="AA101" s="42">
        <f t="shared" si="80"/>
        <v>45259.664555273499</v>
      </c>
      <c r="AB101" s="42">
        <f t="shared" si="80"/>
        <v>40501.402211739492</v>
      </c>
      <c r="AC101" s="42">
        <f t="shared" si="80"/>
        <v>54541.474521311313</v>
      </c>
      <c r="AD101" s="42">
        <f t="shared" si="80"/>
        <v>56177.718756950642</v>
      </c>
    </row>
    <row r="102" spans="1:34" x14ac:dyDescent="0.6">
      <c r="A102" s="3">
        <v>2003</v>
      </c>
      <c r="B102" s="30">
        <f>+B16/B38*1000</f>
        <v>1907.7006646957291</v>
      </c>
      <c r="C102" s="31">
        <f>+C16/C38*1000</f>
        <v>4849.8026199458009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2"/>
      <c r="Q102" s="3">
        <v>2004</v>
      </c>
      <c r="R102" s="76">
        <f>+B17*1000/B39</f>
        <v>1973.2667240917424</v>
      </c>
      <c r="S102" s="69">
        <f t="shared" ref="S102:AD102" si="81">+S101*S85</f>
        <v>5140.7907771425471</v>
      </c>
      <c r="T102" s="69">
        <f t="shared" si="81"/>
        <v>12882.994804476108</v>
      </c>
      <c r="U102" s="69">
        <f t="shared" si="81"/>
        <v>16121.026502791185</v>
      </c>
      <c r="V102" s="69">
        <f t="shared" si="81"/>
        <v>19315.863811661657</v>
      </c>
      <c r="W102" s="69">
        <f t="shared" si="81"/>
        <v>14380.324380942449</v>
      </c>
      <c r="X102" s="69">
        <f t="shared" si="81"/>
        <v>18804.662204608725</v>
      </c>
      <c r="Y102" s="69">
        <f t="shared" si="81"/>
        <v>35557.624143712615</v>
      </c>
      <c r="Z102" s="69">
        <f t="shared" si="81"/>
        <v>45549.021508560407</v>
      </c>
      <c r="AA102" s="69">
        <f t="shared" si="81"/>
        <v>46617.454491931698</v>
      </c>
      <c r="AB102" s="69">
        <f t="shared" si="81"/>
        <v>41716.444278091672</v>
      </c>
      <c r="AC102" s="69">
        <f t="shared" si="81"/>
        <v>56177.718756950642</v>
      </c>
      <c r="AD102" s="69">
        <f t="shared" si="81"/>
        <v>57863.050319659153</v>
      </c>
    </row>
    <row r="103" spans="1:34" x14ac:dyDescent="0.6">
      <c r="A103" s="3">
        <v>2004</v>
      </c>
      <c r="B103" s="33">
        <f>+B17/B39*1000</f>
        <v>1973.2667240917424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5"/>
    </row>
    <row r="105" spans="1:34" x14ac:dyDescent="0.6">
      <c r="AE105" s="25" t="s">
        <v>43</v>
      </c>
    </row>
    <row r="106" spans="1:34" x14ac:dyDescent="0.6">
      <c r="AE106" s="25"/>
    </row>
    <row r="107" spans="1:34" x14ac:dyDescent="0.6">
      <c r="T107" s="6" t="s">
        <v>41</v>
      </c>
      <c r="AE107" s="14" t="s">
        <v>39</v>
      </c>
      <c r="AG107" s="82"/>
      <c r="AH107" s="82"/>
    </row>
    <row r="108" spans="1:34" x14ac:dyDescent="0.6">
      <c r="R108" t="s">
        <v>3</v>
      </c>
      <c r="AE108" s="13" t="s">
        <v>40</v>
      </c>
      <c r="AG108" s="82"/>
      <c r="AH108" s="82"/>
    </row>
    <row r="109" spans="1:34" x14ac:dyDescent="0.6">
      <c r="Q109" t="s">
        <v>4</v>
      </c>
      <c r="R109" s="3">
        <v>0</v>
      </c>
      <c r="S109" s="3">
        <v>1</v>
      </c>
      <c r="T109" s="3">
        <v>2</v>
      </c>
      <c r="U109" s="3">
        <v>3</v>
      </c>
      <c r="V109" s="3">
        <v>4</v>
      </c>
      <c r="W109" s="3">
        <v>5</v>
      </c>
      <c r="X109" s="3">
        <v>6</v>
      </c>
      <c r="Y109" s="3">
        <v>7</v>
      </c>
      <c r="Z109" s="3">
        <v>8</v>
      </c>
      <c r="AA109" s="3">
        <v>9</v>
      </c>
      <c r="AB109" s="3">
        <v>10</v>
      </c>
      <c r="AC109" s="3">
        <v>11</v>
      </c>
      <c r="AD109" s="3" t="s">
        <v>12</v>
      </c>
      <c r="AE109" s="10"/>
      <c r="AG109" s="82"/>
      <c r="AH109" s="82"/>
    </row>
    <row r="110" spans="1:34" x14ac:dyDescent="0.6">
      <c r="Q110" t="s">
        <v>13</v>
      </c>
      <c r="AE110" s="10"/>
      <c r="AG110" s="82"/>
      <c r="AH110" s="82"/>
    </row>
    <row r="111" spans="1:34" x14ac:dyDescent="0.6">
      <c r="Q111" s="3">
        <v>1993</v>
      </c>
      <c r="R111" s="67">
        <f t="shared" ref="R111:AC111" si="82">+B6*1000</f>
        <v>28446238.239999998</v>
      </c>
      <c r="S111" s="67">
        <f t="shared" si="82"/>
        <v>29251193.379999999</v>
      </c>
      <c r="T111" s="67">
        <f t="shared" si="82"/>
        <v>12463983.790000001</v>
      </c>
      <c r="U111" s="67">
        <f t="shared" si="82"/>
        <v>5144085.2889999999</v>
      </c>
      <c r="V111" s="67">
        <f t="shared" si="82"/>
        <v>2726947.8229999999</v>
      </c>
      <c r="W111" s="67">
        <f t="shared" si="82"/>
        <v>2359362.4619999998</v>
      </c>
      <c r="X111" s="67">
        <f t="shared" si="82"/>
        <v>1333856.105</v>
      </c>
      <c r="Y111" s="67">
        <f t="shared" si="82"/>
        <v>1238429.9739999999</v>
      </c>
      <c r="Z111" s="67">
        <f t="shared" si="82"/>
        <v>941440.47530000005</v>
      </c>
      <c r="AA111" s="67">
        <f t="shared" si="82"/>
        <v>860063.89149999991</v>
      </c>
      <c r="AB111" s="67">
        <f t="shared" si="82"/>
        <v>281869.67869999999</v>
      </c>
      <c r="AC111" s="67">
        <f t="shared" si="82"/>
        <v>727142.06979999994</v>
      </c>
      <c r="AD111" s="31">
        <f t="shared" ref="AD111:AD122" si="83">+AD70*AD91</f>
        <v>1446541.1216371087</v>
      </c>
      <c r="AE111" s="78">
        <f>+AD111</f>
        <v>1446541.1216371087</v>
      </c>
      <c r="AG111" s="82"/>
      <c r="AH111" s="82"/>
    </row>
    <row r="112" spans="1:34" x14ac:dyDescent="0.6">
      <c r="Q112" s="3">
        <v>1994</v>
      </c>
      <c r="R112" s="67">
        <f t="shared" ref="R112:AB112" si="84">+B7*1000</f>
        <v>31963048.289999999</v>
      </c>
      <c r="S112" s="67">
        <f t="shared" si="84"/>
        <v>36106295.209999993</v>
      </c>
      <c r="T112" s="67">
        <f t="shared" si="84"/>
        <v>13441333.109999999</v>
      </c>
      <c r="U112" s="67">
        <f t="shared" si="84"/>
        <v>5868234.6319999993</v>
      </c>
      <c r="V112" s="67">
        <f t="shared" si="84"/>
        <v>2881972.3229999999</v>
      </c>
      <c r="W112" s="67">
        <f t="shared" si="84"/>
        <v>2421987.8960000002</v>
      </c>
      <c r="X112" s="67">
        <f t="shared" si="84"/>
        <v>918004.03910000005</v>
      </c>
      <c r="Y112" s="67">
        <f t="shared" si="84"/>
        <v>1075978.3399999999</v>
      </c>
      <c r="Z112" s="67">
        <f t="shared" si="84"/>
        <v>733741.02549999999</v>
      </c>
      <c r="AA112" s="67">
        <f t="shared" si="84"/>
        <v>458156.06640000001</v>
      </c>
      <c r="AB112" s="67">
        <f t="shared" si="84"/>
        <v>456270.65049999999</v>
      </c>
      <c r="AC112" s="31">
        <f t="shared" ref="AC112:AC122" si="85">+AC71*AC92</f>
        <v>619136.5999482437</v>
      </c>
      <c r="AD112" s="31">
        <f t="shared" si="83"/>
        <v>1222965.5659599798</v>
      </c>
      <c r="AE112" s="78">
        <f>SUM(AC112:AD112)</f>
        <v>1842102.1659082235</v>
      </c>
      <c r="AG112" s="82"/>
      <c r="AH112" s="82"/>
    </row>
    <row r="113" spans="17:34" x14ac:dyDescent="0.6">
      <c r="Q113" s="3">
        <v>1995</v>
      </c>
      <c r="R113" s="67">
        <f t="shared" ref="R113:AA113" si="86">+B8*1000</f>
        <v>37774740.230000004</v>
      </c>
      <c r="S113" s="67">
        <f t="shared" si="86"/>
        <v>40125390.780000001</v>
      </c>
      <c r="T113" s="67">
        <f t="shared" si="86"/>
        <v>12951176.4</v>
      </c>
      <c r="U113" s="67">
        <f t="shared" si="86"/>
        <v>6033755.4639999997</v>
      </c>
      <c r="V113" s="67">
        <f t="shared" si="86"/>
        <v>3009655.8559999997</v>
      </c>
      <c r="W113" s="67">
        <f t="shared" si="86"/>
        <v>1264396.267</v>
      </c>
      <c r="X113" s="67">
        <f t="shared" si="86"/>
        <v>1249952.517</v>
      </c>
      <c r="Y113" s="67">
        <f t="shared" si="86"/>
        <v>1134706.1430000002</v>
      </c>
      <c r="Z113" s="67">
        <f t="shared" si="86"/>
        <v>904371.16539999994</v>
      </c>
      <c r="AA113" s="67">
        <f t="shared" si="86"/>
        <v>559340.05370000005</v>
      </c>
      <c r="AB113" s="31">
        <f t="shared" ref="AB113:AB122" si="87">+AB72*AB93</f>
        <v>352014.49151300197</v>
      </c>
      <c r="AC113" s="31">
        <f t="shared" si="85"/>
        <v>598330.18909359316</v>
      </c>
      <c r="AD113" s="31">
        <f t="shared" si="83"/>
        <v>1173445.3090496431</v>
      </c>
      <c r="AE113" s="78">
        <f>SUM(AB113:AD113)</f>
        <v>2123789.9896562384</v>
      </c>
      <c r="AG113" s="82"/>
      <c r="AH113" s="82"/>
    </row>
    <row r="114" spans="17:34" x14ac:dyDescent="0.6">
      <c r="Q114" s="3">
        <v>1996</v>
      </c>
      <c r="R114" s="67">
        <f t="shared" ref="R114:Z114" si="88">+B9*1000</f>
        <v>40417572.130000003</v>
      </c>
      <c r="S114" s="67">
        <f t="shared" si="88"/>
        <v>44498942.239999995</v>
      </c>
      <c r="T114" s="67">
        <f t="shared" si="88"/>
        <v>15370423.629999999</v>
      </c>
      <c r="U114" s="67">
        <f t="shared" si="88"/>
        <v>5593853.5460000001</v>
      </c>
      <c r="V114" s="67">
        <f t="shared" si="88"/>
        <v>2615516.3400000003</v>
      </c>
      <c r="W114" s="67">
        <f t="shared" si="88"/>
        <v>1984311.7919999999</v>
      </c>
      <c r="X114" s="67">
        <f t="shared" si="88"/>
        <v>2136804.699</v>
      </c>
      <c r="Y114" s="67">
        <f t="shared" si="88"/>
        <v>1184355.4280000001</v>
      </c>
      <c r="Z114" s="67">
        <f t="shared" si="88"/>
        <v>872633.33090000006</v>
      </c>
      <c r="AA114" s="31">
        <f t="shared" ref="AA114:AA122" si="89">+AA73*AA94</f>
        <v>437462.7407877653</v>
      </c>
      <c r="AB114" s="31">
        <f t="shared" si="87"/>
        <v>380938.328053687</v>
      </c>
      <c r="AC114" s="31">
        <f t="shared" si="85"/>
        <v>642878.98684560985</v>
      </c>
      <c r="AD114" s="31">
        <f t="shared" si="83"/>
        <v>1251765.5144549659</v>
      </c>
      <c r="AE114" s="78">
        <f>SUM(AA114:AD114)</f>
        <v>2713045.5701420279</v>
      </c>
      <c r="AG114" s="82"/>
      <c r="AH114" s="82"/>
    </row>
    <row r="115" spans="17:34" x14ac:dyDescent="0.6">
      <c r="Q115" s="3">
        <v>1997</v>
      </c>
      <c r="R115" s="67">
        <f t="shared" ref="R115:Y115" si="90">+B10*1000</f>
        <v>44116085.710000001</v>
      </c>
      <c r="S115" s="67">
        <f t="shared" si="90"/>
        <v>45490189.57</v>
      </c>
      <c r="T115" s="67">
        <f t="shared" si="90"/>
        <v>15339426.369999999</v>
      </c>
      <c r="U115" s="67">
        <f t="shared" si="90"/>
        <v>5478076.7570000002</v>
      </c>
      <c r="V115" s="67">
        <f t="shared" si="90"/>
        <v>2540639.6579999998</v>
      </c>
      <c r="W115" s="67">
        <f t="shared" si="90"/>
        <v>2906368.6269999999</v>
      </c>
      <c r="X115" s="67">
        <f t="shared" si="90"/>
        <v>1294338.023</v>
      </c>
      <c r="Y115" s="67">
        <f t="shared" si="90"/>
        <v>1124336.355</v>
      </c>
      <c r="Z115" s="31">
        <f t="shared" ref="Z115:Z122" si="91">+Z74*Z95</f>
        <v>877860.92518804816</v>
      </c>
      <c r="AA115" s="31">
        <f t="shared" si="89"/>
        <v>587461.64990004338</v>
      </c>
      <c r="AB115" s="31">
        <f t="shared" si="87"/>
        <v>507910.63721280609</v>
      </c>
      <c r="AC115" s="31">
        <f t="shared" si="85"/>
        <v>851008.07815825439</v>
      </c>
      <c r="AD115" s="31">
        <f t="shared" si="83"/>
        <v>1645040.346879218</v>
      </c>
      <c r="AE115" s="78">
        <f>SUM(Z115:AD115)</f>
        <v>4469281.6373383701</v>
      </c>
      <c r="AG115" s="82"/>
      <c r="AH115" s="82"/>
    </row>
    <row r="116" spans="17:34" x14ac:dyDescent="0.6">
      <c r="Q116" s="3">
        <v>1998</v>
      </c>
      <c r="R116" s="67">
        <f t="shared" ref="R116:X116" si="92">+B11*1000</f>
        <v>50294259.670000002</v>
      </c>
      <c r="S116" s="67">
        <f t="shared" si="92"/>
        <v>48040321.559999995</v>
      </c>
      <c r="T116" s="67">
        <f t="shared" si="92"/>
        <v>17842901.760000002</v>
      </c>
      <c r="U116" s="67">
        <f t="shared" si="92"/>
        <v>7035199.1940000001</v>
      </c>
      <c r="V116" s="67">
        <f t="shared" si="92"/>
        <v>3933606.0630000001</v>
      </c>
      <c r="W116" s="67">
        <f t="shared" si="92"/>
        <v>2725682.9360000002</v>
      </c>
      <c r="X116" s="67">
        <f t="shared" si="92"/>
        <v>2266599.8731499999</v>
      </c>
      <c r="Y116" s="31">
        <f t="shared" ref="Y116:Y122" si="93">+Y75*Y96</f>
        <v>1181478.7624759513</v>
      </c>
      <c r="Z116" s="31">
        <f t="shared" si="91"/>
        <v>957453.4470471536</v>
      </c>
      <c r="AA116" s="31">
        <f t="shared" si="89"/>
        <v>636158.97006187995</v>
      </c>
      <c r="AB116" s="31">
        <f t="shared" si="87"/>
        <v>546066.15244206262</v>
      </c>
      <c r="AC116" s="31">
        <f t="shared" si="85"/>
        <v>908323.92067303672</v>
      </c>
      <c r="AD116" s="31">
        <f t="shared" si="83"/>
        <v>1755834.681118967</v>
      </c>
      <c r="AE116" s="78">
        <f>SUM(Y116:AD116)</f>
        <v>5985315.9338190518</v>
      </c>
      <c r="AG116" s="82"/>
      <c r="AH116" s="82"/>
    </row>
    <row r="117" spans="17:34" x14ac:dyDescent="0.6">
      <c r="Q117" s="3">
        <v>1999</v>
      </c>
      <c r="R117" s="67">
        <f t="shared" ref="R117:W117" si="94">+B12*1000</f>
        <v>49619804.18</v>
      </c>
      <c r="S117" s="67">
        <f t="shared" si="94"/>
        <v>49991357.649999999</v>
      </c>
      <c r="T117" s="67">
        <f t="shared" si="94"/>
        <v>19570203.66</v>
      </c>
      <c r="U117" s="67">
        <f t="shared" si="94"/>
        <v>10047067.15</v>
      </c>
      <c r="V117" s="67">
        <f t="shared" si="94"/>
        <v>5749890.057</v>
      </c>
      <c r="W117" s="67">
        <f t="shared" si="94"/>
        <v>3312691.4674</v>
      </c>
      <c r="X117" s="31">
        <f t="shared" ref="X117:X122" si="95">+X76*X97</f>
        <v>2632962.6000341405</v>
      </c>
      <c r="Y117" s="31">
        <f t="shared" si="93"/>
        <v>1421453.9192214352</v>
      </c>
      <c r="Z117" s="31">
        <f t="shared" si="91"/>
        <v>1143717.3749927839</v>
      </c>
      <c r="AA117" s="31">
        <f t="shared" si="89"/>
        <v>754464.00028226455</v>
      </c>
      <c r="AB117" s="31">
        <f t="shared" si="87"/>
        <v>642935.25978052663</v>
      </c>
      <c r="AC117" s="31">
        <f t="shared" si="85"/>
        <v>1069455.5472649382</v>
      </c>
      <c r="AD117" s="31">
        <f t="shared" si="83"/>
        <v>2067310.0169061581</v>
      </c>
      <c r="AE117" s="78">
        <f>SUM(X117:AD117)</f>
        <v>9732298.7184822466</v>
      </c>
      <c r="AG117" s="82"/>
      <c r="AH117" s="82"/>
    </row>
    <row r="118" spans="17:34" x14ac:dyDescent="0.6">
      <c r="Q118" s="3">
        <v>2000</v>
      </c>
      <c r="R118" s="67">
        <f>+B13*1000</f>
        <v>46409720.990000002</v>
      </c>
      <c r="S118" s="67">
        <f>+C13*1000</f>
        <v>49694294.990000002</v>
      </c>
      <c r="T118" s="67">
        <f>+D13*1000</f>
        <v>20880666.98</v>
      </c>
      <c r="U118" s="67">
        <f>+E13*1000</f>
        <v>8201559.2140000006</v>
      </c>
      <c r="V118" s="67">
        <f>+F13*1000</f>
        <v>4714168.25</v>
      </c>
      <c r="W118" s="31">
        <f>+W77*W98</f>
        <v>4229085.8621325549</v>
      </c>
      <c r="X118" s="31">
        <f t="shared" si="95"/>
        <v>2995526.9655562951</v>
      </c>
      <c r="Y118" s="31">
        <f t="shared" si="93"/>
        <v>1605667.1208507619</v>
      </c>
      <c r="Z118" s="31">
        <f t="shared" si="91"/>
        <v>1282665.0549249023</v>
      </c>
      <c r="AA118" s="31">
        <f t="shared" si="89"/>
        <v>840005.60784386203</v>
      </c>
      <c r="AB118" s="31">
        <f t="shared" si="87"/>
        <v>715831.66790481529</v>
      </c>
      <c r="AC118" s="31">
        <f t="shared" si="85"/>
        <v>1190711.0964952323</v>
      </c>
      <c r="AD118" s="31">
        <f t="shared" si="83"/>
        <v>2301702.9397072257</v>
      </c>
      <c r="AE118" s="78">
        <f>SUM(W118:AD118)</f>
        <v>15161196.315415649</v>
      </c>
      <c r="AG118" s="82"/>
      <c r="AH118" s="82"/>
    </row>
    <row r="119" spans="17:34" x14ac:dyDescent="0.6">
      <c r="Q119" s="3">
        <v>2001</v>
      </c>
      <c r="R119" s="67">
        <f>+B14*1000</f>
        <v>48294757.790000007</v>
      </c>
      <c r="S119" s="67">
        <f>+C14*1000</f>
        <v>49353589.600000001</v>
      </c>
      <c r="T119" s="67">
        <f>+D14*1000</f>
        <v>18304246.140000001</v>
      </c>
      <c r="U119" s="67">
        <f>+E14*1000</f>
        <v>8833487.7799999993</v>
      </c>
      <c r="V119" s="31">
        <f>+V78*V99</f>
        <v>6313348.6669592336</v>
      </c>
      <c r="W119" s="31">
        <f>+W78*W99</f>
        <v>4350695.5151565662</v>
      </c>
      <c r="X119" s="31">
        <f t="shared" si="95"/>
        <v>3059705.3570009829</v>
      </c>
      <c r="Y119" s="31">
        <f t="shared" si="93"/>
        <v>1628297.3002880784</v>
      </c>
      <c r="Z119" s="31">
        <f t="shared" si="91"/>
        <v>1291339.9014982369</v>
      </c>
      <c r="AA119" s="31">
        <f t="shared" si="89"/>
        <v>845686.6854882614</v>
      </c>
      <c r="AB119" s="31">
        <f t="shared" si="87"/>
        <v>720672.93949599634</v>
      </c>
      <c r="AC119" s="31">
        <f t="shared" si="85"/>
        <v>1198764.045342325</v>
      </c>
      <c r="AD119" s="31">
        <f t="shared" si="83"/>
        <v>2317269.6847297782</v>
      </c>
      <c r="AE119" s="78">
        <f>SUM(V119:AD119)</f>
        <v>21725780.095959462</v>
      </c>
      <c r="AG119" s="82"/>
      <c r="AH119" s="82"/>
    </row>
    <row r="120" spans="17:34" x14ac:dyDescent="0.6">
      <c r="Q120" s="3">
        <v>2002</v>
      </c>
      <c r="R120" s="67">
        <f>+B15*1000</f>
        <v>52590220.25</v>
      </c>
      <c r="S120" s="67">
        <f>+C15*1000</f>
        <v>50605820</v>
      </c>
      <c r="T120" s="67">
        <f>+D15*1000</f>
        <v>18603713.029999997</v>
      </c>
      <c r="U120" s="31">
        <f>+U79*U100</f>
        <v>12360672.152888086</v>
      </c>
      <c r="V120" s="31">
        <f>+V79*V100</f>
        <v>6317918.3023136137</v>
      </c>
      <c r="W120" s="31">
        <f>+W79*W100</f>
        <v>4322819.5510165906</v>
      </c>
      <c r="X120" s="31">
        <f t="shared" si="95"/>
        <v>3018282.173461026</v>
      </c>
      <c r="Y120" s="31">
        <f t="shared" si="93"/>
        <v>1594641.4695042805</v>
      </c>
      <c r="Z120" s="31">
        <f t="shared" si="91"/>
        <v>1264648.7578099791</v>
      </c>
      <c r="AA120" s="31">
        <f t="shared" si="89"/>
        <v>828206.89971580543</v>
      </c>
      <c r="AB120" s="31">
        <f t="shared" si="87"/>
        <v>705777.10536432487</v>
      </c>
      <c r="AC120" s="31">
        <f t="shared" si="85"/>
        <v>1173986.3835157009</v>
      </c>
      <c r="AD120" s="31">
        <f t="shared" si="83"/>
        <v>2269373.2493700362</v>
      </c>
      <c r="AE120" s="78">
        <f>SUM(U120:AD120)</f>
        <v>33856326.044959448</v>
      </c>
      <c r="AG120" s="82"/>
      <c r="AH120" s="82"/>
    </row>
    <row r="121" spans="17:34" x14ac:dyDescent="0.6">
      <c r="Q121" s="3">
        <v>2003</v>
      </c>
      <c r="R121" s="67">
        <f>+B16*1000</f>
        <v>58599000</v>
      </c>
      <c r="S121" s="67">
        <f>+C16*1000</f>
        <v>53743000</v>
      </c>
      <c r="T121" s="31">
        <f>+T80*T101</f>
        <v>22574363.349475265</v>
      </c>
      <c r="U121" s="31">
        <f>+U80*U101</f>
        <v>10843970.442811053</v>
      </c>
      <c r="V121" s="31">
        <f>+V80*V101</f>
        <v>5503189.0105376793</v>
      </c>
      <c r="W121" s="31">
        <f>+W80*W101</f>
        <v>3738344.7149148765</v>
      </c>
      <c r="X121" s="31">
        <f t="shared" si="95"/>
        <v>2591320.8919251445</v>
      </c>
      <c r="Y121" s="31">
        <f t="shared" si="93"/>
        <v>1369066.0838109385</v>
      </c>
      <c r="Z121" s="31">
        <f t="shared" si="91"/>
        <v>1085753.6037799804</v>
      </c>
      <c r="AA121" s="31">
        <f t="shared" si="89"/>
        <v>711050.10026585963</v>
      </c>
      <c r="AB121" s="31">
        <f t="shared" si="87"/>
        <v>605939.02526875341</v>
      </c>
      <c r="AC121" s="31">
        <f t="shared" si="85"/>
        <v>1007916.1813262332</v>
      </c>
      <c r="AD121" s="31">
        <f t="shared" si="83"/>
        <v>1948351.4047745012</v>
      </c>
      <c r="AE121" s="78">
        <f>SUM(T121:AD121)</f>
        <v>51979264.808890283</v>
      </c>
      <c r="AG121" s="82"/>
      <c r="AH121" s="82"/>
    </row>
    <row r="122" spans="17:34" x14ac:dyDescent="0.6">
      <c r="Q122" s="3">
        <v>2004</v>
      </c>
      <c r="R122" s="67">
        <f>+B17*1000</f>
        <v>60361276.160000004</v>
      </c>
      <c r="S122" s="31">
        <f>+S81*S102</f>
        <v>55913317.399598792</v>
      </c>
      <c r="T122" s="31">
        <f>+T81*T102</f>
        <v>21056701.58037179</v>
      </c>
      <c r="U122" s="31">
        <f>+U81*U102</f>
        <v>10042858.468857659</v>
      </c>
      <c r="V122" s="31">
        <f>+V81*V102</f>
        <v>5060055.2785096457</v>
      </c>
      <c r="W122" s="31">
        <f>+W81*W102</f>
        <v>3412473.573731137</v>
      </c>
      <c r="X122" s="31">
        <f t="shared" si="95"/>
        <v>2365435.7045972175</v>
      </c>
      <c r="Y122" s="31">
        <f t="shared" si="93"/>
        <v>1249724.7279141799</v>
      </c>
      <c r="Z122" s="31">
        <f t="shared" si="91"/>
        <v>991108.56890758884</v>
      </c>
      <c r="AA122" s="31">
        <f t="shared" si="89"/>
        <v>649067.93294779735</v>
      </c>
      <c r="AB122" s="31">
        <f t="shared" si="87"/>
        <v>553119.38002194336</v>
      </c>
      <c r="AC122" s="31">
        <f t="shared" si="85"/>
        <v>920056.22691488219</v>
      </c>
      <c r="AD122" s="31">
        <f t="shared" si="83"/>
        <v>1778513.8044141864</v>
      </c>
      <c r="AE122" s="78">
        <f>SUM(S122:AD122)</f>
        <v>103992432.64678682</v>
      </c>
    </row>
    <row r="123" spans="17:34" x14ac:dyDescent="0.6">
      <c r="Q123" s="7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79">
        <f>SUM(AE111:AE122)</f>
        <v>255027375.04899496</v>
      </c>
    </row>
  </sheetData>
  <sheetProtection selectLockedCells="1"/>
  <mergeCells count="6">
    <mergeCell ref="AJ1:AV1"/>
    <mergeCell ref="AI46:AJ46"/>
    <mergeCell ref="AI45:AJ45"/>
    <mergeCell ref="AI47:AJ47"/>
    <mergeCell ref="D1:O1"/>
    <mergeCell ref="Q1:AF1"/>
  </mergeCells>
  <phoneticPr fontId="0" type="noConversion"/>
  <pageMargins left="0.75" right="0.75" top="1" bottom="1" header="0.5" footer="0.5"/>
  <pageSetup paperSize="9" orientation="portrait" verticalDpi="4294967293" r:id="rId1"/>
  <headerFooter alignWithMargins="0"/>
  <ignoredErrors>
    <ignoredError sqref="R81:AE81 R6:AE17 R70:AE70 R71:AE71 R72:AE72 R73:AE73 R74:AE74 R75:AE75 R76:AE76 R77:AE77 R78:AE78 R79:AE79 R80:AE80 R18:AE18 AA25:AD25 Z26:AD26 Y27:AD27 X28:AD28 W29:AD29 V30:AD30 U31:AD31 T32:AD32 S33:AD33 AB24:AD24 R34:AD34 AC23:AD23 R25:Z25 R23:AB23 R24:AA24 R33 R32:S32 R31:T31 R30:U30 R29:V29 R28:W28 R27:X27 R26:Y26 R91:AD102 R111:AE12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FL e 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SAVELLI</dc:creator>
  <cp:lastModifiedBy>Clemente Gian Paolo (gianpaolo.clemente)</cp:lastModifiedBy>
  <dcterms:created xsi:type="dcterms:W3CDTF">2004-11-26T09:20:17Z</dcterms:created>
  <dcterms:modified xsi:type="dcterms:W3CDTF">2022-10-24T10:51:55Z</dcterms:modified>
</cp:coreProperties>
</file>