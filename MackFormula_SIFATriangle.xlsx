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ink/ink2.xml" ContentType="application/inkml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ink/ink3.xml" ContentType="application/inkml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ink/ink4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cattolicaicatt-my.sharepoint.com/personal/giuseppe_daprile01_icatt_it/Documents/Desktop/Laurea Magistrale/Actuarial Non-Life insurance/"/>
    </mc:Choice>
  </mc:AlternateContent>
  <xr:revisionPtr revIDLastSave="127" documentId="13_ncr:1_{7AAF9E7F-E66D-461B-A06D-50F074C97A6D}" xr6:coauthVersionLast="47" xr6:coauthVersionMax="47" xr10:uidLastSave="{BA436271-1FCB-418C-BFFC-5ED45AF7C7E7}"/>
  <bookViews>
    <workbookView xWindow="-98" yWindow="-98" windowWidth="19095" windowHeight="12075" activeTab="1" xr2:uid="{4A247CFB-76C5-4E5C-81D0-B490BBDACF5C}"/>
  </bookViews>
  <sheets>
    <sheet name="Mack_Metodo1" sheetId="3" r:id="rId1"/>
    <sheet name="Mack_Metodo 2" sheetId="2" r:id="rId2"/>
  </sheets>
  <definedNames>
    <definedName name="LatestYear">2020</definedName>
    <definedName name="nCol">COUNTA('Mack_Metodo 2'!$C$4:$N$4)-1</definedName>
    <definedName name="nRow">COUNTA('Mack_Metodo 2'!$B$5:$B$16)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" i="3" l="1"/>
  <c r="AD4" i="3" s="1"/>
  <c r="AD18" i="3"/>
  <c r="AD17" i="3"/>
  <c r="AD19" i="3"/>
  <c r="Y16" i="3"/>
  <c r="X16" i="3"/>
  <c r="AC18" i="3" s="1"/>
  <c r="Z16" i="3"/>
  <c r="Z17" i="3" s="1"/>
  <c r="AA17" i="3" s="1"/>
  <c r="AC19" i="3"/>
  <c r="AB17" i="3"/>
  <c r="AD3" i="3"/>
  <c r="AC3" i="3"/>
  <c r="AB4" i="3"/>
  <c r="AA4" i="3"/>
  <c r="Z4" i="3"/>
  <c r="Y4" i="3"/>
  <c r="X4" i="3"/>
  <c r="AC17" i="3" l="1"/>
  <c r="AC16" i="3"/>
  <c r="AD16" i="3" s="1"/>
  <c r="AA16" i="3"/>
  <c r="O79" i="3" l="1"/>
  <c r="N89" i="3"/>
  <c r="D89" i="3"/>
  <c r="E89" i="3"/>
  <c r="C73" i="3" l="1"/>
  <c r="D73" i="3"/>
  <c r="D60" i="3"/>
  <c r="C60" i="3"/>
  <c r="E60" i="3"/>
  <c r="W16" i="3"/>
  <c r="C98" i="3" s="1"/>
  <c r="F89" i="3"/>
  <c r="D54" i="3"/>
  <c r="C43" i="3"/>
  <c r="C38" i="2" l="1" a="1"/>
  <c r="C38" i="2" s="1"/>
  <c r="C44" i="2" s="1"/>
  <c r="G89" i="3"/>
  <c r="C61" i="3"/>
  <c r="C24" i="3"/>
  <c r="B80" i="3"/>
  <c r="B81" i="3" s="1"/>
  <c r="B82" i="3" s="1"/>
  <c r="B83" i="3" s="1"/>
  <c r="B84" i="3" s="1"/>
  <c r="B85" i="3" s="1"/>
  <c r="B86" i="3" s="1"/>
  <c r="B87" i="3" s="1"/>
  <c r="B88" i="3" s="1"/>
  <c r="B89" i="3" s="1"/>
  <c r="B79" i="3"/>
  <c r="B61" i="3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44" i="3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25" i="3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6" i="3"/>
  <c r="B7" i="3" s="1"/>
  <c r="B8" i="3" s="1"/>
  <c r="B9" i="3" s="1"/>
  <c r="B10" i="3" s="1"/>
  <c r="B11" i="3" s="1"/>
  <c r="B12" i="3" s="1"/>
  <c r="B13" i="3" s="1"/>
  <c r="B14" i="3" s="1"/>
  <c r="B15" i="3" s="1"/>
  <c r="B16" i="3" s="1"/>
  <c r="N35" i="2"/>
  <c r="N34" i="2"/>
  <c r="N33" i="2"/>
  <c r="N32" i="2"/>
  <c r="N31" i="2"/>
  <c r="N30" i="2"/>
  <c r="N29" i="2"/>
  <c r="N28" i="2"/>
  <c r="N27" i="2"/>
  <c r="N25" i="2"/>
  <c r="N24" i="2"/>
  <c r="N26" i="2"/>
  <c r="C16" i="2"/>
  <c r="D15" i="2"/>
  <c r="C15" i="2"/>
  <c r="E14" i="2"/>
  <c r="D14" i="2"/>
  <c r="C14" i="2"/>
  <c r="F13" i="2"/>
  <c r="E13" i="2"/>
  <c r="D13" i="2"/>
  <c r="C13" i="2"/>
  <c r="G12" i="2"/>
  <c r="F12" i="2"/>
  <c r="E12" i="2"/>
  <c r="D12" i="2"/>
  <c r="C12" i="2"/>
  <c r="H11" i="2"/>
  <c r="G11" i="2"/>
  <c r="F11" i="2"/>
  <c r="E11" i="2"/>
  <c r="D11" i="2"/>
  <c r="C11" i="2"/>
  <c r="I10" i="2"/>
  <c r="H10" i="2"/>
  <c r="G10" i="2"/>
  <c r="F10" i="2"/>
  <c r="E10" i="2"/>
  <c r="D10" i="2"/>
  <c r="C10" i="2"/>
  <c r="J9" i="2"/>
  <c r="I9" i="2"/>
  <c r="H9" i="2"/>
  <c r="G9" i="2"/>
  <c r="F9" i="2"/>
  <c r="E9" i="2"/>
  <c r="D9" i="2"/>
  <c r="C9" i="2"/>
  <c r="K8" i="2"/>
  <c r="J8" i="2"/>
  <c r="I8" i="2"/>
  <c r="H8" i="2"/>
  <c r="G8" i="2"/>
  <c r="F8" i="2"/>
  <c r="E8" i="2"/>
  <c r="D8" i="2"/>
  <c r="C8" i="2"/>
  <c r="L7" i="2"/>
  <c r="K7" i="2"/>
  <c r="J7" i="2"/>
  <c r="I7" i="2"/>
  <c r="H7" i="2"/>
  <c r="G7" i="2"/>
  <c r="F7" i="2"/>
  <c r="E7" i="2"/>
  <c r="D7" i="2"/>
  <c r="C7" i="2"/>
  <c r="M6" i="2"/>
  <c r="L6" i="2"/>
  <c r="K6" i="2"/>
  <c r="J6" i="2"/>
  <c r="I6" i="2"/>
  <c r="H6" i="2"/>
  <c r="G6" i="2"/>
  <c r="F6" i="2"/>
  <c r="E6" i="2"/>
  <c r="D6" i="2"/>
  <c r="C6" i="2"/>
  <c r="N5" i="2"/>
  <c r="M5" i="2"/>
  <c r="L5" i="2"/>
  <c r="K5" i="2"/>
  <c r="J5" i="2"/>
  <c r="I5" i="2"/>
  <c r="H5" i="2"/>
  <c r="G5" i="2"/>
  <c r="F5" i="2"/>
  <c r="E5" i="2"/>
  <c r="D5" i="2"/>
  <c r="C5" i="2"/>
  <c r="M24" i="3" l="1"/>
  <c r="T4" i="3"/>
  <c r="T5" i="3" s="1"/>
  <c r="E92" i="3"/>
  <c r="F92" i="3" s="1"/>
  <c r="G92" i="3" s="1"/>
  <c r="H92" i="3" s="1"/>
  <c r="I92" i="3" s="1"/>
  <c r="J92" i="3" s="1"/>
  <c r="K92" i="3" s="1"/>
  <c r="L92" i="3" s="1"/>
  <c r="M92" i="3" s="1"/>
  <c r="N77" i="3"/>
  <c r="M77" i="3"/>
  <c r="U14" i="3"/>
  <c r="U13" i="3"/>
  <c r="U12" i="3"/>
  <c r="U11" i="3"/>
  <c r="U10" i="3"/>
  <c r="U9" i="3"/>
  <c r="U8" i="3"/>
  <c r="U7" i="3"/>
  <c r="U6" i="3"/>
  <c r="U5" i="3"/>
  <c r="U4" i="3"/>
  <c r="M44" i="3"/>
  <c r="M43" i="3"/>
  <c r="L45" i="3"/>
  <c r="L44" i="3"/>
  <c r="L43" i="3"/>
  <c r="K46" i="3"/>
  <c r="K45" i="3"/>
  <c r="K44" i="3"/>
  <c r="K43" i="3"/>
  <c r="J47" i="3"/>
  <c r="J46" i="3"/>
  <c r="J45" i="3"/>
  <c r="J44" i="3"/>
  <c r="J43" i="3"/>
  <c r="I48" i="3"/>
  <c r="I47" i="3"/>
  <c r="I46" i="3"/>
  <c r="I45" i="3"/>
  <c r="I44" i="3"/>
  <c r="I43" i="3"/>
  <c r="H49" i="3"/>
  <c r="H48" i="3"/>
  <c r="H47" i="3"/>
  <c r="H46" i="3"/>
  <c r="H45" i="3"/>
  <c r="H44" i="3"/>
  <c r="H43" i="3"/>
  <c r="G50" i="3"/>
  <c r="G49" i="3"/>
  <c r="G48" i="3"/>
  <c r="G47" i="3"/>
  <c r="G46" i="3"/>
  <c r="G45" i="3"/>
  <c r="G44" i="3"/>
  <c r="G43" i="3"/>
  <c r="F51" i="3"/>
  <c r="F50" i="3"/>
  <c r="F49" i="3"/>
  <c r="F48" i="3"/>
  <c r="F47" i="3"/>
  <c r="F46" i="3"/>
  <c r="F45" i="3"/>
  <c r="F44" i="3"/>
  <c r="F43" i="3"/>
  <c r="E52" i="3"/>
  <c r="E51" i="3"/>
  <c r="E50" i="3"/>
  <c r="E49" i="3"/>
  <c r="E48" i="3"/>
  <c r="E47" i="3"/>
  <c r="E46" i="3"/>
  <c r="E45" i="3"/>
  <c r="E44" i="3"/>
  <c r="E43" i="3"/>
  <c r="D53" i="3"/>
  <c r="D52" i="3"/>
  <c r="D51" i="3"/>
  <c r="D50" i="3"/>
  <c r="D49" i="3"/>
  <c r="D48" i="3"/>
  <c r="D47" i="3"/>
  <c r="D46" i="3"/>
  <c r="D45" i="3"/>
  <c r="D44" i="3"/>
  <c r="D43" i="3"/>
  <c r="C53" i="3"/>
  <c r="C52" i="3"/>
  <c r="C51" i="3"/>
  <c r="C50" i="3"/>
  <c r="C49" i="3"/>
  <c r="C48" i="3"/>
  <c r="C47" i="3"/>
  <c r="C46" i="3"/>
  <c r="C45" i="3"/>
  <c r="C44" i="3"/>
  <c r="C54" i="3"/>
  <c r="E42" i="3"/>
  <c r="F42" i="3" s="1"/>
  <c r="G42" i="3" s="1"/>
  <c r="H42" i="3" s="1"/>
  <c r="I42" i="3" s="1"/>
  <c r="J42" i="3" s="1"/>
  <c r="K42" i="3" s="1"/>
  <c r="L42" i="3" s="1"/>
  <c r="M42" i="3" s="1"/>
  <c r="L77" i="3"/>
  <c r="K77" i="3"/>
  <c r="J77" i="3"/>
  <c r="I77" i="3"/>
  <c r="H77" i="3"/>
  <c r="G77" i="3"/>
  <c r="F77" i="3"/>
  <c r="E77" i="3"/>
  <c r="D77" i="3"/>
  <c r="E37" i="3"/>
  <c r="L25" i="3"/>
  <c r="L24" i="3"/>
  <c r="K26" i="3"/>
  <c r="K25" i="3"/>
  <c r="K24" i="3"/>
  <c r="J27" i="3"/>
  <c r="J26" i="3"/>
  <c r="J25" i="3"/>
  <c r="J24" i="3"/>
  <c r="I28" i="3"/>
  <c r="I27" i="3"/>
  <c r="I26" i="3"/>
  <c r="I25" i="3"/>
  <c r="I24" i="3"/>
  <c r="H29" i="3"/>
  <c r="H28" i="3"/>
  <c r="H27" i="3"/>
  <c r="H26" i="3"/>
  <c r="H25" i="3"/>
  <c r="H24" i="3"/>
  <c r="M25" i="3"/>
  <c r="M26" i="3"/>
  <c r="M27" i="3"/>
  <c r="M28" i="3"/>
  <c r="M29" i="3"/>
  <c r="G30" i="3"/>
  <c r="G29" i="3"/>
  <c r="G28" i="3"/>
  <c r="G27" i="3"/>
  <c r="G26" i="3"/>
  <c r="G25" i="3"/>
  <c r="G24" i="3"/>
  <c r="M30" i="3"/>
  <c r="F31" i="3"/>
  <c r="F30" i="3"/>
  <c r="F29" i="3"/>
  <c r="F28" i="3"/>
  <c r="F27" i="3"/>
  <c r="F26" i="3"/>
  <c r="F25" i="3"/>
  <c r="F24" i="3"/>
  <c r="E32" i="3"/>
  <c r="E31" i="3"/>
  <c r="E30" i="3"/>
  <c r="E29" i="3"/>
  <c r="E28" i="3"/>
  <c r="E27" i="3"/>
  <c r="E26" i="3"/>
  <c r="E25" i="3"/>
  <c r="E24" i="3"/>
  <c r="D33" i="3"/>
  <c r="D32" i="3"/>
  <c r="D31" i="3"/>
  <c r="D30" i="3"/>
  <c r="D29" i="3"/>
  <c r="D28" i="3"/>
  <c r="D27" i="3"/>
  <c r="D26" i="3"/>
  <c r="D25" i="3"/>
  <c r="D24" i="3"/>
  <c r="C34" i="3"/>
  <c r="C33" i="3"/>
  <c r="C32" i="3"/>
  <c r="C31" i="3"/>
  <c r="C30" i="3"/>
  <c r="C29" i="3"/>
  <c r="C28" i="3"/>
  <c r="C27" i="3"/>
  <c r="C26" i="3"/>
  <c r="C25" i="3"/>
  <c r="D108" i="3"/>
  <c r="N35" i="3"/>
  <c r="M35" i="3"/>
  <c r="L35" i="3"/>
  <c r="K35" i="3"/>
  <c r="J35" i="3"/>
  <c r="I35" i="3"/>
  <c r="H35" i="3"/>
  <c r="G35" i="3"/>
  <c r="F35" i="3"/>
  <c r="E35" i="3"/>
  <c r="D35" i="3"/>
  <c r="C35" i="3"/>
  <c r="N34" i="3"/>
  <c r="M34" i="3"/>
  <c r="L34" i="3"/>
  <c r="K34" i="3"/>
  <c r="J34" i="3"/>
  <c r="I34" i="3"/>
  <c r="H34" i="3"/>
  <c r="G34" i="3"/>
  <c r="F34" i="3"/>
  <c r="E34" i="3"/>
  <c r="D34" i="3"/>
  <c r="N33" i="3"/>
  <c r="M33" i="3"/>
  <c r="L33" i="3"/>
  <c r="K33" i="3"/>
  <c r="J33" i="3"/>
  <c r="I33" i="3"/>
  <c r="H33" i="3"/>
  <c r="G33" i="3"/>
  <c r="F33" i="3"/>
  <c r="E33" i="3"/>
  <c r="N32" i="3"/>
  <c r="M32" i="3"/>
  <c r="L32" i="3"/>
  <c r="K32" i="3"/>
  <c r="J32" i="3"/>
  <c r="I32" i="3"/>
  <c r="H32" i="3"/>
  <c r="G32" i="3"/>
  <c r="F32" i="3"/>
  <c r="N31" i="3"/>
  <c r="M31" i="3"/>
  <c r="L31" i="3"/>
  <c r="K31" i="3"/>
  <c r="J31" i="3"/>
  <c r="I31" i="3"/>
  <c r="H31" i="3"/>
  <c r="G31" i="3"/>
  <c r="N30" i="3"/>
  <c r="L30" i="3"/>
  <c r="K30" i="3"/>
  <c r="J30" i="3"/>
  <c r="I30" i="3"/>
  <c r="H30" i="3"/>
  <c r="N29" i="3"/>
  <c r="L29" i="3"/>
  <c r="K29" i="3"/>
  <c r="J29" i="3"/>
  <c r="I29" i="3"/>
  <c r="N28" i="3"/>
  <c r="L28" i="3"/>
  <c r="K28" i="3"/>
  <c r="J28" i="3"/>
  <c r="N27" i="3"/>
  <c r="L27" i="3"/>
  <c r="K27" i="3"/>
  <c r="N26" i="3"/>
  <c r="L26" i="3"/>
  <c r="N25" i="3"/>
  <c r="H24" i="2"/>
  <c r="J24" i="2"/>
  <c r="L25" i="2"/>
  <c r="M25" i="2"/>
  <c r="D27" i="2"/>
  <c r="L27" i="2"/>
  <c r="M27" i="2"/>
  <c r="C29" i="2"/>
  <c r="D29" i="2"/>
  <c r="F29" i="2"/>
  <c r="J29" i="2"/>
  <c r="L29" i="2"/>
  <c r="M29" i="2"/>
  <c r="H30" i="2"/>
  <c r="I30" i="2"/>
  <c r="C31" i="2"/>
  <c r="E31" i="2"/>
  <c r="J31" i="2"/>
  <c r="L31" i="2"/>
  <c r="M31" i="2"/>
  <c r="F32" i="2"/>
  <c r="I32" i="2"/>
  <c r="E33" i="2"/>
  <c r="J33" i="2"/>
  <c r="M33" i="2"/>
  <c r="F34" i="2"/>
  <c r="H34" i="2"/>
  <c r="I34" i="2"/>
  <c r="V70" i="2" a="1"/>
  <c r="V70" i="2" s="1"/>
  <c r="D35" i="2"/>
  <c r="E35" i="2"/>
  <c r="J35" i="2"/>
  <c r="L35" i="2"/>
  <c r="M35" i="2"/>
  <c r="C24" i="2"/>
  <c r="D24" i="2"/>
  <c r="E24" i="2"/>
  <c r="K24" i="2"/>
  <c r="L24" i="2"/>
  <c r="M24" i="2"/>
  <c r="G25" i="2"/>
  <c r="H25" i="2"/>
  <c r="I25" i="2"/>
  <c r="C26" i="2"/>
  <c r="D26" i="2"/>
  <c r="E26" i="2"/>
  <c r="J26" i="2"/>
  <c r="K26" i="2"/>
  <c r="L26" i="2"/>
  <c r="M26" i="2"/>
  <c r="G27" i="2"/>
  <c r="H27" i="2"/>
  <c r="I27" i="2"/>
  <c r="K27" i="2"/>
  <c r="C28" i="2"/>
  <c r="D28" i="2"/>
  <c r="E28" i="2"/>
  <c r="J28" i="2"/>
  <c r="K28" i="2"/>
  <c r="L28" i="2"/>
  <c r="M28" i="2"/>
  <c r="G29" i="2"/>
  <c r="H29" i="2"/>
  <c r="I29" i="2"/>
  <c r="K29" i="2"/>
  <c r="C30" i="2"/>
  <c r="D30" i="2"/>
  <c r="E30" i="2"/>
  <c r="J30" i="2"/>
  <c r="K30" i="2"/>
  <c r="L30" i="2"/>
  <c r="M30" i="2"/>
  <c r="G31" i="2"/>
  <c r="H31" i="2"/>
  <c r="I31" i="2"/>
  <c r="K31" i="2"/>
  <c r="C32" i="2"/>
  <c r="D32" i="2"/>
  <c r="E32" i="2"/>
  <c r="G32" i="2"/>
  <c r="H32" i="2"/>
  <c r="J32" i="2"/>
  <c r="K32" i="2"/>
  <c r="L32" i="2"/>
  <c r="M32" i="2"/>
  <c r="F33" i="2"/>
  <c r="G33" i="2"/>
  <c r="H33" i="2"/>
  <c r="I33" i="2"/>
  <c r="K33" i="2"/>
  <c r="L33" i="2"/>
  <c r="C34" i="2"/>
  <c r="D34" i="2"/>
  <c r="E34" i="2"/>
  <c r="G34" i="2"/>
  <c r="J34" i="2"/>
  <c r="K34" i="2"/>
  <c r="L34" i="2"/>
  <c r="M34" i="2"/>
  <c r="C35" i="2"/>
  <c r="F35" i="2"/>
  <c r="G35" i="2"/>
  <c r="H35" i="2"/>
  <c r="I35" i="2"/>
  <c r="K35" i="2"/>
  <c r="N44" i="2"/>
  <c r="M45" i="2"/>
  <c r="N45" i="2"/>
  <c r="L46" i="2"/>
  <c r="M46" i="2"/>
  <c r="N46" i="2"/>
  <c r="K47" i="2"/>
  <c r="L47" i="2"/>
  <c r="M47" i="2"/>
  <c r="N47" i="2"/>
  <c r="J48" i="2"/>
  <c r="K48" i="2"/>
  <c r="L48" i="2"/>
  <c r="M48" i="2"/>
  <c r="N48" i="2"/>
  <c r="I49" i="2"/>
  <c r="J49" i="2"/>
  <c r="K49" i="2"/>
  <c r="L49" i="2"/>
  <c r="M49" i="2"/>
  <c r="N49" i="2"/>
  <c r="H50" i="2"/>
  <c r="I50" i="2"/>
  <c r="J50" i="2"/>
  <c r="K50" i="2"/>
  <c r="L50" i="2"/>
  <c r="M50" i="2"/>
  <c r="N50" i="2"/>
  <c r="G51" i="2"/>
  <c r="H51" i="2"/>
  <c r="I51" i="2"/>
  <c r="J51" i="2"/>
  <c r="K51" i="2"/>
  <c r="L51" i="2"/>
  <c r="M51" i="2"/>
  <c r="N51" i="2"/>
  <c r="F52" i="2"/>
  <c r="G52" i="2"/>
  <c r="H52" i="2"/>
  <c r="I52" i="2"/>
  <c r="J52" i="2"/>
  <c r="K52" i="2"/>
  <c r="L52" i="2"/>
  <c r="M52" i="2"/>
  <c r="N52" i="2"/>
  <c r="E53" i="2"/>
  <c r="F53" i="2"/>
  <c r="G53" i="2"/>
  <c r="H53" i="2"/>
  <c r="I53" i="2"/>
  <c r="J53" i="2"/>
  <c r="K53" i="2"/>
  <c r="L53" i="2"/>
  <c r="M53" i="2"/>
  <c r="N53" i="2"/>
  <c r="D54" i="2"/>
  <c r="E54" i="2"/>
  <c r="F54" i="2"/>
  <c r="G54" i="2"/>
  <c r="H54" i="2"/>
  <c r="I54" i="2"/>
  <c r="J54" i="2"/>
  <c r="K54" i="2"/>
  <c r="L54" i="2"/>
  <c r="M54" i="2"/>
  <c r="N54" i="2"/>
  <c r="C55" i="2"/>
  <c r="D55" i="2"/>
  <c r="E55" i="2"/>
  <c r="F55" i="2"/>
  <c r="G55" i="2"/>
  <c r="H55" i="2"/>
  <c r="I55" i="2"/>
  <c r="J55" i="2"/>
  <c r="K55" i="2"/>
  <c r="L55" i="2"/>
  <c r="M55" i="2"/>
  <c r="N55" i="2"/>
  <c r="V59" i="2" a="1"/>
  <c r="V59" i="2" s="1"/>
  <c r="W59" i="2" s="1"/>
  <c r="V60" i="2" a="1"/>
  <c r="V60" i="2" s="1"/>
  <c r="N61" i="2"/>
  <c r="V61" i="2" a="1"/>
  <c r="V61" i="2" s="1"/>
  <c r="N62" i="2"/>
  <c r="N63" i="2" s="1"/>
  <c r="V64" i="2" a="1"/>
  <c r="V64" i="2" s="1"/>
  <c r="V65" i="2" a="1"/>
  <c r="V65" i="2" s="1"/>
  <c r="V66" i="2" a="1"/>
  <c r="V66" i="2" s="1"/>
  <c r="V67" i="2" a="1"/>
  <c r="V67" i="2" s="1"/>
  <c r="V69" i="2" a="1"/>
  <c r="V69" i="2" s="1"/>
  <c r="D71" i="2" a="1"/>
  <c r="D71" i="2" s="1"/>
  <c r="D72" i="2"/>
  <c r="E72" i="2"/>
  <c r="D73" i="2"/>
  <c r="E73" i="2"/>
  <c r="F73" i="2"/>
  <c r="D74" i="2"/>
  <c r="E74" i="2"/>
  <c r="F74" i="2"/>
  <c r="G74" i="2"/>
  <c r="D75" i="2"/>
  <c r="E75" i="2"/>
  <c r="F75" i="2"/>
  <c r="G75" i="2"/>
  <c r="H75" i="2"/>
  <c r="D76" i="2"/>
  <c r="E76" i="2"/>
  <c r="F76" i="2"/>
  <c r="G76" i="2"/>
  <c r="H76" i="2"/>
  <c r="I76" i="2"/>
  <c r="D77" i="2"/>
  <c r="E77" i="2"/>
  <c r="F77" i="2"/>
  <c r="G77" i="2"/>
  <c r="H77" i="2"/>
  <c r="I77" i="2"/>
  <c r="J77" i="2"/>
  <c r="D78" i="2"/>
  <c r="E78" i="2"/>
  <c r="F78" i="2"/>
  <c r="G78" i="2"/>
  <c r="H78" i="2"/>
  <c r="I78" i="2"/>
  <c r="J78" i="2"/>
  <c r="K78" i="2"/>
  <c r="D79" i="2"/>
  <c r="E79" i="2"/>
  <c r="F79" i="2"/>
  <c r="G79" i="2"/>
  <c r="H79" i="2"/>
  <c r="I79" i="2"/>
  <c r="J79" i="2"/>
  <c r="K79" i="2"/>
  <c r="L79" i="2"/>
  <c r="D80" i="2"/>
  <c r="E80" i="2"/>
  <c r="F80" i="2"/>
  <c r="G80" i="2"/>
  <c r="H80" i="2"/>
  <c r="I80" i="2"/>
  <c r="J80" i="2"/>
  <c r="K80" i="2"/>
  <c r="L80" i="2"/>
  <c r="M80" i="2"/>
  <c r="D81" i="2"/>
  <c r="E81" i="2"/>
  <c r="F81" i="2"/>
  <c r="G81" i="2"/>
  <c r="H81" i="2"/>
  <c r="I81" i="2"/>
  <c r="J81" i="2"/>
  <c r="K81" i="2"/>
  <c r="L81" i="2"/>
  <c r="M81" i="2"/>
  <c r="N81" i="2"/>
  <c r="D82" i="2"/>
  <c r="E82" i="2"/>
  <c r="F82" i="2"/>
  <c r="G82" i="2"/>
  <c r="H82" i="2"/>
  <c r="I82" i="2"/>
  <c r="J82" i="2"/>
  <c r="K82" i="2"/>
  <c r="L82" i="2"/>
  <c r="M82" i="2"/>
  <c r="N82" i="2"/>
  <c r="O82" i="2"/>
  <c r="D100" i="2"/>
  <c r="X59" i="2" l="1"/>
  <c r="C71" i="2"/>
  <c r="U3" i="3"/>
  <c r="U16" i="3" s="1"/>
  <c r="N43" i="3"/>
  <c r="V3" i="3" s="1"/>
  <c r="T6" i="3"/>
  <c r="F37" i="3"/>
  <c r="D109" i="3"/>
  <c r="L38" i="2" a="1"/>
  <c r="L38" i="2" s="1"/>
  <c r="E27" i="2"/>
  <c r="F27" i="2"/>
  <c r="E25" i="2"/>
  <c r="F25" i="2"/>
  <c r="V68" i="2" a="1"/>
  <c r="V68" i="2" s="1"/>
  <c r="D33" i="2"/>
  <c r="H26" i="2"/>
  <c r="D25" i="2"/>
  <c r="H28" i="2"/>
  <c r="C25" i="2"/>
  <c r="I24" i="2"/>
  <c r="E29" i="2"/>
  <c r="I28" i="2"/>
  <c r="V63" i="2" a="1"/>
  <c r="V63" i="2" s="1"/>
  <c r="F30" i="2"/>
  <c r="G30" i="2"/>
  <c r="F28" i="2"/>
  <c r="G28" i="2"/>
  <c r="J27" i="2"/>
  <c r="V62" i="2" a="1"/>
  <c r="V62" i="2" s="1"/>
  <c r="C27" i="2"/>
  <c r="F26" i="2"/>
  <c r="G26" i="2"/>
  <c r="J25" i="2"/>
  <c r="K25" i="2"/>
  <c r="F24" i="2"/>
  <c r="G24" i="2"/>
  <c r="D101" i="2"/>
  <c r="F31" i="2"/>
  <c r="I26" i="2"/>
  <c r="C33" i="2"/>
  <c r="Y59" i="2"/>
  <c r="AA59" i="2"/>
  <c r="D31" i="2"/>
  <c r="M38" i="2" a="1"/>
  <c r="M38" i="2" s="1"/>
  <c r="L45" i="2" l="1"/>
  <c r="T7" i="3"/>
  <c r="C38" i="3"/>
  <c r="G37" i="3"/>
  <c r="F38" i="3"/>
  <c r="G51" i="3" s="1"/>
  <c r="D38" i="3"/>
  <c r="E53" i="3" s="1"/>
  <c r="E38" i="3"/>
  <c r="F52" i="3" s="1"/>
  <c r="W3" i="3"/>
  <c r="D110" i="3"/>
  <c r="AD59" i="2"/>
  <c r="AE59" i="2" s="1"/>
  <c r="Z59" i="2"/>
  <c r="K38" i="2" a="1"/>
  <c r="K38" i="2" s="1"/>
  <c r="I38" i="2" a="1"/>
  <c r="I38" i="2" s="1"/>
  <c r="E38" i="2" a="1"/>
  <c r="E38" i="2" s="1"/>
  <c r="M44" i="2"/>
  <c r="M57" i="2" s="1" a="1"/>
  <c r="M57" i="2" s="1"/>
  <c r="M39" i="2"/>
  <c r="W60" i="2" s="1"/>
  <c r="D102" i="2"/>
  <c r="J38" i="2" a="1"/>
  <c r="J38" i="2" s="1"/>
  <c r="H38" i="2" a="1"/>
  <c r="H38" i="2" s="1"/>
  <c r="G38" i="2" a="1"/>
  <c r="G38" i="2" s="1"/>
  <c r="V72" i="2"/>
  <c r="AB59" i="2"/>
  <c r="F38" i="2" a="1"/>
  <c r="F38" i="2" s="1"/>
  <c r="D38" i="2" a="1"/>
  <c r="D38" i="2" s="1"/>
  <c r="L44" i="2"/>
  <c r="L39" i="2"/>
  <c r="W61" i="2" s="1"/>
  <c r="C73" i="2" s="1"/>
  <c r="C72" i="2" l="1"/>
  <c r="K45" i="2"/>
  <c r="H48" i="2"/>
  <c r="J45" i="2"/>
  <c r="L57" i="2" a="1"/>
  <c r="L57" i="2" s="1"/>
  <c r="L58" i="2" s="1"/>
  <c r="L60" i="2" s="1"/>
  <c r="D53" i="2"/>
  <c r="E45" i="2"/>
  <c r="C39" i="2"/>
  <c r="W70" i="2" s="1"/>
  <c r="C82" i="2" s="1"/>
  <c r="F53" i="3"/>
  <c r="G53" i="3" s="1"/>
  <c r="E54" i="3"/>
  <c r="F54" i="3" s="1"/>
  <c r="G54" i="3" s="1"/>
  <c r="G52" i="3"/>
  <c r="T8" i="3"/>
  <c r="E63" i="3"/>
  <c r="E67" i="3"/>
  <c r="E62" i="3"/>
  <c r="E65" i="3"/>
  <c r="E68" i="3"/>
  <c r="E64" i="3"/>
  <c r="E61" i="3"/>
  <c r="E66" i="3"/>
  <c r="D65" i="3"/>
  <c r="D69" i="3"/>
  <c r="D61" i="3"/>
  <c r="D62" i="3"/>
  <c r="D64" i="3"/>
  <c r="D67" i="3"/>
  <c r="D66" i="3"/>
  <c r="D68" i="3"/>
  <c r="D63" i="3"/>
  <c r="F62" i="3"/>
  <c r="F65" i="3"/>
  <c r="F66" i="3"/>
  <c r="F61" i="3"/>
  <c r="F64" i="3"/>
  <c r="F60" i="3"/>
  <c r="F67" i="3"/>
  <c r="F63" i="3"/>
  <c r="H37" i="3"/>
  <c r="G38" i="3"/>
  <c r="H50" i="3" s="1"/>
  <c r="C68" i="3"/>
  <c r="C65" i="3"/>
  <c r="C67" i="3"/>
  <c r="C62" i="3"/>
  <c r="C69" i="3"/>
  <c r="C66" i="3"/>
  <c r="C70" i="3"/>
  <c r="C63" i="3"/>
  <c r="C64" i="3"/>
  <c r="C45" i="2"/>
  <c r="Y3" i="3"/>
  <c r="D111" i="3"/>
  <c r="AA3" i="3"/>
  <c r="C52" i="2"/>
  <c r="C47" i="2"/>
  <c r="C51" i="2"/>
  <c r="C53" i="2"/>
  <c r="C49" i="2"/>
  <c r="C48" i="2"/>
  <c r="C46" i="2"/>
  <c r="C54" i="2"/>
  <c r="C50" i="2"/>
  <c r="F39" i="2"/>
  <c r="W67" i="2" s="1"/>
  <c r="C79" i="2" s="1"/>
  <c r="F47" i="2"/>
  <c r="F51" i="2"/>
  <c r="F49" i="2"/>
  <c r="J47" i="2"/>
  <c r="X60" i="2"/>
  <c r="H46" i="2"/>
  <c r="X61" i="2"/>
  <c r="F44" i="2"/>
  <c r="G39" i="2"/>
  <c r="W66" i="2" s="1"/>
  <c r="C78" i="2" s="1"/>
  <c r="G49" i="2"/>
  <c r="G47" i="2"/>
  <c r="G45" i="2"/>
  <c r="E44" i="2"/>
  <c r="E46" i="2"/>
  <c r="E48" i="2"/>
  <c r="E50" i="2"/>
  <c r="E52" i="2"/>
  <c r="E39" i="2"/>
  <c r="W68" i="2" s="1"/>
  <c r="C80" i="2" s="1"/>
  <c r="E51" i="2"/>
  <c r="E47" i="2"/>
  <c r="G48" i="2"/>
  <c r="D51" i="2"/>
  <c r="G44" i="2"/>
  <c r="F48" i="2"/>
  <c r="F50" i="2"/>
  <c r="I45" i="2"/>
  <c r="I47" i="2"/>
  <c r="I39" i="2"/>
  <c r="W64" i="2" s="1"/>
  <c r="C76" i="2" s="1"/>
  <c r="I44" i="2"/>
  <c r="I46" i="2"/>
  <c r="F45" i="2"/>
  <c r="D45" i="2"/>
  <c r="H45" i="2"/>
  <c r="H47" i="2"/>
  <c r="H49" i="2"/>
  <c r="H39" i="2"/>
  <c r="W65" i="2" s="1"/>
  <c r="C77" i="2" s="1"/>
  <c r="H44" i="2"/>
  <c r="F46" i="2"/>
  <c r="G50" i="2"/>
  <c r="E49" i="2"/>
  <c r="D44" i="2"/>
  <c r="D46" i="2"/>
  <c r="D48" i="2"/>
  <c r="D50" i="2"/>
  <c r="D52" i="2"/>
  <c r="D39" i="2"/>
  <c r="W69" i="2" s="1"/>
  <c r="C81" i="2" s="1"/>
  <c r="D49" i="2"/>
  <c r="D47" i="2"/>
  <c r="J39" i="2"/>
  <c r="W63" i="2" s="1"/>
  <c r="C75" i="2" s="1"/>
  <c r="J44" i="2"/>
  <c r="J46" i="2"/>
  <c r="D103" i="2"/>
  <c r="G46" i="2"/>
  <c r="K44" i="2"/>
  <c r="K39" i="2"/>
  <c r="W62" i="2" s="1"/>
  <c r="C74" i="2" s="1"/>
  <c r="K46" i="2"/>
  <c r="I48" i="2"/>
  <c r="D70" i="2" l="1" a="1"/>
  <c r="K72" i="2" s="1"/>
  <c r="L62" i="2"/>
  <c r="H54" i="3"/>
  <c r="H52" i="3"/>
  <c r="T9" i="3"/>
  <c r="H53" i="3"/>
  <c r="H51" i="3"/>
  <c r="I37" i="3"/>
  <c r="H38" i="3"/>
  <c r="I49" i="3" s="1"/>
  <c r="G62" i="3"/>
  <c r="G65" i="3"/>
  <c r="G64" i="3"/>
  <c r="G61" i="3"/>
  <c r="G60" i="3"/>
  <c r="G63" i="3"/>
  <c r="G66" i="3"/>
  <c r="D74" i="3"/>
  <c r="E73" i="3"/>
  <c r="E74" i="3" s="1"/>
  <c r="F73" i="3"/>
  <c r="F74" i="3" s="1"/>
  <c r="C74" i="3"/>
  <c r="D112" i="3"/>
  <c r="C57" i="2" a="1"/>
  <c r="C57" i="2" s="1"/>
  <c r="C58" i="2" s="1"/>
  <c r="X65" i="2"/>
  <c r="I57" i="2" a="1"/>
  <c r="I57" i="2" s="1"/>
  <c r="I58" i="2" s="1"/>
  <c r="F57" i="2" a="1"/>
  <c r="F57" i="2" s="1"/>
  <c r="F58" i="2" s="1"/>
  <c r="X64" i="2"/>
  <c r="J57" i="2" a="1"/>
  <c r="J57" i="2" s="1"/>
  <c r="J58" i="2" s="1"/>
  <c r="X63" i="2"/>
  <c r="D57" i="2" a="1"/>
  <c r="D57" i="2" s="1"/>
  <c r="D58" i="2" s="1"/>
  <c r="E57" i="2" a="1"/>
  <c r="E57" i="2" s="1"/>
  <c r="E58" i="2" s="1"/>
  <c r="X62" i="2"/>
  <c r="K57" i="2" a="1"/>
  <c r="K57" i="2" s="1"/>
  <c r="K58" i="2" s="1"/>
  <c r="X69" i="2"/>
  <c r="G57" i="2" a="1"/>
  <c r="G57" i="2" s="1"/>
  <c r="G58" i="2" s="1"/>
  <c r="X68" i="2"/>
  <c r="W72" i="2"/>
  <c r="D104" i="2"/>
  <c r="H57" i="2" a="1"/>
  <c r="H57" i="2" s="1"/>
  <c r="H58" i="2" s="1"/>
  <c r="X70" i="2"/>
  <c r="X66" i="2"/>
  <c r="X67" i="2"/>
  <c r="D93" i="3" l="1"/>
  <c r="C93" i="3"/>
  <c r="C94" i="3" s="1"/>
  <c r="C62" i="2"/>
  <c r="C60" i="2"/>
  <c r="L73" i="2"/>
  <c r="L74" i="2"/>
  <c r="I74" i="2"/>
  <c r="K71" i="2"/>
  <c r="I71" i="2"/>
  <c r="G72" i="2"/>
  <c r="N80" i="2"/>
  <c r="N78" i="2"/>
  <c r="F72" i="2"/>
  <c r="M72" i="2"/>
  <c r="J72" i="2"/>
  <c r="J76" i="2"/>
  <c r="O71" i="2"/>
  <c r="L78" i="2"/>
  <c r="K75" i="2"/>
  <c r="L75" i="2"/>
  <c r="H74" i="2"/>
  <c r="K73" i="2"/>
  <c r="J75" i="2"/>
  <c r="N74" i="2"/>
  <c r="O72" i="2"/>
  <c r="H71" i="2"/>
  <c r="D70" i="2"/>
  <c r="K74" i="2"/>
  <c r="N73" i="2"/>
  <c r="O81" i="2"/>
  <c r="M75" i="2"/>
  <c r="N79" i="2"/>
  <c r="I72" i="2"/>
  <c r="N77" i="2"/>
  <c r="O75" i="2"/>
  <c r="M74" i="2"/>
  <c r="O79" i="2"/>
  <c r="I73" i="2"/>
  <c r="K76" i="2"/>
  <c r="L77" i="2"/>
  <c r="H72" i="2"/>
  <c r="N71" i="2"/>
  <c r="K77" i="2"/>
  <c r="J73" i="2"/>
  <c r="G73" i="2"/>
  <c r="O80" i="2"/>
  <c r="M79" i="2"/>
  <c r="O78" i="2"/>
  <c r="M76" i="2"/>
  <c r="M73" i="2"/>
  <c r="M77" i="2"/>
  <c r="L71" i="2"/>
  <c r="N76" i="2"/>
  <c r="M78" i="2"/>
  <c r="I75" i="2"/>
  <c r="J74" i="2"/>
  <c r="L76" i="2"/>
  <c r="F71" i="2"/>
  <c r="O73" i="2"/>
  <c r="O77" i="2"/>
  <c r="N75" i="2"/>
  <c r="O76" i="2"/>
  <c r="O74" i="2"/>
  <c r="E71" i="2"/>
  <c r="J71" i="2"/>
  <c r="N72" i="2"/>
  <c r="H73" i="2"/>
  <c r="M71" i="2"/>
  <c r="G71" i="2"/>
  <c r="L72" i="2"/>
  <c r="I54" i="3"/>
  <c r="I53" i="3"/>
  <c r="I51" i="3"/>
  <c r="F93" i="3"/>
  <c r="G86" i="3"/>
  <c r="G87" i="3"/>
  <c r="G88" i="3"/>
  <c r="F88" i="3"/>
  <c r="E93" i="3"/>
  <c r="F87" i="3"/>
  <c r="T10" i="3"/>
  <c r="E88" i="3"/>
  <c r="I50" i="3"/>
  <c r="I52" i="3"/>
  <c r="G73" i="3"/>
  <c r="G74" i="3" s="1"/>
  <c r="H63" i="3"/>
  <c r="H61" i="3"/>
  <c r="H60" i="3"/>
  <c r="H64" i="3"/>
  <c r="H65" i="3"/>
  <c r="H62" i="3"/>
  <c r="J37" i="3"/>
  <c r="I38" i="3"/>
  <c r="J48" i="3" s="1"/>
  <c r="D113" i="3"/>
  <c r="X72" i="2"/>
  <c r="C90" i="2" s="1"/>
  <c r="H60" i="2"/>
  <c r="H62" i="2"/>
  <c r="G60" i="2"/>
  <c r="G62" i="2"/>
  <c r="D105" i="2"/>
  <c r="F62" i="2"/>
  <c r="F60" i="2"/>
  <c r="I60" i="2"/>
  <c r="I62" i="2"/>
  <c r="E62" i="2"/>
  <c r="E60" i="2"/>
  <c r="D62" i="2"/>
  <c r="D60" i="2"/>
  <c r="J62" i="2"/>
  <c r="J60" i="2"/>
  <c r="K62" i="2"/>
  <c r="K60" i="2"/>
  <c r="M58" i="2"/>
  <c r="O89" i="3" l="1"/>
  <c r="AC59" i="2"/>
  <c r="J52" i="3"/>
  <c r="G93" i="3"/>
  <c r="H86" i="3"/>
  <c r="H87" i="3"/>
  <c r="H85" i="3"/>
  <c r="H88" i="3"/>
  <c r="H89" i="3"/>
  <c r="J49" i="3"/>
  <c r="J54" i="3"/>
  <c r="J53" i="3"/>
  <c r="T11" i="3"/>
  <c r="J50" i="3"/>
  <c r="J51" i="3"/>
  <c r="H73" i="3"/>
  <c r="H74" i="3" s="1"/>
  <c r="I64" i="3"/>
  <c r="I63" i="3"/>
  <c r="I60" i="3"/>
  <c r="I62" i="3"/>
  <c r="I61" i="3"/>
  <c r="K37" i="3"/>
  <c r="J38" i="3"/>
  <c r="K47" i="3" s="1"/>
  <c r="D114" i="3"/>
  <c r="M62" i="2"/>
  <c r="K63" i="2" s="1"/>
  <c r="M60" i="2"/>
  <c r="F61" i="2" s="1"/>
  <c r="Y67" i="2" s="1"/>
  <c r="D106" i="2"/>
  <c r="T12" i="3" l="1"/>
  <c r="K51" i="3"/>
  <c r="K50" i="3"/>
  <c r="K52" i="3"/>
  <c r="K53" i="3"/>
  <c r="K48" i="3"/>
  <c r="K54" i="3"/>
  <c r="H93" i="3"/>
  <c r="I86" i="3"/>
  <c r="I85" i="3"/>
  <c r="I88" i="3"/>
  <c r="I87" i="3"/>
  <c r="I84" i="3"/>
  <c r="I89" i="3"/>
  <c r="K49" i="3"/>
  <c r="I73" i="3"/>
  <c r="I74" i="3" s="1"/>
  <c r="J60" i="3"/>
  <c r="J62" i="3"/>
  <c r="J61" i="3"/>
  <c r="J63" i="3"/>
  <c r="L37" i="3"/>
  <c r="K38" i="3"/>
  <c r="L46" i="3" s="1"/>
  <c r="F63" i="2"/>
  <c r="AC67" i="2" s="1"/>
  <c r="D115" i="3"/>
  <c r="C63" i="2"/>
  <c r="AA70" i="2" s="1"/>
  <c r="AB70" i="2" s="1"/>
  <c r="G61" i="2"/>
  <c r="Y66" i="2" s="1"/>
  <c r="Z66" i="2" s="1"/>
  <c r="J61" i="2"/>
  <c r="Y63" i="2" s="1"/>
  <c r="Z63" i="2" s="1"/>
  <c r="E61" i="2"/>
  <c r="Y68" i="2" s="1"/>
  <c r="Z68" i="2" s="1"/>
  <c r="I61" i="2"/>
  <c r="Y64" i="2" s="1"/>
  <c r="Z64" i="2" s="1"/>
  <c r="D61" i="2"/>
  <c r="Y69" i="2" s="1"/>
  <c r="Z69" i="2" s="1"/>
  <c r="K61" i="2"/>
  <c r="Y62" i="2" s="1"/>
  <c r="Z62" i="2" s="1"/>
  <c r="H61" i="2"/>
  <c r="Y65" i="2" s="1"/>
  <c r="Z65" i="2" s="1"/>
  <c r="AA62" i="2"/>
  <c r="AB62" i="2" s="1"/>
  <c r="AC62" i="2"/>
  <c r="Z67" i="2"/>
  <c r="E63" i="2"/>
  <c r="M61" i="2"/>
  <c r="Y60" i="2" s="1"/>
  <c r="L61" i="2"/>
  <c r="Y61" i="2" s="1"/>
  <c r="M63" i="2"/>
  <c r="AA60" i="2" s="1"/>
  <c r="L63" i="2"/>
  <c r="J63" i="2"/>
  <c r="G63" i="2"/>
  <c r="D63" i="2"/>
  <c r="D107" i="2"/>
  <c r="H63" i="2"/>
  <c r="I63" i="2"/>
  <c r="C61" i="2"/>
  <c r="Y70" i="2" s="1"/>
  <c r="AC60" i="2" l="1"/>
  <c r="L54" i="3"/>
  <c r="L51" i="3"/>
  <c r="L48" i="3"/>
  <c r="T13" i="3"/>
  <c r="L52" i="3"/>
  <c r="L50" i="3"/>
  <c r="L47" i="3"/>
  <c r="J83" i="3"/>
  <c r="I93" i="3"/>
  <c r="J86" i="3"/>
  <c r="J87" i="3"/>
  <c r="J88" i="3"/>
  <c r="J84" i="3"/>
  <c r="J85" i="3"/>
  <c r="J89" i="3"/>
  <c r="L49" i="3"/>
  <c r="L53" i="3"/>
  <c r="K62" i="3"/>
  <c r="K61" i="3"/>
  <c r="K60" i="3"/>
  <c r="J73" i="3"/>
  <c r="J74" i="3" s="1"/>
  <c r="M37" i="3"/>
  <c r="M38" i="3" s="1"/>
  <c r="L38" i="3"/>
  <c r="M45" i="3" s="1"/>
  <c r="AA67" i="2"/>
  <c r="AB67" i="2" s="1"/>
  <c r="AC70" i="2"/>
  <c r="D116" i="3"/>
  <c r="AD62" i="2"/>
  <c r="AE62" i="2" s="1"/>
  <c r="AA68" i="2"/>
  <c r="AC68" i="2"/>
  <c r="D108" i="2"/>
  <c r="AA69" i="2"/>
  <c r="AC69" i="2"/>
  <c r="AA66" i="2"/>
  <c r="AC66" i="2"/>
  <c r="Z61" i="2"/>
  <c r="AC63" i="2"/>
  <c r="AA63" i="2"/>
  <c r="Z60" i="2"/>
  <c r="Y72" i="2"/>
  <c r="Z70" i="2"/>
  <c r="AD70" i="2"/>
  <c r="AE70" i="2" s="1"/>
  <c r="AA61" i="2"/>
  <c r="AB61" i="2" s="1"/>
  <c r="AC61" i="2"/>
  <c r="AA64" i="2"/>
  <c r="AC64" i="2"/>
  <c r="AB60" i="2"/>
  <c r="AA65" i="2"/>
  <c r="AC65" i="2"/>
  <c r="Z72" i="2" l="1"/>
  <c r="N44" i="3"/>
  <c r="V4" i="3" s="1"/>
  <c r="M39" i="3"/>
  <c r="E39" i="3"/>
  <c r="L39" i="3"/>
  <c r="D39" i="3"/>
  <c r="I39" i="3"/>
  <c r="K39" i="3"/>
  <c r="C39" i="3"/>
  <c r="J39" i="3"/>
  <c r="H39" i="3"/>
  <c r="G39" i="3"/>
  <c r="F39" i="3"/>
  <c r="N45" i="3"/>
  <c r="V5" i="3" s="1"/>
  <c r="W5" i="3" s="1"/>
  <c r="M47" i="3"/>
  <c r="N47" i="3" s="1"/>
  <c r="V7" i="3" s="1"/>
  <c r="M46" i="3"/>
  <c r="N46" i="3" s="1"/>
  <c r="V6" i="3" s="1"/>
  <c r="M48" i="3"/>
  <c r="N48" i="3" s="1"/>
  <c r="V8" i="3" s="1"/>
  <c r="W8" i="3" s="1"/>
  <c r="M51" i="3"/>
  <c r="N51" i="3" s="1"/>
  <c r="V11" i="3" s="1"/>
  <c r="M54" i="3"/>
  <c r="N54" i="3" s="1"/>
  <c r="V14" i="3" s="1"/>
  <c r="M53" i="3"/>
  <c r="N53" i="3" s="1"/>
  <c r="V13" i="3" s="1"/>
  <c r="M50" i="3"/>
  <c r="N50" i="3" s="1"/>
  <c r="V10" i="3" s="1"/>
  <c r="M49" i="3"/>
  <c r="N49" i="3" s="1"/>
  <c r="V9" i="3" s="1"/>
  <c r="M52" i="3"/>
  <c r="N52" i="3" s="1"/>
  <c r="V12" i="3" s="1"/>
  <c r="K83" i="3"/>
  <c r="J93" i="3"/>
  <c r="K86" i="3"/>
  <c r="K87" i="3"/>
  <c r="K85" i="3"/>
  <c r="K88" i="3"/>
  <c r="K82" i="3"/>
  <c r="K84" i="3"/>
  <c r="K89" i="3"/>
  <c r="T14" i="3"/>
  <c r="AB14" i="3" s="1"/>
  <c r="K73" i="3"/>
  <c r="K74" i="3" s="1"/>
  <c r="L61" i="3"/>
  <c r="L60" i="3"/>
  <c r="M60" i="3"/>
  <c r="AD67" i="2"/>
  <c r="AE67" i="2" s="1"/>
  <c r="D117" i="3"/>
  <c r="AC72" i="2"/>
  <c r="AA72" i="2"/>
  <c r="AB66" i="2"/>
  <c r="AD66" i="2"/>
  <c r="AE66" i="2" s="1"/>
  <c r="AB64" i="2"/>
  <c r="AD64" i="2"/>
  <c r="AE64" i="2" s="1"/>
  <c r="AD60" i="2"/>
  <c r="AE60" i="2" s="1"/>
  <c r="AB69" i="2"/>
  <c r="AD69" i="2"/>
  <c r="AE69" i="2" s="1"/>
  <c r="AB63" i="2"/>
  <c r="AD63" i="2"/>
  <c r="AE63" i="2" s="1"/>
  <c r="D109" i="2"/>
  <c r="AD61" i="2"/>
  <c r="AE61" i="2" s="1"/>
  <c r="AB65" i="2"/>
  <c r="AD65" i="2"/>
  <c r="AE65" i="2" s="1"/>
  <c r="AB68" i="2"/>
  <c r="AD68" i="2"/>
  <c r="AE68" i="2" s="1"/>
  <c r="AD72" i="2" l="1"/>
  <c r="C92" i="2" s="1"/>
  <c r="W11" i="3"/>
  <c r="W9" i="3"/>
  <c r="W7" i="3"/>
  <c r="W6" i="3"/>
  <c r="W12" i="3"/>
  <c r="W14" i="3"/>
  <c r="L81" i="3"/>
  <c r="K93" i="3"/>
  <c r="L86" i="3"/>
  <c r="L87" i="3"/>
  <c r="L85" i="3"/>
  <c r="L88" i="3"/>
  <c r="L82" i="3"/>
  <c r="L84" i="3"/>
  <c r="L83" i="3"/>
  <c r="L89" i="3"/>
  <c r="W13" i="3"/>
  <c r="W10" i="3"/>
  <c r="L73" i="3"/>
  <c r="L74" i="3" s="1"/>
  <c r="W4" i="3"/>
  <c r="V16" i="3"/>
  <c r="D118" i="3"/>
  <c r="D110" i="2"/>
  <c r="AB72" i="2"/>
  <c r="E92" i="2" l="1"/>
  <c r="E90" i="2"/>
  <c r="C96" i="2" s="1"/>
  <c r="E96" i="2" s="1"/>
  <c r="L93" i="3"/>
  <c r="M86" i="3"/>
  <c r="M87" i="3"/>
  <c r="M85" i="3"/>
  <c r="M88" i="3"/>
  <c r="M82" i="3"/>
  <c r="M84" i="3"/>
  <c r="M80" i="3"/>
  <c r="M83" i="3"/>
  <c r="M81" i="3"/>
  <c r="M89" i="3"/>
  <c r="M73" i="3"/>
  <c r="M74" i="3" s="1"/>
  <c r="D119" i="3"/>
  <c r="AE72" i="2"/>
  <c r="D111" i="2"/>
  <c r="N85" i="3" l="1"/>
  <c r="O85" i="3" s="1"/>
  <c r="X10" i="3" s="1"/>
  <c r="N88" i="3"/>
  <c r="O88" i="3" s="1"/>
  <c r="X13" i="3" s="1"/>
  <c r="N82" i="3"/>
  <c r="O82" i="3" s="1"/>
  <c r="X7" i="3" s="1"/>
  <c r="N84" i="3"/>
  <c r="O84" i="3" s="1"/>
  <c r="X9" i="3" s="1"/>
  <c r="N79" i="3"/>
  <c r="N80" i="3"/>
  <c r="O80" i="3" s="1"/>
  <c r="X5" i="3" s="1"/>
  <c r="N83" i="3"/>
  <c r="O83" i="3" s="1"/>
  <c r="X8" i="3" s="1"/>
  <c r="N81" i="3"/>
  <c r="O81" i="3" s="1"/>
  <c r="X6" i="3" s="1"/>
  <c r="M93" i="3"/>
  <c r="I94" i="3" s="1"/>
  <c r="N86" i="3"/>
  <c r="O86" i="3" s="1"/>
  <c r="X11" i="3" s="1"/>
  <c r="N87" i="3"/>
  <c r="O87" i="3" s="1"/>
  <c r="X12" i="3" s="1"/>
  <c r="X14" i="3"/>
  <c r="D120" i="3"/>
  <c r="D112" i="2"/>
  <c r="H94" i="3" l="1"/>
  <c r="AB9" i="3" s="1"/>
  <c r="G94" i="3"/>
  <c r="AB10" i="3" s="1"/>
  <c r="M94" i="3"/>
  <c r="F94" i="3"/>
  <c r="E94" i="3"/>
  <c r="D94" i="3"/>
  <c r="Z14" i="3"/>
  <c r="J94" i="3"/>
  <c r="K94" i="3"/>
  <c r="AB8" i="3"/>
  <c r="Z8" i="3"/>
  <c r="L94" i="3"/>
  <c r="D121" i="3"/>
  <c r="C97" i="2"/>
  <c r="E97" i="2" s="1"/>
  <c r="C99" i="2"/>
  <c r="E99" i="2" s="1"/>
  <c r="C98" i="2"/>
  <c r="E98" i="2" s="1"/>
  <c r="C298" i="2"/>
  <c r="E298" i="2" s="1"/>
  <c r="C100" i="2"/>
  <c r="E100" i="2" s="1"/>
  <c r="C101" i="2"/>
  <c r="E101" i="2" s="1"/>
  <c r="C102" i="2"/>
  <c r="E102" i="2" s="1"/>
  <c r="C103" i="2"/>
  <c r="E103" i="2" s="1"/>
  <c r="C104" i="2"/>
  <c r="E104" i="2" s="1"/>
  <c r="C105" i="2"/>
  <c r="E105" i="2" s="1"/>
  <c r="C106" i="2"/>
  <c r="E106" i="2" s="1"/>
  <c r="C107" i="2"/>
  <c r="E107" i="2" s="1"/>
  <c r="C108" i="2"/>
  <c r="E108" i="2" s="1"/>
  <c r="C109" i="2"/>
  <c r="E109" i="2" s="1"/>
  <c r="C110" i="2"/>
  <c r="E110" i="2" s="1"/>
  <c r="C111" i="2"/>
  <c r="E111" i="2" s="1"/>
  <c r="D113" i="2"/>
  <c r="C112" i="2"/>
  <c r="E112" i="2" s="1"/>
  <c r="Z10" i="3" l="1"/>
  <c r="Z9" i="3"/>
  <c r="AB5" i="3"/>
  <c r="Z5" i="3"/>
  <c r="AB13" i="3"/>
  <c r="Z13" i="3"/>
  <c r="AB12" i="3"/>
  <c r="Z12" i="3"/>
  <c r="AB6" i="3"/>
  <c r="Z6" i="3"/>
  <c r="AB11" i="3"/>
  <c r="Z11" i="3"/>
  <c r="AB7" i="3"/>
  <c r="Z7" i="3"/>
  <c r="D122" i="3"/>
  <c r="C113" i="2"/>
  <c r="E113" i="2" s="1"/>
  <c r="D114" i="2"/>
  <c r="D123" i="3" l="1"/>
  <c r="C114" i="2"/>
  <c r="E114" i="2" s="1"/>
  <c r="D115" i="2"/>
  <c r="D124" i="3" l="1"/>
  <c r="C115" i="2"/>
  <c r="E115" i="2" s="1"/>
  <c r="D116" i="2"/>
  <c r="D125" i="3" l="1"/>
  <c r="C116" i="2"/>
  <c r="E116" i="2" s="1"/>
  <c r="D117" i="2"/>
  <c r="D126" i="3" l="1"/>
  <c r="C117" i="2"/>
  <c r="E117" i="2" s="1"/>
  <c r="D118" i="2"/>
  <c r="D127" i="3" l="1"/>
  <c r="D119" i="2"/>
  <c r="C118" i="2"/>
  <c r="E118" i="2" s="1"/>
  <c r="D128" i="3" l="1"/>
  <c r="D120" i="2"/>
  <c r="C119" i="2"/>
  <c r="E119" i="2" s="1"/>
  <c r="D129" i="3" l="1"/>
  <c r="D121" i="2"/>
  <c r="C120" i="2"/>
  <c r="E120" i="2" s="1"/>
  <c r="AA9" i="3" l="1"/>
  <c r="D130" i="3"/>
  <c r="D122" i="2"/>
  <c r="C121" i="2"/>
  <c r="E121" i="2" s="1"/>
  <c r="AA7" i="3" l="1"/>
  <c r="AA8" i="3"/>
  <c r="Y7" i="3"/>
  <c r="AC9" i="3"/>
  <c r="AD9" i="3" s="1"/>
  <c r="Y9" i="3"/>
  <c r="Y12" i="3"/>
  <c r="Y6" i="3"/>
  <c r="Y10" i="3"/>
  <c r="AA6" i="3"/>
  <c r="Y5" i="3"/>
  <c r="Y13" i="3"/>
  <c r="Y8" i="3"/>
  <c r="Y14" i="3"/>
  <c r="Y11" i="3"/>
  <c r="AA10" i="3"/>
  <c r="AA11" i="3"/>
  <c r="AA12" i="3"/>
  <c r="AA13" i="3"/>
  <c r="AA14" i="3"/>
  <c r="AA5" i="3"/>
  <c r="D131" i="3"/>
  <c r="D123" i="2"/>
  <c r="C122" i="2"/>
  <c r="E122" i="2" s="1"/>
  <c r="AC8" i="3" l="1"/>
  <c r="AD8" i="3" s="1"/>
  <c r="AC13" i="3"/>
  <c r="AD13" i="3" s="1"/>
  <c r="AC12" i="3"/>
  <c r="AD12" i="3" s="1"/>
  <c r="AC7" i="3"/>
  <c r="AD7" i="3" s="1"/>
  <c r="AC6" i="3"/>
  <c r="AD6" i="3" s="1"/>
  <c r="AC11" i="3"/>
  <c r="AD11" i="3" s="1"/>
  <c r="AC14" i="3"/>
  <c r="AD14" i="3" s="1"/>
  <c r="AC5" i="3"/>
  <c r="AD5" i="3" s="1"/>
  <c r="AC10" i="3"/>
  <c r="AD10" i="3" s="1"/>
  <c r="D132" i="3"/>
  <c r="C123" i="2"/>
  <c r="E123" i="2" s="1"/>
  <c r="D124" i="2"/>
  <c r="D133" i="3" l="1"/>
  <c r="C124" i="2"/>
  <c r="E124" i="2" s="1"/>
  <c r="D125" i="2"/>
  <c r="C100" i="3" l="1"/>
  <c r="D134" i="3"/>
  <c r="D126" i="2"/>
  <c r="C125" i="2"/>
  <c r="E125" i="2" s="1"/>
  <c r="E100" i="3" l="1"/>
  <c r="E98" i="3"/>
  <c r="D135" i="3"/>
  <c r="D127" i="2"/>
  <c r="C126" i="2"/>
  <c r="E126" i="2" s="1"/>
  <c r="C104" i="3" l="1"/>
  <c r="C134" i="3"/>
  <c r="E134" i="3" s="1"/>
  <c r="C108" i="3"/>
  <c r="E108" i="3" s="1"/>
  <c r="C116" i="3"/>
  <c r="E116" i="3" s="1"/>
  <c r="C110" i="3"/>
  <c r="E110" i="3" s="1"/>
  <c r="E104" i="3"/>
  <c r="C111" i="3"/>
  <c r="E111" i="3" s="1"/>
  <c r="C118" i="3"/>
  <c r="E118" i="3" s="1"/>
  <c r="C115" i="3"/>
  <c r="E115" i="3" s="1"/>
  <c r="C117" i="3"/>
  <c r="E117" i="3" s="1"/>
  <c r="C106" i="3"/>
  <c r="E106" i="3" s="1"/>
  <c r="C112" i="3"/>
  <c r="E112" i="3" s="1"/>
  <c r="C109" i="3"/>
  <c r="E109" i="3" s="1"/>
  <c r="C306" i="3"/>
  <c r="E306" i="3" s="1"/>
  <c r="C113" i="3"/>
  <c r="E113" i="3" s="1"/>
  <c r="C107" i="3"/>
  <c r="E107" i="3" s="1"/>
  <c r="C114" i="3"/>
  <c r="E114" i="3" s="1"/>
  <c r="C105" i="3"/>
  <c r="E105" i="3" s="1"/>
  <c r="C119" i="3"/>
  <c r="E119" i="3" s="1"/>
  <c r="C120" i="3"/>
  <c r="E120" i="3" s="1"/>
  <c r="C121" i="3"/>
  <c r="E121" i="3" s="1"/>
  <c r="C122" i="3"/>
  <c r="E122" i="3" s="1"/>
  <c r="C123" i="3"/>
  <c r="E123" i="3" s="1"/>
  <c r="C124" i="3"/>
  <c r="E124" i="3" s="1"/>
  <c r="C125" i="3"/>
  <c r="E125" i="3" s="1"/>
  <c r="C126" i="3"/>
  <c r="E126" i="3" s="1"/>
  <c r="C127" i="3"/>
  <c r="E127" i="3" s="1"/>
  <c r="C128" i="3"/>
  <c r="E128" i="3" s="1"/>
  <c r="C129" i="3"/>
  <c r="E129" i="3" s="1"/>
  <c r="C130" i="3"/>
  <c r="E130" i="3" s="1"/>
  <c r="C131" i="3"/>
  <c r="E131" i="3" s="1"/>
  <c r="C132" i="3"/>
  <c r="E132" i="3" s="1"/>
  <c r="C133" i="3"/>
  <c r="E133" i="3" s="1"/>
  <c r="C135" i="3"/>
  <c r="E135" i="3" s="1"/>
  <c r="D136" i="3"/>
  <c r="D128" i="2"/>
  <c r="C127" i="2"/>
  <c r="E127" i="2" s="1"/>
  <c r="D137" i="3" l="1"/>
  <c r="C136" i="3"/>
  <c r="E136" i="3" s="1"/>
  <c r="D129" i="2"/>
  <c r="C128" i="2"/>
  <c r="E128" i="2" s="1"/>
  <c r="C137" i="3" l="1"/>
  <c r="E137" i="3" s="1"/>
  <c r="D138" i="3"/>
  <c r="C129" i="2"/>
  <c r="E129" i="2" s="1"/>
  <c r="D130" i="2"/>
  <c r="D139" i="3" l="1"/>
  <c r="C138" i="3"/>
  <c r="E138" i="3" s="1"/>
  <c r="C130" i="2"/>
  <c r="E130" i="2" s="1"/>
  <c r="D131" i="2"/>
  <c r="D140" i="3" l="1"/>
  <c r="C139" i="3"/>
  <c r="E139" i="3" s="1"/>
  <c r="C131" i="2"/>
  <c r="E131" i="2" s="1"/>
  <c r="D132" i="2"/>
  <c r="C140" i="3" l="1"/>
  <c r="E140" i="3" s="1"/>
  <c r="D141" i="3"/>
  <c r="C132" i="2"/>
  <c r="E132" i="2" s="1"/>
  <c r="D133" i="2"/>
  <c r="D142" i="3" l="1"/>
  <c r="C141" i="3"/>
  <c r="E141" i="3" s="1"/>
  <c r="C133" i="2"/>
  <c r="E133" i="2" s="1"/>
  <c r="D134" i="2"/>
  <c r="D143" i="3" l="1"/>
  <c r="C142" i="3"/>
  <c r="E142" i="3" s="1"/>
  <c r="C134" i="2"/>
  <c r="E134" i="2" s="1"/>
  <c r="D135" i="2"/>
  <c r="C143" i="3" l="1"/>
  <c r="E143" i="3" s="1"/>
  <c r="D144" i="3"/>
  <c r="D136" i="2"/>
  <c r="C135" i="2"/>
  <c r="E135" i="2" s="1"/>
  <c r="D145" i="3" l="1"/>
  <c r="C144" i="3"/>
  <c r="E144" i="3" s="1"/>
  <c r="D137" i="2"/>
  <c r="C136" i="2"/>
  <c r="E136" i="2" s="1"/>
  <c r="C145" i="3" l="1"/>
  <c r="E145" i="3" s="1"/>
  <c r="D146" i="3"/>
  <c r="C137" i="2"/>
  <c r="E137" i="2" s="1"/>
  <c r="D138" i="2"/>
  <c r="C146" i="3" l="1"/>
  <c r="E146" i="3" s="1"/>
  <c r="D147" i="3"/>
  <c r="C138" i="2"/>
  <c r="E138" i="2" s="1"/>
  <c r="D139" i="2"/>
  <c r="D148" i="3" l="1"/>
  <c r="C147" i="3"/>
  <c r="E147" i="3" s="1"/>
  <c r="C139" i="2"/>
  <c r="E139" i="2" s="1"/>
  <c r="D140" i="2"/>
  <c r="C148" i="3" l="1"/>
  <c r="E148" i="3" s="1"/>
  <c r="D149" i="3"/>
  <c r="C140" i="2"/>
  <c r="E140" i="2" s="1"/>
  <c r="D141" i="2"/>
  <c r="D150" i="3" l="1"/>
  <c r="C149" i="3"/>
  <c r="E149" i="3" s="1"/>
  <c r="D142" i="2"/>
  <c r="C141" i="2"/>
  <c r="E141" i="2" s="1"/>
  <c r="D151" i="3" l="1"/>
  <c r="C150" i="3"/>
  <c r="E150" i="3" s="1"/>
  <c r="C142" i="2"/>
  <c r="E142" i="2" s="1"/>
  <c r="D143" i="2"/>
  <c r="C151" i="3" l="1"/>
  <c r="E151" i="3" s="1"/>
  <c r="D152" i="3"/>
  <c r="D144" i="2"/>
  <c r="C143" i="2"/>
  <c r="E143" i="2" s="1"/>
  <c r="D153" i="3" l="1"/>
  <c r="C152" i="3"/>
  <c r="E152" i="3" s="1"/>
  <c r="D145" i="2"/>
  <c r="C144" i="2"/>
  <c r="E144" i="2" s="1"/>
  <c r="C153" i="3" l="1"/>
  <c r="E153" i="3" s="1"/>
  <c r="D154" i="3"/>
  <c r="D146" i="2"/>
  <c r="C145" i="2"/>
  <c r="E145" i="2" s="1"/>
  <c r="D155" i="3" l="1"/>
  <c r="C154" i="3"/>
  <c r="E154" i="3" s="1"/>
  <c r="D147" i="2"/>
  <c r="C146" i="2"/>
  <c r="E146" i="2" s="1"/>
  <c r="D156" i="3" l="1"/>
  <c r="C155" i="3"/>
  <c r="E155" i="3" s="1"/>
  <c r="C147" i="2"/>
  <c r="E147" i="2" s="1"/>
  <c r="D148" i="2"/>
  <c r="C156" i="3" l="1"/>
  <c r="E156" i="3" s="1"/>
  <c r="D157" i="3"/>
  <c r="C148" i="2"/>
  <c r="E148" i="2" s="1"/>
  <c r="D149" i="2"/>
  <c r="D158" i="3" l="1"/>
  <c r="C157" i="3"/>
  <c r="E157" i="3" s="1"/>
  <c r="C149" i="2"/>
  <c r="E149" i="2" s="1"/>
  <c r="D150" i="2"/>
  <c r="D159" i="3" l="1"/>
  <c r="C158" i="3"/>
  <c r="E158" i="3" s="1"/>
  <c r="D151" i="2"/>
  <c r="C150" i="2"/>
  <c r="E150" i="2" s="1"/>
  <c r="C159" i="3" l="1"/>
  <c r="E159" i="3" s="1"/>
  <c r="D160" i="3"/>
  <c r="D152" i="2"/>
  <c r="C151" i="2"/>
  <c r="E151" i="2" s="1"/>
  <c r="D161" i="3" l="1"/>
  <c r="C160" i="3"/>
  <c r="E160" i="3" s="1"/>
  <c r="D153" i="2"/>
  <c r="C152" i="2"/>
  <c r="E152" i="2" s="1"/>
  <c r="C161" i="3" l="1"/>
  <c r="E161" i="3" s="1"/>
  <c r="D162" i="3"/>
  <c r="C153" i="2"/>
  <c r="E153" i="2" s="1"/>
  <c r="D154" i="2"/>
  <c r="C162" i="3" l="1"/>
  <c r="E162" i="3" s="1"/>
  <c r="D163" i="3"/>
  <c r="C154" i="2"/>
  <c r="E154" i="2" s="1"/>
  <c r="D155" i="2"/>
  <c r="D164" i="3" l="1"/>
  <c r="C163" i="3"/>
  <c r="E163" i="3" s="1"/>
  <c r="C155" i="2"/>
  <c r="E155" i="2" s="1"/>
  <c r="D156" i="2"/>
  <c r="C164" i="3" l="1"/>
  <c r="E164" i="3" s="1"/>
  <c r="D165" i="3"/>
  <c r="C156" i="2"/>
  <c r="E156" i="2" s="1"/>
  <c r="D157" i="2"/>
  <c r="D166" i="3" l="1"/>
  <c r="C165" i="3"/>
  <c r="E165" i="3" s="1"/>
  <c r="D158" i="2"/>
  <c r="C157" i="2"/>
  <c r="E157" i="2" s="1"/>
  <c r="D167" i="3" l="1"/>
  <c r="C166" i="3"/>
  <c r="E166" i="3" s="1"/>
  <c r="D159" i="2"/>
  <c r="C158" i="2"/>
  <c r="E158" i="2" s="1"/>
  <c r="C167" i="3" l="1"/>
  <c r="E167" i="3" s="1"/>
  <c r="D168" i="3"/>
  <c r="D160" i="2"/>
  <c r="C159" i="2"/>
  <c r="E159" i="2" s="1"/>
  <c r="D169" i="3" l="1"/>
  <c r="C168" i="3"/>
  <c r="E168" i="3" s="1"/>
  <c r="D161" i="2"/>
  <c r="C160" i="2"/>
  <c r="E160" i="2" s="1"/>
  <c r="C169" i="3" l="1"/>
  <c r="E169" i="3" s="1"/>
  <c r="D170" i="3"/>
  <c r="D162" i="2"/>
  <c r="C161" i="2"/>
  <c r="E161" i="2" s="1"/>
  <c r="D171" i="3" l="1"/>
  <c r="C170" i="3"/>
  <c r="E170" i="3" s="1"/>
  <c r="C162" i="2"/>
  <c r="E162" i="2" s="1"/>
  <c r="D163" i="2"/>
  <c r="D172" i="3" l="1"/>
  <c r="C171" i="3"/>
  <c r="E171" i="3" s="1"/>
  <c r="C163" i="2"/>
  <c r="E163" i="2" s="1"/>
  <c r="D164" i="2"/>
  <c r="C172" i="3" l="1"/>
  <c r="E172" i="3" s="1"/>
  <c r="D173" i="3"/>
  <c r="D165" i="2"/>
  <c r="C164" i="2"/>
  <c r="E164" i="2" s="1"/>
  <c r="D174" i="3" l="1"/>
  <c r="C173" i="3"/>
  <c r="E173" i="3" s="1"/>
  <c r="C165" i="2"/>
  <c r="E165" i="2" s="1"/>
  <c r="D166" i="2"/>
  <c r="D175" i="3" l="1"/>
  <c r="C174" i="3"/>
  <c r="E174" i="3" s="1"/>
  <c r="C166" i="2"/>
  <c r="E166" i="2" s="1"/>
  <c r="D167" i="2"/>
  <c r="C175" i="3" l="1"/>
  <c r="E175" i="3" s="1"/>
  <c r="D176" i="3"/>
  <c r="C167" i="2"/>
  <c r="E167" i="2" s="1"/>
  <c r="D168" i="2"/>
  <c r="D177" i="3" l="1"/>
  <c r="C176" i="3"/>
  <c r="E176" i="3" s="1"/>
  <c r="C168" i="2"/>
  <c r="E168" i="2" s="1"/>
  <c r="D169" i="2"/>
  <c r="C177" i="3" l="1"/>
  <c r="E177" i="3" s="1"/>
  <c r="D178" i="3"/>
  <c r="C169" i="2"/>
  <c r="E169" i="2" s="1"/>
  <c r="D170" i="2"/>
  <c r="C178" i="3" l="1"/>
  <c r="E178" i="3" s="1"/>
  <c r="D179" i="3"/>
  <c r="D171" i="2"/>
  <c r="C170" i="2"/>
  <c r="E170" i="2" s="1"/>
  <c r="D180" i="3" l="1"/>
  <c r="C179" i="3"/>
  <c r="E179" i="3" s="1"/>
  <c r="D172" i="2"/>
  <c r="C171" i="2"/>
  <c r="E171" i="2" s="1"/>
  <c r="C180" i="3" l="1"/>
  <c r="E180" i="3" s="1"/>
  <c r="D181" i="3"/>
  <c r="D173" i="2"/>
  <c r="C172" i="2"/>
  <c r="E172" i="2" s="1"/>
  <c r="D182" i="3" l="1"/>
  <c r="C181" i="3"/>
  <c r="E181" i="3" s="1"/>
  <c r="C173" i="2"/>
  <c r="E173" i="2" s="1"/>
  <c r="D174" i="2"/>
  <c r="D183" i="3" l="1"/>
  <c r="C182" i="3"/>
  <c r="E182" i="3" s="1"/>
  <c r="D175" i="2"/>
  <c r="C174" i="2"/>
  <c r="E174" i="2" s="1"/>
  <c r="C183" i="3" l="1"/>
  <c r="E183" i="3" s="1"/>
  <c r="D184" i="3"/>
  <c r="C175" i="2"/>
  <c r="E175" i="2" s="1"/>
  <c r="D176" i="2"/>
  <c r="D185" i="3" l="1"/>
  <c r="C184" i="3"/>
  <c r="E184" i="3" s="1"/>
  <c r="C176" i="2"/>
  <c r="E176" i="2" s="1"/>
  <c r="D177" i="2"/>
  <c r="C185" i="3" l="1"/>
  <c r="E185" i="3" s="1"/>
  <c r="D186" i="3"/>
  <c r="D178" i="2"/>
  <c r="C177" i="2"/>
  <c r="E177" i="2" s="1"/>
  <c r="D187" i="3" l="1"/>
  <c r="C186" i="3"/>
  <c r="E186" i="3" s="1"/>
  <c r="D179" i="2"/>
  <c r="C178" i="2"/>
  <c r="E178" i="2" s="1"/>
  <c r="D188" i="3" l="1"/>
  <c r="C187" i="3"/>
  <c r="E187" i="3" s="1"/>
  <c r="D180" i="2"/>
  <c r="C179" i="2"/>
  <c r="E179" i="2" s="1"/>
  <c r="C188" i="3" l="1"/>
  <c r="E188" i="3" s="1"/>
  <c r="D189" i="3"/>
  <c r="D181" i="2"/>
  <c r="C180" i="2"/>
  <c r="E180" i="2" s="1"/>
  <c r="D190" i="3" l="1"/>
  <c r="C189" i="3"/>
  <c r="E189" i="3" s="1"/>
  <c r="D182" i="2"/>
  <c r="C181" i="2"/>
  <c r="E181" i="2" s="1"/>
  <c r="D191" i="3" l="1"/>
  <c r="C190" i="3"/>
  <c r="E190" i="3" s="1"/>
  <c r="C182" i="2"/>
  <c r="E182" i="2" s="1"/>
  <c r="D183" i="2"/>
  <c r="C191" i="3" l="1"/>
  <c r="E191" i="3" s="1"/>
  <c r="D192" i="3"/>
  <c r="C183" i="2"/>
  <c r="E183" i="2" s="1"/>
  <c r="D184" i="2"/>
  <c r="D193" i="3" l="1"/>
  <c r="C192" i="3"/>
  <c r="E192" i="3" s="1"/>
  <c r="C184" i="2"/>
  <c r="E184" i="2" s="1"/>
  <c r="D185" i="2"/>
  <c r="C193" i="3" l="1"/>
  <c r="E193" i="3" s="1"/>
  <c r="D194" i="3"/>
  <c r="D186" i="2"/>
  <c r="C185" i="2"/>
  <c r="E185" i="2" s="1"/>
  <c r="C194" i="3" l="1"/>
  <c r="E194" i="3" s="1"/>
  <c r="D195" i="3"/>
  <c r="C186" i="2"/>
  <c r="E186" i="2" s="1"/>
  <c r="D187" i="2"/>
  <c r="D196" i="3" l="1"/>
  <c r="C195" i="3"/>
  <c r="E195" i="3" s="1"/>
  <c r="D188" i="2"/>
  <c r="C187" i="2"/>
  <c r="E187" i="2" s="1"/>
  <c r="C196" i="3" l="1"/>
  <c r="E196" i="3" s="1"/>
  <c r="D197" i="3"/>
  <c r="D189" i="2"/>
  <c r="C188" i="2"/>
  <c r="E188" i="2" s="1"/>
  <c r="D198" i="3" l="1"/>
  <c r="C197" i="3"/>
  <c r="E197" i="3" s="1"/>
  <c r="C189" i="2"/>
  <c r="E189" i="2" s="1"/>
  <c r="D190" i="2"/>
  <c r="D199" i="3" l="1"/>
  <c r="C198" i="3"/>
  <c r="E198" i="3" s="1"/>
  <c r="C190" i="2"/>
  <c r="E190" i="2" s="1"/>
  <c r="D191" i="2"/>
  <c r="C199" i="3" l="1"/>
  <c r="E199" i="3" s="1"/>
  <c r="D200" i="3"/>
  <c r="C191" i="2"/>
  <c r="E191" i="2" s="1"/>
  <c r="D192" i="2"/>
  <c r="D201" i="3" l="1"/>
  <c r="C200" i="3"/>
  <c r="E200" i="3" s="1"/>
  <c r="C192" i="2"/>
  <c r="E192" i="2" s="1"/>
  <c r="D193" i="2"/>
  <c r="C201" i="3" l="1"/>
  <c r="E201" i="3" s="1"/>
  <c r="D202" i="3"/>
  <c r="C193" i="2"/>
  <c r="E193" i="2" s="1"/>
  <c r="D194" i="2"/>
  <c r="D203" i="3" l="1"/>
  <c r="C202" i="3"/>
  <c r="E202" i="3" s="1"/>
  <c r="C194" i="2"/>
  <c r="E194" i="2" s="1"/>
  <c r="D195" i="2"/>
  <c r="D204" i="3" l="1"/>
  <c r="C203" i="3"/>
  <c r="E203" i="3" s="1"/>
  <c r="D196" i="2"/>
  <c r="C195" i="2"/>
  <c r="E195" i="2" s="1"/>
  <c r="C204" i="3" l="1"/>
  <c r="E204" i="3" s="1"/>
  <c r="D205" i="3"/>
  <c r="D197" i="2"/>
  <c r="C196" i="2"/>
  <c r="E196" i="2" s="1"/>
  <c r="D206" i="3" l="1"/>
  <c r="C205" i="3"/>
  <c r="E205" i="3" s="1"/>
  <c r="C197" i="2"/>
  <c r="E197" i="2" s="1"/>
  <c r="D198" i="2"/>
  <c r="D207" i="3" l="1"/>
  <c r="C206" i="3"/>
  <c r="E206" i="3" s="1"/>
  <c r="C198" i="2"/>
  <c r="E198" i="2" s="1"/>
  <c r="D199" i="2"/>
  <c r="C207" i="3" l="1"/>
  <c r="E207" i="3" s="1"/>
  <c r="D208" i="3"/>
  <c r="C199" i="2"/>
  <c r="E199" i="2" s="1"/>
  <c r="D200" i="2"/>
  <c r="D209" i="3" l="1"/>
  <c r="C208" i="3"/>
  <c r="E208" i="3" s="1"/>
  <c r="C200" i="2"/>
  <c r="E200" i="2" s="1"/>
  <c r="D201" i="2"/>
  <c r="C209" i="3" l="1"/>
  <c r="E209" i="3" s="1"/>
  <c r="D210" i="3"/>
  <c r="C201" i="2"/>
  <c r="E201" i="2" s="1"/>
  <c r="D202" i="2"/>
  <c r="C210" i="3" l="1"/>
  <c r="E210" i="3" s="1"/>
  <c r="D211" i="3"/>
  <c r="D203" i="2"/>
  <c r="C202" i="2"/>
  <c r="E202" i="2" s="1"/>
  <c r="D212" i="3" l="1"/>
  <c r="C211" i="3"/>
  <c r="E211" i="3" s="1"/>
  <c r="D204" i="2"/>
  <c r="C203" i="2"/>
  <c r="E203" i="2" s="1"/>
  <c r="C212" i="3" l="1"/>
  <c r="E212" i="3" s="1"/>
  <c r="D213" i="3"/>
  <c r="D205" i="2"/>
  <c r="C204" i="2"/>
  <c r="E204" i="2" s="1"/>
  <c r="D214" i="3" l="1"/>
  <c r="C213" i="3"/>
  <c r="E213" i="3" s="1"/>
  <c r="C205" i="2"/>
  <c r="E205" i="2" s="1"/>
  <c r="D206" i="2"/>
  <c r="D215" i="3" l="1"/>
  <c r="C214" i="3"/>
  <c r="E214" i="3" s="1"/>
  <c r="C206" i="2"/>
  <c r="E206" i="2" s="1"/>
  <c r="D207" i="2"/>
  <c r="C215" i="3" l="1"/>
  <c r="E215" i="3" s="1"/>
  <c r="D216" i="3"/>
  <c r="C207" i="2"/>
  <c r="E207" i="2" s="1"/>
  <c r="D208" i="2"/>
  <c r="D217" i="3" l="1"/>
  <c r="C216" i="3"/>
  <c r="E216" i="3" s="1"/>
  <c r="C208" i="2"/>
  <c r="E208" i="2" s="1"/>
  <c r="D209" i="2"/>
  <c r="C217" i="3" l="1"/>
  <c r="E217" i="3" s="1"/>
  <c r="D218" i="3"/>
  <c r="D210" i="2"/>
  <c r="C209" i="2"/>
  <c r="E209" i="2" s="1"/>
  <c r="D219" i="3" l="1"/>
  <c r="C218" i="3"/>
  <c r="E218" i="3" s="1"/>
  <c r="D211" i="2"/>
  <c r="C210" i="2"/>
  <c r="E210" i="2" s="1"/>
  <c r="D220" i="3" l="1"/>
  <c r="C219" i="3"/>
  <c r="E219" i="3" s="1"/>
  <c r="D212" i="2"/>
  <c r="C211" i="2"/>
  <c r="E211" i="2" s="1"/>
  <c r="C220" i="3" l="1"/>
  <c r="E220" i="3" s="1"/>
  <c r="D221" i="3"/>
  <c r="D213" i="2"/>
  <c r="C212" i="2"/>
  <c r="E212" i="2" s="1"/>
  <c r="D222" i="3" l="1"/>
  <c r="C221" i="3"/>
  <c r="E221" i="3" s="1"/>
  <c r="D214" i="2"/>
  <c r="C213" i="2"/>
  <c r="E213" i="2" s="1"/>
  <c r="D223" i="3" l="1"/>
  <c r="C222" i="3"/>
  <c r="E222" i="3" s="1"/>
  <c r="C214" i="2"/>
  <c r="E214" i="2" s="1"/>
  <c r="D215" i="2"/>
  <c r="C223" i="3" l="1"/>
  <c r="E223" i="3" s="1"/>
  <c r="D224" i="3"/>
  <c r="C215" i="2"/>
  <c r="E215" i="2" s="1"/>
  <c r="D216" i="2"/>
  <c r="D225" i="3" l="1"/>
  <c r="C224" i="3"/>
  <c r="E224" i="3" s="1"/>
  <c r="C216" i="2"/>
  <c r="E216" i="2" s="1"/>
  <c r="D217" i="2"/>
  <c r="C225" i="3" l="1"/>
  <c r="E225" i="3" s="1"/>
  <c r="D226" i="3"/>
  <c r="D218" i="2"/>
  <c r="C217" i="2"/>
  <c r="E217" i="2" s="1"/>
  <c r="C226" i="3" l="1"/>
  <c r="E226" i="3" s="1"/>
  <c r="D227" i="3"/>
  <c r="C218" i="2"/>
  <c r="E218" i="2" s="1"/>
  <c r="D219" i="2"/>
  <c r="D228" i="3" l="1"/>
  <c r="C227" i="3"/>
  <c r="E227" i="3" s="1"/>
  <c r="D220" i="2"/>
  <c r="C219" i="2"/>
  <c r="E219" i="2" s="1"/>
  <c r="C228" i="3" l="1"/>
  <c r="E228" i="3" s="1"/>
  <c r="D229" i="3"/>
  <c r="D221" i="2"/>
  <c r="C220" i="2"/>
  <c r="E220" i="2" s="1"/>
  <c r="D230" i="3" l="1"/>
  <c r="C229" i="3"/>
  <c r="E229" i="3" s="1"/>
  <c r="C221" i="2"/>
  <c r="E221" i="2" s="1"/>
  <c r="D222" i="2"/>
  <c r="D231" i="3" l="1"/>
  <c r="C230" i="3"/>
  <c r="E230" i="3" s="1"/>
  <c r="C222" i="2"/>
  <c r="E222" i="2" s="1"/>
  <c r="D223" i="2"/>
  <c r="C231" i="3" l="1"/>
  <c r="E231" i="3" s="1"/>
  <c r="D232" i="3"/>
  <c r="C223" i="2"/>
  <c r="E223" i="2" s="1"/>
  <c r="D224" i="2"/>
  <c r="D233" i="3" l="1"/>
  <c r="C232" i="3"/>
  <c r="E232" i="3" s="1"/>
  <c r="C224" i="2"/>
  <c r="E224" i="2" s="1"/>
  <c r="D225" i="2"/>
  <c r="C233" i="3" l="1"/>
  <c r="E233" i="3" s="1"/>
  <c r="D234" i="3"/>
  <c r="C225" i="2"/>
  <c r="E225" i="2" s="1"/>
  <c r="D226" i="2"/>
  <c r="D235" i="3" l="1"/>
  <c r="C234" i="3"/>
  <c r="E234" i="3" s="1"/>
  <c r="C226" i="2"/>
  <c r="E226" i="2" s="1"/>
  <c r="D227" i="2"/>
  <c r="D236" i="3" l="1"/>
  <c r="C235" i="3"/>
  <c r="E235" i="3" s="1"/>
  <c r="D228" i="2"/>
  <c r="C227" i="2"/>
  <c r="E227" i="2" s="1"/>
  <c r="C236" i="3" l="1"/>
  <c r="E236" i="3" s="1"/>
  <c r="D237" i="3"/>
  <c r="D229" i="2"/>
  <c r="C228" i="2"/>
  <c r="E228" i="2" s="1"/>
  <c r="D238" i="3" l="1"/>
  <c r="C237" i="3"/>
  <c r="E237" i="3" s="1"/>
  <c r="C229" i="2"/>
  <c r="E229" i="2" s="1"/>
  <c r="D230" i="2"/>
  <c r="D239" i="3" l="1"/>
  <c r="C238" i="3"/>
  <c r="E238" i="3" s="1"/>
  <c r="C230" i="2"/>
  <c r="E230" i="2" s="1"/>
  <c r="D231" i="2"/>
  <c r="C239" i="3" l="1"/>
  <c r="E239" i="3" s="1"/>
  <c r="D240" i="3"/>
  <c r="C231" i="2"/>
  <c r="E231" i="2" s="1"/>
  <c r="D232" i="2"/>
  <c r="D241" i="3" l="1"/>
  <c r="C240" i="3"/>
  <c r="E240" i="3" s="1"/>
  <c r="C232" i="2"/>
  <c r="E232" i="2" s="1"/>
  <c r="D233" i="2"/>
  <c r="C241" i="3" l="1"/>
  <c r="E241" i="3" s="1"/>
  <c r="D242" i="3"/>
  <c r="C233" i="2"/>
  <c r="E233" i="2" s="1"/>
  <c r="D234" i="2"/>
  <c r="C242" i="3" l="1"/>
  <c r="E242" i="3" s="1"/>
  <c r="D243" i="3"/>
  <c r="D235" i="2"/>
  <c r="C234" i="2"/>
  <c r="E234" i="2" s="1"/>
  <c r="D244" i="3" l="1"/>
  <c r="C243" i="3"/>
  <c r="E243" i="3" s="1"/>
  <c r="D236" i="2"/>
  <c r="C235" i="2"/>
  <c r="E235" i="2" s="1"/>
  <c r="C244" i="3" l="1"/>
  <c r="E244" i="3" s="1"/>
  <c r="D245" i="3"/>
  <c r="D237" i="2"/>
  <c r="C236" i="2"/>
  <c r="E236" i="2" s="1"/>
  <c r="D246" i="3" l="1"/>
  <c r="C245" i="3"/>
  <c r="E245" i="3" s="1"/>
  <c r="C237" i="2"/>
  <c r="E237" i="2" s="1"/>
  <c r="D238" i="2"/>
  <c r="D247" i="3" l="1"/>
  <c r="C246" i="3"/>
  <c r="E246" i="3" s="1"/>
  <c r="D239" i="2"/>
  <c r="C238" i="2"/>
  <c r="E238" i="2" s="1"/>
  <c r="C247" i="3" l="1"/>
  <c r="E247" i="3" s="1"/>
  <c r="D248" i="3"/>
  <c r="C239" i="2"/>
  <c r="E239" i="2" s="1"/>
  <c r="D240" i="2"/>
  <c r="D249" i="3" l="1"/>
  <c r="C248" i="3"/>
  <c r="E248" i="3" s="1"/>
  <c r="C240" i="2"/>
  <c r="E240" i="2" s="1"/>
  <c r="D241" i="2"/>
  <c r="C249" i="3" l="1"/>
  <c r="E249" i="3" s="1"/>
  <c r="D250" i="3"/>
  <c r="D242" i="2"/>
  <c r="C241" i="2"/>
  <c r="E241" i="2" s="1"/>
  <c r="D251" i="3" l="1"/>
  <c r="C250" i="3"/>
  <c r="E250" i="3" s="1"/>
  <c r="D243" i="2"/>
  <c r="C242" i="2"/>
  <c r="E242" i="2" s="1"/>
  <c r="D252" i="3" l="1"/>
  <c r="C251" i="3"/>
  <c r="E251" i="3" s="1"/>
  <c r="D244" i="2"/>
  <c r="C243" i="2"/>
  <c r="E243" i="2" s="1"/>
  <c r="C252" i="3" l="1"/>
  <c r="E252" i="3" s="1"/>
  <c r="D253" i="3"/>
  <c r="D245" i="2"/>
  <c r="C244" i="2"/>
  <c r="E244" i="2" s="1"/>
  <c r="D254" i="3" l="1"/>
  <c r="C253" i="3"/>
  <c r="E253" i="3" s="1"/>
  <c r="D246" i="2"/>
  <c r="C245" i="2"/>
  <c r="E245" i="2" s="1"/>
  <c r="D255" i="3" l="1"/>
  <c r="C254" i="3"/>
  <c r="E254" i="3" s="1"/>
  <c r="C246" i="2"/>
  <c r="E246" i="2" s="1"/>
  <c r="D247" i="2"/>
  <c r="C255" i="3" l="1"/>
  <c r="E255" i="3" s="1"/>
  <c r="D256" i="3"/>
  <c r="C247" i="2"/>
  <c r="E247" i="2" s="1"/>
  <c r="D248" i="2"/>
  <c r="D257" i="3" l="1"/>
  <c r="C256" i="3"/>
  <c r="E256" i="3" s="1"/>
  <c r="C248" i="2"/>
  <c r="E248" i="2" s="1"/>
  <c r="D249" i="2"/>
  <c r="C257" i="3" l="1"/>
  <c r="E257" i="3" s="1"/>
  <c r="D258" i="3"/>
  <c r="D250" i="2"/>
  <c r="C249" i="2"/>
  <c r="E249" i="2" s="1"/>
  <c r="C258" i="3" l="1"/>
  <c r="E258" i="3" s="1"/>
  <c r="D259" i="3"/>
  <c r="C250" i="2"/>
  <c r="E250" i="2" s="1"/>
  <c r="D251" i="2"/>
  <c r="D260" i="3" l="1"/>
  <c r="C259" i="3"/>
  <c r="E259" i="3" s="1"/>
  <c r="D252" i="2"/>
  <c r="C251" i="2"/>
  <c r="E251" i="2" s="1"/>
  <c r="C260" i="3" l="1"/>
  <c r="E260" i="3" s="1"/>
  <c r="D261" i="3"/>
  <c r="D253" i="2"/>
  <c r="C252" i="2"/>
  <c r="E252" i="2" s="1"/>
  <c r="D262" i="3" l="1"/>
  <c r="C261" i="3"/>
  <c r="E261" i="3" s="1"/>
  <c r="C253" i="2"/>
  <c r="E253" i="2" s="1"/>
  <c r="D254" i="2"/>
  <c r="D263" i="3" l="1"/>
  <c r="C262" i="3"/>
  <c r="E262" i="3" s="1"/>
  <c r="C254" i="2"/>
  <c r="E254" i="2" s="1"/>
  <c r="D255" i="2"/>
  <c r="C263" i="3" l="1"/>
  <c r="E263" i="3" s="1"/>
  <c r="D264" i="3"/>
  <c r="C255" i="2"/>
  <c r="E255" i="2" s="1"/>
  <c r="D256" i="2"/>
  <c r="D265" i="3" l="1"/>
  <c r="C264" i="3"/>
  <c r="E264" i="3" s="1"/>
  <c r="C256" i="2"/>
  <c r="E256" i="2" s="1"/>
  <c r="D257" i="2"/>
  <c r="C265" i="3" l="1"/>
  <c r="E265" i="3" s="1"/>
  <c r="D266" i="3"/>
  <c r="C257" i="2"/>
  <c r="E257" i="2" s="1"/>
  <c r="D258" i="2"/>
  <c r="D267" i="3" l="1"/>
  <c r="C266" i="3"/>
  <c r="E266" i="3" s="1"/>
  <c r="D259" i="2"/>
  <c r="C258" i="2"/>
  <c r="E258" i="2" s="1"/>
  <c r="D268" i="3" l="1"/>
  <c r="C267" i="3"/>
  <c r="E267" i="3" s="1"/>
  <c r="D260" i="2"/>
  <c r="C259" i="2"/>
  <c r="E259" i="2" s="1"/>
  <c r="C268" i="3" l="1"/>
  <c r="E268" i="3" s="1"/>
  <c r="D269" i="3"/>
  <c r="D261" i="2"/>
  <c r="C260" i="2"/>
  <c r="E260" i="2" s="1"/>
  <c r="D270" i="3" l="1"/>
  <c r="C269" i="3"/>
  <c r="E269" i="3" s="1"/>
  <c r="C261" i="2"/>
  <c r="E261" i="2" s="1"/>
  <c r="D262" i="2"/>
  <c r="D271" i="3" l="1"/>
  <c r="C270" i="3"/>
  <c r="E270" i="3" s="1"/>
  <c r="C262" i="2"/>
  <c r="E262" i="2" s="1"/>
  <c r="D263" i="2"/>
  <c r="C271" i="3" l="1"/>
  <c r="E271" i="3" s="1"/>
  <c r="D272" i="3"/>
  <c r="C263" i="2"/>
  <c r="E263" i="2" s="1"/>
  <c r="D264" i="2"/>
  <c r="D273" i="3" l="1"/>
  <c r="C272" i="3"/>
  <c r="E272" i="3" s="1"/>
  <c r="C264" i="2"/>
  <c r="E264" i="2" s="1"/>
  <c r="D265" i="2"/>
  <c r="C273" i="3" l="1"/>
  <c r="E273" i="3" s="1"/>
  <c r="D274" i="3"/>
  <c r="D266" i="2"/>
  <c r="C265" i="2"/>
  <c r="E265" i="2" s="1"/>
  <c r="C274" i="3" l="1"/>
  <c r="E274" i="3" s="1"/>
  <c r="D275" i="3"/>
  <c r="D267" i="2"/>
  <c r="C266" i="2"/>
  <c r="E266" i="2" s="1"/>
  <c r="D276" i="3" l="1"/>
  <c r="C275" i="3"/>
  <c r="E275" i="3" s="1"/>
  <c r="D268" i="2"/>
  <c r="C267" i="2"/>
  <c r="E267" i="2" s="1"/>
  <c r="C276" i="3" l="1"/>
  <c r="E276" i="3" s="1"/>
  <c r="D277" i="3"/>
  <c r="D269" i="2"/>
  <c r="C268" i="2"/>
  <c r="E268" i="2" s="1"/>
  <c r="D278" i="3" l="1"/>
  <c r="C277" i="3"/>
  <c r="E277" i="3" s="1"/>
  <c r="C269" i="2"/>
  <c r="E269" i="2" s="1"/>
  <c r="D270" i="2"/>
  <c r="D279" i="3" l="1"/>
  <c r="C278" i="3"/>
  <c r="E278" i="3" s="1"/>
  <c r="C270" i="2"/>
  <c r="E270" i="2" s="1"/>
  <c r="D271" i="2"/>
  <c r="C279" i="3" l="1"/>
  <c r="E279" i="3" s="1"/>
  <c r="D280" i="3"/>
  <c r="C271" i="2"/>
  <c r="E271" i="2" s="1"/>
  <c r="D272" i="2"/>
  <c r="D281" i="3" l="1"/>
  <c r="C280" i="3"/>
  <c r="E280" i="3" s="1"/>
  <c r="C272" i="2"/>
  <c r="E272" i="2" s="1"/>
  <c r="D273" i="2"/>
  <c r="C281" i="3" l="1"/>
  <c r="E281" i="3" s="1"/>
  <c r="D282" i="3"/>
  <c r="D274" i="2"/>
  <c r="C273" i="2"/>
  <c r="E273" i="2" s="1"/>
  <c r="D283" i="3" l="1"/>
  <c r="C282" i="3"/>
  <c r="E282" i="3" s="1"/>
  <c r="D275" i="2"/>
  <c r="C274" i="2"/>
  <c r="E274" i="2" s="1"/>
  <c r="D284" i="3" l="1"/>
  <c r="C283" i="3"/>
  <c r="E283" i="3" s="1"/>
  <c r="D276" i="2"/>
  <c r="C275" i="2"/>
  <c r="E275" i="2" s="1"/>
  <c r="C284" i="3" l="1"/>
  <c r="E284" i="3" s="1"/>
  <c r="D285" i="3"/>
  <c r="D277" i="2"/>
  <c r="C276" i="2"/>
  <c r="E276" i="2" s="1"/>
  <c r="D286" i="3" l="1"/>
  <c r="C285" i="3"/>
  <c r="E285" i="3" s="1"/>
  <c r="D278" i="2"/>
  <c r="C277" i="2"/>
  <c r="E277" i="2" s="1"/>
  <c r="D287" i="3" l="1"/>
  <c r="C286" i="3"/>
  <c r="E286" i="3" s="1"/>
  <c r="C278" i="2"/>
  <c r="E278" i="2" s="1"/>
  <c r="D279" i="2"/>
  <c r="C287" i="3" l="1"/>
  <c r="E287" i="3" s="1"/>
  <c r="D288" i="3"/>
  <c r="C279" i="2"/>
  <c r="E279" i="2" s="1"/>
  <c r="D280" i="2"/>
  <c r="D289" i="3" l="1"/>
  <c r="C288" i="3"/>
  <c r="E288" i="3" s="1"/>
  <c r="C280" i="2"/>
  <c r="E280" i="2" s="1"/>
  <c r="D281" i="2"/>
  <c r="C289" i="3" l="1"/>
  <c r="E289" i="3" s="1"/>
  <c r="D290" i="3"/>
  <c r="D282" i="2"/>
  <c r="C281" i="2"/>
  <c r="E281" i="2" s="1"/>
  <c r="C290" i="3" l="1"/>
  <c r="E290" i="3" s="1"/>
  <c r="D291" i="3"/>
  <c r="C282" i="2"/>
  <c r="E282" i="2" s="1"/>
  <c r="D283" i="2"/>
  <c r="D292" i="3" l="1"/>
  <c r="C291" i="3"/>
  <c r="E291" i="3" s="1"/>
  <c r="D284" i="2"/>
  <c r="C283" i="2"/>
  <c r="E283" i="2" s="1"/>
  <c r="C292" i="3" l="1"/>
  <c r="E292" i="3" s="1"/>
  <c r="D293" i="3"/>
  <c r="D285" i="2"/>
  <c r="C284" i="2"/>
  <c r="E284" i="2" s="1"/>
  <c r="D294" i="3" l="1"/>
  <c r="C293" i="3"/>
  <c r="E293" i="3" s="1"/>
  <c r="C285" i="2"/>
  <c r="E285" i="2" s="1"/>
  <c r="D286" i="2"/>
  <c r="D295" i="3" l="1"/>
  <c r="C294" i="3"/>
  <c r="E294" i="3" s="1"/>
  <c r="C286" i="2"/>
  <c r="E286" i="2" s="1"/>
  <c r="D287" i="2"/>
  <c r="C295" i="3" l="1"/>
  <c r="E295" i="3" s="1"/>
  <c r="D296" i="3"/>
  <c r="C287" i="2"/>
  <c r="E287" i="2" s="1"/>
  <c r="D288" i="2"/>
  <c r="D297" i="3" l="1"/>
  <c r="C296" i="3"/>
  <c r="E296" i="3" s="1"/>
  <c r="C288" i="2"/>
  <c r="E288" i="2" s="1"/>
  <c r="D289" i="2"/>
  <c r="C297" i="3" l="1"/>
  <c r="E297" i="3" s="1"/>
  <c r="D298" i="3"/>
  <c r="C289" i="2"/>
  <c r="E289" i="2" s="1"/>
  <c r="D290" i="2"/>
  <c r="D299" i="3" l="1"/>
  <c r="C298" i="3"/>
  <c r="E298" i="3" s="1"/>
  <c r="D291" i="2"/>
  <c r="C290" i="2"/>
  <c r="E290" i="2" s="1"/>
  <c r="D300" i="3" l="1"/>
  <c r="C299" i="3"/>
  <c r="E299" i="3" s="1"/>
  <c r="D292" i="2"/>
  <c r="C291" i="2"/>
  <c r="E291" i="2" s="1"/>
  <c r="C300" i="3" l="1"/>
  <c r="E300" i="3" s="1"/>
  <c r="D301" i="3"/>
  <c r="C292" i="2"/>
  <c r="E292" i="2" s="1"/>
  <c r="D293" i="2"/>
  <c r="D302" i="3" l="1"/>
  <c r="C301" i="3"/>
  <c r="E301" i="3" s="1"/>
  <c r="D294" i="2"/>
  <c r="C293" i="2"/>
  <c r="E293" i="2" s="1"/>
  <c r="D303" i="3" l="1"/>
  <c r="C302" i="3"/>
  <c r="E302" i="3" s="1"/>
  <c r="C294" i="2"/>
  <c r="E294" i="2" s="1"/>
  <c r="D295" i="2"/>
  <c r="C303" i="3" l="1"/>
  <c r="E303" i="3" s="1"/>
  <c r="D304" i="3"/>
  <c r="C295" i="2"/>
  <c r="E295" i="2" s="1"/>
  <c r="D296" i="2"/>
  <c r="D305" i="3" l="1"/>
  <c r="C305" i="3" s="1"/>
  <c r="E305" i="3" s="1"/>
  <c r="C304" i="3"/>
  <c r="E304" i="3" s="1"/>
  <c r="C296" i="2"/>
  <c r="E296" i="2" s="1"/>
  <c r="D297" i="2"/>
  <c r="C297" i="2" s="1"/>
  <c r="E29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<sst xmlns="http://schemas.openxmlformats.org/spreadsheetml/2006/main" count="196" uniqueCount="63">
  <si>
    <t>PDF</t>
  </si>
  <si>
    <t>CDF</t>
  </si>
  <si>
    <t>Quantile</t>
  </si>
  <si>
    <t>st dev log</t>
  </si>
  <si>
    <t>Prediction Error</t>
  </si>
  <si>
    <t>mean log</t>
  </si>
  <si>
    <t>Expected Value</t>
  </si>
  <si>
    <t>Lognormal Assumption</t>
  </si>
  <si>
    <t>Claim Reserve</t>
  </si>
  <si>
    <t>Total</t>
  </si>
  <si>
    <t>UV</t>
  </si>
  <si>
    <t>AY</t>
  </si>
  <si>
    <t>DY</t>
  </si>
  <si>
    <t>Estimation Covariance Coefficient</t>
  </si>
  <si>
    <t/>
  </si>
  <si>
    <t>EV/(ULTIMATE^2)</t>
  </si>
  <si>
    <t>EV component</t>
  </si>
  <si>
    <t>PV/ULTIMATE</t>
  </si>
  <si>
    <t>PV component</t>
  </si>
  <si>
    <t>Total Error (%)</t>
  </si>
  <si>
    <t>Total Error</t>
  </si>
  <si>
    <t>Estim. Covariance Component</t>
  </si>
  <si>
    <t>Estim. CoV</t>
  </si>
  <si>
    <t>Estim. Error</t>
  </si>
  <si>
    <t>Process CoV</t>
  </si>
  <si>
    <t>Process Error</t>
  </si>
  <si>
    <t>Ultimate</t>
  </si>
  <si>
    <t>Diagonal</t>
  </si>
  <si>
    <t>σ^2 adjusted</t>
  </si>
  <si>
    <t>σ^2</t>
  </si>
  <si>
    <t>Weighted Squared Deviations</t>
  </si>
  <si>
    <t>Vol W Avg.</t>
  </si>
  <si>
    <t>10-&gt;11</t>
  </si>
  <si>
    <t>9-&gt;10</t>
  </si>
  <si>
    <t>8-&gt;9</t>
  </si>
  <si>
    <t>7-&gt;8</t>
  </si>
  <si>
    <t>6-&gt;7</t>
  </si>
  <si>
    <t>5-&gt;6</t>
  </si>
  <si>
    <t>4-&gt;5</t>
  </si>
  <si>
    <t>3-&gt;4</t>
  </si>
  <si>
    <t>2-&gt;3</t>
  </si>
  <si>
    <t>1-&gt;2</t>
  </si>
  <si>
    <t>0-&gt;1</t>
  </si>
  <si>
    <t>Development factors</t>
  </si>
  <si>
    <t>Link ratios (a.k.a. age-to-age factors)</t>
  </si>
  <si>
    <t>Cumulative paid claim amount</t>
  </si>
  <si>
    <t>i/j</t>
  </si>
  <si>
    <t>lambda</t>
  </si>
  <si>
    <t>σ^2/lambda^2</t>
  </si>
  <si>
    <t>Cumulative Amounts</t>
  </si>
  <si>
    <t>Component Process Variance</t>
  </si>
  <si>
    <t>Process CV</t>
  </si>
  <si>
    <t xml:space="preserve">Estim. Error </t>
  </si>
  <si>
    <t>(without Dependence)</t>
  </si>
  <si>
    <t>Component Estimation Variance</t>
  </si>
  <si>
    <t>VaR(lambda)/lambda^2</t>
  </si>
  <si>
    <t>Cumulate</t>
  </si>
  <si>
    <t>With dependence</t>
  </si>
  <si>
    <t>Estim. CV</t>
  </si>
  <si>
    <t>CV (%)</t>
  </si>
  <si>
    <t>Independence</t>
  </si>
  <si>
    <t>Full Correlation EV</t>
  </si>
  <si>
    <t>Full Correlation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</si>
</sst>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.0000"/>
    <numFmt numFmtId="165" formatCode="_-* #,##0.00\ _€_-;\-* #,##0.00\ _€_-;_-* &quot;-&quot;??\ _€_-;_-@_-"/>
    <numFmt numFmtId="166" formatCode="_-* #,##0\ _€_-;\-* #,##0\ _€_-;_-* &quot;-&quot;??\ _€_-;_-@_-"/>
    <numFmt numFmtId="167" formatCode="_-* #,##0_-;\-* #,##0_-;_-* &quot;-&quot;??_-;_-@_-"/>
    <numFmt numFmtId="168" formatCode="_-* #,##0.000\ _€_-;\-* #,##0.000\ _€_-;_-* &quot;-&quot;??\ _€_-;_-@_-"/>
    <numFmt numFmtId="169" formatCode="_-* #,##0.000_-;\-* #,##0.000_-;_-* &quot;-&quot;??_-;_-@_-"/>
    <numFmt numFmtId="170" formatCode="0.000"/>
    <numFmt numFmtId="171" formatCode="_-* #,##0.0000_-;\-* #,##0.0000_-;_-* &quot;-&quot;??_-;_-@_-"/>
  </numFmts>
  <fonts count="20">
    <font>
      <sz val="16"/>
      <color theme="1"/>
      <name val="Body Font"/>
      <family val="2"/>
    </font>
    <font>
      <sz val="16"/>
      <color theme="1"/>
      <name val="Body Font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Body Font"/>
      <family val="2"/>
    </font>
    <font>
      <b/>
      <sz val="9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9"/>
      <name val="Arial"/>
      <family val="2"/>
    </font>
    <font>
      <sz val="9"/>
      <color rgb="FFFF0000"/>
      <name val="Calibri"/>
      <family val="2"/>
      <scheme val="minor"/>
    </font>
    <font>
      <sz val="9"/>
      <name val="Arial"/>
      <family val="2"/>
    </font>
    <font>
      <sz val="10"/>
      <color theme="1"/>
      <name val="Body Font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theme="1"/>
      <name val="Body Font"/>
      <family val="2"/>
    </font>
    <font>
      <b/>
      <sz val="9"/>
      <color theme="1"/>
      <name val="Body Font"/>
    </font>
    <font>
      <i/>
      <sz val="9"/>
      <color theme="1"/>
      <name val="Body Font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09">
    <xf numFmtId="0" fontId="0" fillId="0" borderId="0" xfId="0"/>
    <xf numFmtId="0" fontId="3" fillId="2" borderId="2" xfId="4" applyNumberFormat="1" applyFont="1" applyFill="1" applyBorder="1" applyAlignment="1">
      <alignment horizontal="center"/>
    </xf>
    <xf numFmtId="166" fontId="4" fillId="4" borderId="2" xfId="4" applyNumberFormat="1" applyFont="1" applyFill="1" applyBorder="1" applyAlignment="1">
      <alignment horizontal="center"/>
    </xf>
    <xf numFmtId="1" fontId="3" fillId="2" borderId="2" xfId="4" applyNumberFormat="1" applyFont="1" applyFill="1" applyBorder="1" applyAlignment="1">
      <alignment horizontal="center"/>
    </xf>
    <xf numFmtId="0" fontId="3" fillId="2" borderId="4" xfId="4" applyNumberFormat="1" applyFont="1" applyFill="1" applyBorder="1" applyAlignment="1">
      <alignment horizontal="center"/>
    </xf>
    <xf numFmtId="167" fontId="5" fillId="2" borderId="0" xfId="4" applyNumberFormat="1" applyFont="1" applyFill="1"/>
    <xf numFmtId="0" fontId="3" fillId="2" borderId="0" xfId="4" applyNumberFormat="1" applyFont="1" applyFill="1" applyAlignment="1">
      <alignment horizontal="center"/>
    </xf>
    <xf numFmtId="0" fontId="3" fillId="2" borderId="0" xfId="4" applyNumberFormat="1" applyFont="1" applyFill="1" applyBorder="1" applyAlignment="1">
      <alignment horizontal="center"/>
    </xf>
    <xf numFmtId="1" fontId="3" fillId="2" borderId="4" xfId="4" applyNumberFormat="1" applyFont="1" applyFill="1" applyBorder="1" applyAlignment="1">
      <alignment horizontal="center"/>
    </xf>
    <xf numFmtId="0" fontId="6" fillId="2" borderId="0" xfId="3" applyFont="1" applyFill="1"/>
    <xf numFmtId="167" fontId="7" fillId="2" borderId="0" xfId="4" applyNumberFormat="1" applyFont="1" applyFill="1"/>
    <xf numFmtId="167" fontId="8" fillId="2" borderId="0" xfId="4" applyNumberFormat="1" applyFont="1" applyFill="1"/>
    <xf numFmtId="167" fontId="9" fillId="2" borderId="0" xfId="4" applyNumberFormat="1" applyFont="1" applyFill="1" applyAlignment="1">
      <alignment horizontal="center"/>
    </xf>
    <xf numFmtId="167" fontId="9" fillId="2" borderId="0" xfId="4" applyNumberFormat="1" applyFont="1" applyFill="1" applyBorder="1" applyAlignment="1">
      <alignment horizontal="center"/>
    </xf>
    <xf numFmtId="0" fontId="6" fillId="2" borderId="0" xfId="3" applyFont="1" applyFill="1" applyAlignment="1">
      <alignment horizontal="center"/>
    </xf>
    <xf numFmtId="0" fontId="10" fillId="2" borderId="4" xfId="4" applyNumberFormat="1" applyFont="1" applyFill="1" applyBorder="1" applyAlignment="1">
      <alignment horizontal="center"/>
    </xf>
    <xf numFmtId="167" fontId="7" fillId="2" borderId="0" xfId="4" applyNumberFormat="1" applyFont="1" applyFill="1" applyBorder="1"/>
    <xf numFmtId="0" fontId="11" fillId="2" borderId="0" xfId="3" applyFont="1" applyFill="1"/>
    <xf numFmtId="0" fontId="10" fillId="2" borderId="0" xfId="4" applyNumberFormat="1" applyFont="1" applyFill="1" applyAlignment="1">
      <alignment horizontal="center"/>
    </xf>
    <xf numFmtId="169" fontId="6" fillId="2" borderId="0" xfId="3" applyNumberFormat="1" applyFont="1" applyFill="1"/>
    <xf numFmtId="1" fontId="10" fillId="2" borderId="4" xfId="4" applyNumberFormat="1" applyFont="1" applyFill="1" applyBorder="1" applyAlignment="1">
      <alignment horizontal="center"/>
    </xf>
    <xf numFmtId="171" fontId="7" fillId="2" borderId="0" xfId="4" applyNumberFormat="1" applyFont="1" applyFill="1" applyBorder="1"/>
    <xf numFmtId="0" fontId="10" fillId="2" borderId="0" xfId="4" applyNumberFormat="1" applyFont="1" applyFill="1" applyBorder="1" applyAlignment="1">
      <alignment horizontal="center"/>
    </xf>
    <xf numFmtId="167" fontId="9" fillId="2" borderId="0" xfId="4" applyNumberFormat="1" applyFont="1" applyFill="1" applyAlignment="1">
      <alignment horizontal="right"/>
    </xf>
    <xf numFmtId="1" fontId="6" fillId="2" borderId="0" xfId="4" applyNumberFormat="1" applyFont="1" applyFill="1" applyAlignment="1">
      <alignment horizontal="right"/>
    </xf>
    <xf numFmtId="164" fontId="6" fillId="2" borderId="0" xfId="4" applyNumberFormat="1" applyFont="1" applyFill="1" applyAlignment="1">
      <alignment horizontal="right"/>
    </xf>
    <xf numFmtId="166" fontId="7" fillId="2" borderId="0" xfId="4" applyNumberFormat="1" applyFont="1" applyFill="1"/>
    <xf numFmtId="170" fontId="6" fillId="2" borderId="0" xfId="4" applyNumberFormat="1" applyFont="1" applyFill="1" applyAlignment="1">
      <alignment horizontal="right"/>
    </xf>
    <xf numFmtId="0" fontId="9" fillId="2" borderId="0" xfId="3" applyFont="1" applyFill="1"/>
    <xf numFmtId="43" fontId="6" fillId="2" borderId="0" xfId="1" applyFont="1" applyFill="1"/>
    <xf numFmtId="43" fontId="6" fillId="8" borderId="0" xfId="1" applyFont="1" applyFill="1"/>
    <xf numFmtId="165" fontId="7" fillId="2" borderId="0" xfId="4" applyFont="1" applyFill="1" applyBorder="1"/>
    <xf numFmtId="0" fontId="9" fillId="2" borderId="0" xfId="3" applyFont="1" applyFill="1" applyAlignment="1">
      <alignment horizontal="right"/>
    </xf>
    <xf numFmtId="165" fontId="6" fillId="2" borderId="0" xfId="4" applyFont="1" applyFill="1" applyAlignment="1">
      <alignment horizontal="right"/>
    </xf>
    <xf numFmtId="165" fontId="6" fillId="2" borderId="0" xfId="4" applyFont="1" applyFill="1" applyAlignment="1">
      <alignment horizontal="right" vertical="top"/>
    </xf>
    <xf numFmtId="0" fontId="9" fillId="2" borderId="0" xfId="3" applyFont="1" applyFill="1" applyAlignment="1">
      <alignment horizontal="center"/>
    </xf>
    <xf numFmtId="0" fontId="9" fillId="2" borderId="0" xfId="3" applyFont="1" applyFill="1" applyAlignment="1">
      <alignment horizontal="center" wrapText="1"/>
    </xf>
    <xf numFmtId="0" fontId="9" fillId="2" borderId="0" xfId="3" applyFont="1" applyFill="1" applyAlignment="1">
      <alignment horizontal="right" vertical="top"/>
    </xf>
    <xf numFmtId="168" fontId="6" fillId="2" borderId="0" xfId="4" applyNumberFormat="1" applyFont="1" applyFill="1" applyAlignment="1">
      <alignment horizontal="right"/>
    </xf>
    <xf numFmtId="1" fontId="10" fillId="2" borderId="2" xfId="4" applyNumberFormat="1" applyFont="1" applyFill="1" applyBorder="1" applyAlignment="1">
      <alignment horizontal="center"/>
    </xf>
    <xf numFmtId="166" fontId="12" fillId="4" borderId="2" xfId="4" applyNumberFormat="1" applyFont="1" applyFill="1" applyBorder="1" applyAlignment="1">
      <alignment horizontal="center"/>
    </xf>
    <xf numFmtId="166" fontId="7" fillId="3" borderId="2" xfId="4" applyNumberFormat="1" applyFont="1" applyFill="1" applyBorder="1" applyAlignment="1">
      <alignment horizontal="right"/>
    </xf>
    <xf numFmtId="167" fontId="6" fillId="6" borderId="2" xfId="3" applyNumberFormat="1" applyFont="1" applyFill="1" applyBorder="1" applyAlignment="1">
      <alignment horizontal="right"/>
    </xf>
    <xf numFmtId="165" fontId="7" fillId="4" borderId="2" xfId="4" applyFont="1" applyFill="1" applyBorder="1"/>
    <xf numFmtId="10" fontId="7" fillId="5" borderId="2" xfId="5" applyNumberFormat="1" applyFont="1" applyFill="1" applyBorder="1"/>
    <xf numFmtId="166" fontId="7" fillId="4" borderId="2" xfId="4" applyNumberFormat="1" applyFont="1" applyFill="1" applyBorder="1"/>
    <xf numFmtId="166" fontId="6" fillId="2" borderId="0" xfId="3" applyNumberFormat="1" applyFont="1" applyFill="1"/>
    <xf numFmtId="165" fontId="6" fillId="2" borderId="0" xfId="3" applyNumberFormat="1" applyFont="1" applyFill="1"/>
    <xf numFmtId="168" fontId="6" fillId="2" borderId="0" xfId="3" applyNumberFormat="1" applyFont="1" applyFill="1"/>
    <xf numFmtId="1" fontId="9" fillId="2" borderId="0" xfId="3" applyNumberFormat="1" applyFont="1" applyFill="1" applyAlignment="1">
      <alignment horizontal="center"/>
    </xf>
    <xf numFmtId="1" fontId="7" fillId="5" borderId="0" xfId="4" applyNumberFormat="1" applyFont="1" applyFill="1" applyAlignment="1">
      <alignment horizontal="center"/>
    </xf>
    <xf numFmtId="166" fontId="7" fillId="4" borderId="0" xfId="4" applyNumberFormat="1" applyFont="1" applyFill="1" applyAlignment="1">
      <alignment horizontal="center" vertical="center"/>
    </xf>
    <xf numFmtId="2" fontId="6" fillId="2" borderId="0" xfId="3" applyNumberFormat="1" applyFont="1" applyFill="1" applyAlignment="1">
      <alignment horizontal="right"/>
    </xf>
    <xf numFmtId="166" fontId="7" fillId="5" borderId="0" xfId="4" applyNumberFormat="1" applyFont="1" applyFill="1" applyAlignment="1">
      <alignment horizontal="center"/>
    </xf>
    <xf numFmtId="166" fontId="7" fillId="2" borderId="0" xfId="4" applyNumberFormat="1" applyFont="1" applyFill="1" applyAlignment="1">
      <alignment horizontal="center"/>
    </xf>
    <xf numFmtId="0" fontId="9" fillId="3" borderId="0" xfId="3" applyFont="1" applyFill="1" applyAlignment="1">
      <alignment horizontal="center"/>
    </xf>
    <xf numFmtId="164" fontId="6" fillId="2" borderId="0" xfId="3" applyNumberFormat="1" applyFont="1" applyFill="1" applyAlignment="1">
      <alignment horizontal="center"/>
    </xf>
    <xf numFmtId="167" fontId="13" fillId="2" borderId="0" xfId="4" applyNumberFormat="1" applyFont="1" applyFill="1"/>
    <xf numFmtId="0" fontId="14" fillId="2" borderId="0" xfId="3" applyFont="1" applyFill="1"/>
    <xf numFmtId="167" fontId="15" fillId="2" borderId="0" xfId="4" applyNumberFormat="1" applyFont="1" applyFill="1" applyAlignment="1">
      <alignment horizontal="center"/>
    </xf>
    <xf numFmtId="167" fontId="15" fillId="2" borderId="0" xfId="4" applyNumberFormat="1" applyFont="1" applyFill="1" applyBorder="1" applyAlignment="1">
      <alignment horizontal="center"/>
    </xf>
    <xf numFmtId="167" fontId="13" fillId="2" borderId="0" xfId="4" applyNumberFormat="1" applyFont="1" applyFill="1" applyBorder="1"/>
    <xf numFmtId="0" fontId="16" fillId="2" borderId="0" xfId="3" applyFont="1" applyFill="1"/>
    <xf numFmtId="169" fontId="14" fillId="2" borderId="0" xfId="3" applyNumberFormat="1" applyFont="1" applyFill="1"/>
    <xf numFmtId="171" fontId="13" fillId="2" borderId="0" xfId="4" applyNumberFormat="1" applyFont="1" applyFill="1" applyBorder="1"/>
    <xf numFmtId="167" fontId="15" fillId="2" borderId="0" xfId="4" applyNumberFormat="1" applyFont="1" applyFill="1" applyAlignment="1">
      <alignment horizontal="right"/>
    </xf>
    <xf numFmtId="164" fontId="14" fillId="2" borderId="0" xfId="4" applyNumberFormat="1" applyFont="1" applyFill="1" applyAlignment="1">
      <alignment horizontal="right"/>
    </xf>
    <xf numFmtId="1" fontId="14" fillId="2" borderId="0" xfId="4" applyNumberFormat="1" applyFont="1" applyFill="1" applyAlignment="1">
      <alignment horizontal="right"/>
    </xf>
    <xf numFmtId="166" fontId="13" fillId="2" borderId="0" xfId="4" applyNumberFormat="1" applyFont="1" applyFill="1"/>
    <xf numFmtId="170" fontId="14" fillId="2" borderId="0" xfId="4" applyNumberFormat="1" applyFont="1" applyFill="1" applyAlignment="1">
      <alignment horizontal="right"/>
    </xf>
    <xf numFmtId="165" fontId="13" fillId="2" borderId="0" xfId="4" applyFont="1" applyFill="1" applyBorder="1"/>
    <xf numFmtId="43" fontId="14" fillId="2" borderId="0" xfId="3" applyNumberFormat="1" applyFont="1" applyFill="1"/>
    <xf numFmtId="0" fontId="15" fillId="2" borderId="0" xfId="3" applyFont="1" applyFill="1"/>
    <xf numFmtId="0" fontId="15" fillId="2" borderId="0" xfId="3" applyFont="1" applyFill="1" applyAlignment="1">
      <alignment horizontal="right"/>
    </xf>
    <xf numFmtId="165" fontId="14" fillId="2" borderId="0" xfId="4" applyFont="1" applyFill="1" applyAlignment="1">
      <alignment horizontal="right"/>
    </xf>
    <xf numFmtId="0" fontId="15" fillId="2" borderId="0" xfId="3" applyFont="1" applyFill="1" applyAlignment="1">
      <alignment horizontal="center"/>
    </xf>
    <xf numFmtId="0" fontId="15" fillId="2" borderId="0" xfId="3" applyFont="1" applyFill="1" applyAlignment="1">
      <alignment horizontal="right" vertical="top"/>
    </xf>
    <xf numFmtId="165" fontId="14" fillId="2" borderId="0" xfId="4" applyFont="1" applyFill="1" applyAlignment="1">
      <alignment horizontal="right" vertical="top"/>
    </xf>
    <xf numFmtId="0" fontId="15" fillId="2" borderId="0" xfId="3" applyFont="1" applyFill="1" applyAlignment="1">
      <alignment horizontal="center" wrapText="1"/>
    </xf>
    <xf numFmtId="168" fontId="14" fillId="2" borderId="0" xfId="4" applyNumberFormat="1" applyFont="1" applyFill="1" applyAlignment="1">
      <alignment horizontal="right"/>
    </xf>
    <xf numFmtId="166" fontId="13" fillId="3" borderId="2" xfId="4" applyNumberFormat="1" applyFont="1" applyFill="1" applyBorder="1" applyAlignment="1">
      <alignment horizontal="right"/>
    </xf>
    <xf numFmtId="167" fontId="14" fillId="6" borderId="2" xfId="3" applyNumberFormat="1" applyFont="1" applyFill="1" applyBorder="1" applyAlignment="1">
      <alignment horizontal="right"/>
    </xf>
    <xf numFmtId="165" fontId="13" fillId="4" borderId="2" xfId="4" applyFont="1" applyFill="1" applyBorder="1"/>
    <xf numFmtId="10" fontId="13" fillId="5" borderId="2" xfId="5" applyNumberFormat="1" applyFont="1" applyFill="1" applyBorder="1"/>
    <xf numFmtId="166" fontId="13" fillId="4" borderId="2" xfId="4" applyNumberFormat="1" applyFont="1" applyFill="1" applyBorder="1"/>
    <xf numFmtId="0" fontId="15" fillId="3" borderId="0" xfId="3" applyFont="1" applyFill="1"/>
    <xf numFmtId="0" fontId="15" fillId="3" borderId="0" xfId="3" applyFont="1" applyFill="1" applyAlignment="1">
      <alignment horizontal="right"/>
    </xf>
    <xf numFmtId="165" fontId="14" fillId="7" borderId="0" xfId="4" applyFont="1" applyFill="1" applyAlignment="1">
      <alignment horizontal="right"/>
    </xf>
    <xf numFmtId="11" fontId="14" fillId="7" borderId="0" xfId="4" applyNumberFormat="1" applyFont="1" applyFill="1" applyAlignment="1">
      <alignment horizontal="center"/>
    </xf>
    <xf numFmtId="166" fontId="13" fillId="5" borderId="3" xfId="4" applyNumberFormat="1" applyFont="1" applyFill="1" applyBorder="1"/>
    <xf numFmtId="166" fontId="14" fillId="5" borderId="1" xfId="3" applyNumberFormat="1" applyFont="1" applyFill="1" applyBorder="1"/>
    <xf numFmtId="166" fontId="14" fillId="2" borderId="0" xfId="3" applyNumberFormat="1" applyFont="1" applyFill="1"/>
    <xf numFmtId="1" fontId="15" fillId="2" borderId="0" xfId="3" applyNumberFormat="1" applyFont="1" applyFill="1" applyAlignment="1">
      <alignment horizontal="center"/>
    </xf>
    <xf numFmtId="1" fontId="13" fillId="5" borderId="0" xfId="4" applyNumberFormat="1" applyFont="1" applyFill="1" applyAlignment="1">
      <alignment horizontal="center"/>
    </xf>
    <xf numFmtId="166" fontId="13" fillId="4" borderId="0" xfId="4" applyNumberFormat="1" applyFont="1" applyFill="1" applyAlignment="1">
      <alignment horizontal="center" vertical="center"/>
    </xf>
    <xf numFmtId="2" fontId="14" fillId="2" borderId="0" xfId="3" applyNumberFormat="1" applyFont="1" applyFill="1" applyAlignment="1">
      <alignment horizontal="right"/>
    </xf>
    <xf numFmtId="166" fontId="13" fillId="5" borderId="0" xfId="4" applyNumberFormat="1" applyFont="1" applyFill="1" applyAlignment="1">
      <alignment horizontal="center"/>
    </xf>
    <xf numFmtId="166" fontId="13" fillId="2" borderId="0" xfId="4" applyNumberFormat="1" applyFont="1" applyFill="1" applyAlignment="1">
      <alignment horizontal="center"/>
    </xf>
    <xf numFmtId="0" fontId="15" fillId="3" borderId="0" xfId="3" applyFont="1" applyFill="1" applyAlignment="1">
      <alignment horizontal="center"/>
    </xf>
    <xf numFmtId="0" fontId="14" fillId="2" borderId="0" xfId="3" applyFont="1" applyFill="1" applyAlignment="1">
      <alignment horizontal="center"/>
    </xf>
    <xf numFmtId="164" fontId="14" fillId="2" borderId="0" xfId="3" applyNumberFormat="1" applyFont="1" applyFill="1" applyAlignment="1">
      <alignment horizontal="center"/>
    </xf>
    <xf numFmtId="10" fontId="17" fillId="5" borderId="2" xfId="5" applyNumberFormat="1" applyFont="1" applyFill="1" applyBorder="1"/>
    <xf numFmtId="10" fontId="6" fillId="2" borderId="0" xfId="2" applyNumberFormat="1" applyFont="1" applyFill="1"/>
    <xf numFmtId="166" fontId="10" fillId="4" borderId="2" xfId="4" applyNumberFormat="1" applyFont="1" applyFill="1" applyBorder="1" applyAlignment="1">
      <alignment horizontal="center"/>
    </xf>
    <xf numFmtId="166" fontId="17" fillId="3" borderId="2" xfId="4" applyNumberFormat="1" applyFont="1" applyFill="1" applyBorder="1" applyAlignment="1">
      <alignment horizontal="right"/>
    </xf>
    <xf numFmtId="167" fontId="9" fillId="6" borderId="2" xfId="3" applyNumberFormat="1" applyFont="1" applyFill="1" applyBorder="1" applyAlignment="1">
      <alignment horizontal="right"/>
    </xf>
    <xf numFmtId="165" fontId="19" fillId="4" borderId="2" xfId="4" applyFont="1" applyFill="1" applyBorder="1"/>
    <xf numFmtId="166" fontId="18" fillId="4" borderId="2" xfId="4" applyNumberFormat="1" applyFont="1" applyFill="1" applyBorder="1"/>
    <xf numFmtId="0" fontId="6" fillId="2" borderId="0" xfId="3" applyFont="1" applyFill="1" applyAlignment="1">
      <alignment horizontal="center"/>
    </xf>
  </cellXfs>
  <cellStyles count="6">
    <cellStyle name="Comma" xfId="1" builtinId="3"/>
    <cellStyle name="Migliaia 2" xfId="4" xr:uid="{867881AA-E225-4875-BFCC-AF43D0143FA0}"/>
    <cellStyle name="Normal" xfId="0" builtinId="0"/>
    <cellStyle name="Normale 2" xfId="3" xr:uid="{013A8034-BAB8-4D65-8475-808ACF2F38B9}"/>
    <cellStyle name="Percent" xfId="2" builtinId="5"/>
    <cellStyle name="Percentuale 2" xfId="5" xr:uid="{A88BBB63-DA20-4434-9BE9-106B5960C217}"/>
  </cellStyles>
  <dxfs count="7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400"/>
              <a:t>Prediction Error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it-IT" sz="1400" b="0" i="0" baseline="0">
                <a:effectLst/>
              </a:rPr>
              <a:t>Process - Estimation Error split by AY</a:t>
            </a:r>
            <a:endParaRPr lang="en-GB" sz="1400">
              <a:effectLst/>
            </a:endParaRPr>
          </a:p>
        </c:rich>
      </c:tx>
      <c:layout>
        <c:manualLayout>
          <c:xMode val="edge"/>
          <c:yMode val="edge"/>
          <c:x val="0.23279943209945728"/>
          <c:y val="2.9398148148148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1296978221767669"/>
          <c:y val="0.27892936059506329"/>
          <c:w val="0.67478727080823087"/>
          <c:h val="0.521047162919068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Mack_Metodo1!$X$1</c:f>
              <c:strCache>
                <c:ptCount val="1"/>
                <c:pt idx="0">
                  <c:v>Process 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Mack_Metodo1!$T$3:$T$14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Mack_Metodo1!$X$3:$X$14</c:f>
              <c:numCache>
                <c:formatCode>_-* #,##0.00\ _€_-;\-* #,##0.00\ _€_-;_-* "-"??\ _€_-;_-@_-</c:formatCode>
                <c:ptCount val="12"/>
                <c:pt idx="0">
                  <c:v>0</c:v>
                </c:pt>
                <c:pt idx="1">
                  <c:v>32.220985344788097</c:v>
                </c:pt>
                <c:pt idx="2">
                  <c:v>106.14053288039322</c:v>
                </c:pt>
                <c:pt idx="3">
                  <c:v>328.80966062344646</c:v>
                </c:pt>
                <c:pt idx="4">
                  <c:v>381.55064250659308</c:v>
                </c:pt>
                <c:pt idx="5">
                  <c:v>472.06329566207683</c:v>
                </c:pt>
                <c:pt idx="6">
                  <c:v>689.19770710613034</c:v>
                </c:pt>
                <c:pt idx="7">
                  <c:v>972.90569875580002</c:v>
                </c:pt>
                <c:pt idx="8">
                  <c:v>1333.0766030912625</c:v>
                </c:pt>
                <c:pt idx="9">
                  <c:v>1902.1443645298461</c:v>
                </c:pt>
                <c:pt idx="10">
                  <c:v>2811.3667598180295</c:v>
                </c:pt>
                <c:pt idx="11">
                  <c:v>5615.5760032770704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DF-4855-91D1-0FFC6F48BAE6}"/>
            </c:ext>
          </c:extLst>
        </c:ser>
        <c:ser>
          <c:idx val="1"/>
          <c:order val="1"/>
          <c:tx>
            <c:strRef>
              <c:f>Mack_Metodo1!$Z$1</c:f>
              <c:strCache>
                <c:ptCount val="1"/>
                <c:pt idx="0">
                  <c:v>Estim. Error 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>
                  <a:alpha val="50000"/>
                </a:schemeClr>
              </a:solidFill>
            </a:ln>
            <a:effectLst/>
          </c:spPr>
          <c:invertIfNegative val="0"/>
          <c:val>
            <c:numRef>
              <c:f>Mack_Metodo1!$Z$3:$Z$14</c:f>
              <c:numCache>
                <c:formatCode>_-* #,##0.00\ _€_-;\-* #,##0.00\ _€_-;_-* "-"??\ _€_-;_-@_-</c:formatCode>
                <c:ptCount val="12"/>
                <c:pt idx="0">
                  <c:v>0</c:v>
                </c:pt>
                <c:pt idx="1">
                  <c:v>34.290804375822624</c:v>
                </c:pt>
                <c:pt idx="2">
                  <c:v>85.424405934120003</c:v>
                </c:pt>
                <c:pt idx="3">
                  <c:v>217.95676900896802</c:v>
                </c:pt>
                <c:pt idx="4">
                  <c:v>247.67372774027325</c:v>
                </c:pt>
                <c:pt idx="5">
                  <c:v>305.76422058878222</c:v>
                </c:pt>
                <c:pt idx="6">
                  <c:v>397.11140545529355</c:v>
                </c:pt>
                <c:pt idx="7">
                  <c:v>479.80805922764995</c:v>
                </c:pt>
                <c:pt idx="8">
                  <c:v>590.92446641887477</c:v>
                </c:pt>
                <c:pt idx="9">
                  <c:v>783.7049532644279</c:v>
                </c:pt>
                <c:pt idx="10">
                  <c:v>1115.7485805789477</c:v>
                </c:pt>
                <c:pt idx="11">
                  <c:v>2073.7047648776938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DF-4855-91D1-0FFC6F48B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9489696"/>
        <c:axId val="1390028272"/>
      </c:barChart>
      <c:catAx>
        <c:axId val="1389489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Accident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90028272"/>
        <c:crosses val="autoZero"/>
        <c:auto val="1"/>
        <c:lblAlgn val="ctr"/>
        <c:lblOffset val="100"/>
        <c:noMultiLvlLbl val="0"/>
      </c:catAx>
      <c:valAx>
        <c:axId val="139002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8948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400"/>
              <a:t>Prediction Error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it-IT" sz="1400" b="0" i="0" baseline="0">
                <a:effectLst/>
              </a:rPr>
              <a:t>Process - Estimation Error % split by AY</a:t>
            </a:r>
            <a:endParaRPr lang="en-GB" sz="1400">
              <a:effectLst/>
            </a:endParaRPr>
          </a:p>
        </c:rich>
      </c:tx>
      <c:layout>
        <c:manualLayout>
          <c:xMode val="edge"/>
          <c:yMode val="edge"/>
          <c:x val="0.23279943209945728"/>
          <c:y val="2.9398148148148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02486432968121"/>
          <c:y val="0.27892945855994805"/>
          <c:w val="0.67478727080823087"/>
          <c:h val="0.52104716291906805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Mack_Metodo1!$X$1</c:f>
              <c:strCache>
                <c:ptCount val="1"/>
                <c:pt idx="0">
                  <c:v>Process 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Mack_Metodo1!$T$3:$T$14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Mack_Metodo1!$X$3:$X$14</c:f>
              <c:numCache>
                <c:formatCode>_-* #,##0.00\ _€_-;\-* #,##0.00\ _€_-;_-* "-"??\ _€_-;_-@_-</c:formatCode>
                <c:ptCount val="12"/>
                <c:pt idx="0">
                  <c:v>0</c:v>
                </c:pt>
                <c:pt idx="1">
                  <c:v>32.220985344788097</c:v>
                </c:pt>
                <c:pt idx="2">
                  <c:v>106.14053288039322</c:v>
                </c:pt>
                <c:pt idx="3">
                  <c:v>328.80966062344646</c:v>
                </c:pt>
                <c:pt idx="4">
                  <c:v>381.55064250659308</c:v>
                </c:pt>
                <c:pt idx="5">
                  <c:v>472.06329566207683</c:v>
                </c:pt>
                <c:pt idx="6">
                  <c:v>689.19770710613034</c:v>
                </c:pt>
                <c:pt idx="7">
                  <c:v>972.90569875580002</c:v>
                </c:pt>
                <c:pt idx="8">
                  <c:v>1333.0766030912625</c:v>
                </c:pt>
                <c:pt idx="9">
                  <c:v>1902.1443645298461</c:v>
                </c:pt>
                <c:pt idx="10">
                  <c:v>2811.3667598180295</c:v>
                </c:pt>
                <c:pt idx="11">
                  <c:v>5615.5760032770704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7B-4359-9A89-6163EEAF1D97}"/>
            </c:ext>
          </c:extLst>
        </c:ser>
        <c:ser>
          <c:idx val="1"/>
          <c:order val="1"/>
          <c:tx>
            <c:strRef>
              <c:f>Mack_Metodo1!$Z$1</c:f>
              <c:strCache>
                <c:ptCount val="1"/>
                <c:pt idx="0">
                  <c:v>Estim. Error 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>
                  <a:alpha val="50000"/>
                </a:schemeClr>
              </a:solidFill>
            </a:ln>
            <a:effectLst/>
          </c:spPr>
          <c:invertIfNegative val="0"/>
          <c:val>
            <c:numRef>
              <c:f>Mack_Metodo1!$Z$3:$Z$14</c:f>
              <c:numCache>
                <c:formatCode>_-* #,##0.00\ _€_-;\-* #,##0.00\ _€_-;_-* "-"??\ _€_-;_-@_-</c:formatCode>
                <c:ptCount val="12"/>
                <c:pt idx="0">
                  <c:v>0</c:v>
                </c:pt>
                <c:pt idx="1">
                  <c:v>34.290804375822624</c:v>
                </c:pt>
                <c:pt idx="2">
                  <c:v>85.424405934120003</c:v>
                </c:pt>
                <c:pt idx="3">
                  <c:v>217.95676900896802</c:v>
                </c:pt>
                <c:pt idx="4">
                  <c:v>247.67372774027325</c:v>
                </c:pt>
                <c:pt idx="5">
                  <c:v>305.76422058878222</c:v>
                </c:pt>
                <c:pt idx="6">
                  <c:v>397.11140545529355</c:v>
                </c:pt>
                <c:pt idx="7">
                  <c:v>479.80805922764995</c:v>
                </c:pt>
                <c:pt idx="8">
                  <c:v>590.92446641887477</c:v>
                </c:pt>
                <c:pt idx="9">
                  <c:v>783.7049532644279</c:v>
                </c:pt>
                <c:pt idx="10">
                  <c:v>1115.7485805789477</c:v>
                </c:pt>
                <c:pt idx="11">
                  <c:v>2073.7047648776938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7B-4359-9A89-6163EEAF1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89489696"/>
        <c:axId val="1390028272"/>
      </c:barChart>
      <c:catAx>
        <c:axId val="1389489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Accident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90028272"/>
        <c:crosses val="autoZero"/>
        <c:auto val="1"/>
        <c:lblAlgn val="ctr"/>
        <c:lblOffset val="100"/>
        <c:noMultiLvlLbl val="0"/>
      </c:catAx>
      <c:valAx>
        <c:axId val="139002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8948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8.677537182852145E-2"/>
          <c:y val="0.16708333333333336"/>
          <c:w val="0.84281802274715656"/>
          <c:h val="0.6462164625255176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Mack_Metodo1!$D$103</c:f>
              <c:strCache>
                <c:ptCount val="1"/>
                <c:pt idx="0">
                  <c:v>CDF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Mack_Metodo1!$C$104:$C$306</c:f>
              <c:numCache>
                <c:formatCode>_-* #,##0\ _€_-;\-* #,##0\ _€_-;_-* "-"??\ _€_-;_-@_-</c:formatCode>
                <c:ptCount val="203"/>
                <c:pt idx="0">
                  <c:v>220978.0556846711</c:v>
                </c:pt>
                <c:pt idx="1">
                  <c:v>223551.40538356002</c:v>
                </c:pt>
                <c:pt idx="2">
                  <c:v>224275.97398324052</c:v>
                </c:pt>
                <c:pt idx="3">
                  <c:v>224854.82010095764</c:v>
                </c:pt>
                <c:pt idx="4">
                  <c:v>226759.43889915929</c:v>
                </c:pt>
                <c:pt idx="5">
                  <c:v>227960.56521913916</c:v>
                </c:pt>
                <c:pt idx="6">
                  <c:v>228858.99354773539</c:v>
                </c:pt>
                <c:pt idx="7">
                  <c:v>229585.80958648844</c:v>
                </c:pt>
                <c:pt idx="8">
                  <c:v>230201.16196430335</c:v>
                </c:pt>
                <c:pt idx="9">
                  <c:v>230737.89673522086</c:v>
                </c:pt>
                <c:pt idx="10">
                  <c:v>231216.00827698375</c:v>
                </c:pt>
                <c:pt idx="11">
                  <c:v>231648.61408803912</c:v>
                </c:pt>
                <c:pt idx="12">
                  <c:v>232044.80629066608</c:v>
                </c:pt>
                <c:pt idx="13">
                  <c:v>232411.15822895899</c:v>
                </c:pt>
                <c:pt idx="14">
                  <c:v>232752.58362395971</c:v>
                </c:pt>
                <c:pt idx="15">
                  <c:v>233072.85660812256</c:v>
                </c:pt>
                <c:pt idx="16">
                  <c:v>233374.94195073878</c:v>
                </c:pt>
                <c:pt idx="17">
                  <c:v>233661.21318890608</c:v>
                </c:pt>
                <c:pt idx="18">
                  <c:v>233933.60155584029</c:v>
                </c:pt>
                <c:pt idx="19">
                  <c:v>234193.70056043004</c:v>
                </c:pt>
                <c:pt idx="20">
                  <c:v>234442.84122468589</c:v>
                </c:pt>
                <c:pt idx="21">
                  <c:v>234682.14736516378</c:v>
                </c:pt>
                <c:pt idx="22">
                  <c:v>234912.57697122506</c:v>
                </c:pt>
                <c:pt idx="23">
                  <c:v>235134.95368939012</c:v>
                </c:pt>
                <c:pt idx="24">
                  <c:v>235349.99113296389</c:v>
                </c:pt>
                <c:pt idx="25">
                  <c:v>235558.31190037928</c:v>
                </c:pt>
                <c:pt idx="26">
                  <c:v>235760.46263168089</c:v>
                </c:pt>
                <c:pt idx="27">
                  <c:v>235956.92605760045</c:v>
                </c:pt>
                <c:pt idx="28">
                  <c:v>236148.13073709773</c:v>
                </c:pt>
                <c:pt idx="29">
                  <c:v>236334.45899790598</c:v>
                </c:pt>
                <c:pt idx="30">
                  <c:v>236516.25346542354</c:v>
                </c:pt>
                <c:pt idx="31">
                  <c:v>236693.82247196778</c:v>
                </c:pt>
                <c:pt idx="32">
                  <c:v>236867.44457010733</c:v>
                </c:pt>
                <c:pt idx="33">
                  <c:v>237037.37232316437</c:v>
                </c:pt>
                <c:pt idx="34">
                  <c:v>237203.83550808523</c:v>
                </c:pt>
                <c:pt idx="35">
                  <c:v>237367.04383718965</c:v>
                </c:pt>
                <c:pt idx="36">
                  <c:v>237527.18928337569</c:v>
                </c:pt>
                <c:pt idx="37">
                  <c:v>237684.44807646607</c:v>
                </c:pt>
                <c:pt idx="38">
                  <c:v>237838.98242523358</c:v>
                </c:pt>
                <c:pt idx="39">
                  <c:v>237990.94200934854</c:v>
                </c:pt>
                <c:pt idx="40">
                  <c:v>238140.46527735909</c:v>
                </c:pt>
                <c:pt idx="41">
                  <c:v>238287.68058035601</c:v>
                </c:pt>
                <c:pt idx="42">
                  <c:v>238432.70716579791</c:v>
                </c:pt>
                <c:pt idx="43">
                  <c:v>238575.65605181325</c:v>
                </c:pt>
                <c:pt idx="44">
                  <c:v>238716.63079892853</c:v>
                </c:pt>
                <c:pt idx="45">
                  <c:v>238855.72819341204</c:v>
                </c:pt>
                <c:pt idx="46">
                  <c:v>238993.03885419498</c:v>
                </c:pt>
                <c:pt idx="47">
                  <c:v>239128.64777346421</c:v>
                </c:pt>
                <c:pt idx="48">
                  <c:v>239262.63479951085</c:v>
                </c:pt>
                <c:pt idx="49">
                  <c:v>239395.07506912854</c:v>
                </c:pt>
                <c:pt idx="50">
                  <c:v>239526.03939581837</c:v>
                </c:pt>
                <c:pt idx="51">
                  <c:v>239655.59461915592</c:v>
                </c:pt>
                <c:pt idx="52">
                  <c:v>239783.80391994122</c:v>
                </c:pt>
                <c:pt idx="53">
                  <c:v>239910.72710511251</c:v>
                </c:pt>
                <c:pt idx="54">
                  <c:v>240036.42086588335</c:v>
                </c:pt>
                <c:pt idx="55">
                  <c:v>240160.93901210735</c:v>
                </c:pt>
                <c:pt idx="56">
                  <c:v>240284.33268547957</c:v>
                </c:pt>
                <c:pt idx="57">
                  <c:v>240406.65055386978</c:v>
                </c:pt>
                <c:pt idx="58">
                  <c:v>240527.93898878782</c:v>
                </c:pt>
                <c:pt idx="59">
                  <c:v>240648.24222773823</c:v>
                </c:pt>
                <c:pt idx="60">
                  <c:v>240767.60252302064</c:v>
                </c:pt>
                <c:pt idx="61">
                  <c:v>240886.06027833905</c:v>
                </c:pt>
                <c:pt idx="62">
                  <c:v>241003.6541744296</c:v>
                </c:pt>
                <c:pt idx="63">
                  <c:v>241120.42128478739</c:v>
                </c:pt>
                <c:pt idx="64">
                  <c:v>241236.39718243742</c:v>
                </c:pt>
                <c:pt idx="65">
                  <c:v>241351.61603860054</c:v>
                </c:pt>
                <c:pt idx="66">
                  <c:v>241466.11071402088</c:v>
                </c:pt>
                <c:pt idx="67">
                  <c:v>241579.91284361668</c:v>
                </c:pt>
                <c:pt idx="68">
                  <c:v>241693.05291507731</c:v>
                </c:pt>
                <c:pt idx="69">
                  <c:v>241805.56034193683</c:v>
                </c:pt>
                <c:pt idx="70">
                  <c:v>241917.46353162633</c:v>
                </c:pt>
                <c:pt idx="71">
                  <c:v>242028.78994893498</c:v>
                </c:pt>
                <c:pt idx="72">
                  <c:v>242139.56617528698</c:v>
                </c:pt>
                <c:pt idx="73">
                  <c:v>242249.81796418491</c:v>
                </c:pt>
                <c:pt idx="74">
                  <c:v>242359.57029315672</c:v>
                </c:pt>
                <c:pt idx="75">
                  <c:v>242468.84741248985</c:v>
                </c:pt>
                <c:pt idx="76">
                  <c:v>242577.67289102683</c:v>
                </c:pt>
                <c:pt idx="77">
                  <c:v>242686.06965927168</c:v>
                </c:pt>
                <c:pt idx="78">
                  <c:v>242794.06005001857</c:v>
                </c:pt>
                <c:pt idx="79">
                  <c:v>242901.66583671549</c:v>
                </c:pt>
                <c:pt idx="80">
                  <c:v>243008.90826974635</c:v>
                </c:pt>
                <c:pt idx="81">
                  <c:v>243115.80811080424</c:v>
                </c:pt>
                <c:pt idx="82">
                  <c:v>243222.38566550589</c:v>
                </c:pt>
                <c:pt idx="83">
                  <c:v>243328.66081440361</c:v>
                </c:pt>
                <c:pt idx="84">
                  <c:v>243434.65304251754</c:v>
                </c:pt>
                <c:pt idx="85">
                  <c:v>243540.38146751645</c:v>
                </c:pt>
                <c:pt idx="86">
                  <c:v>243645.86486665998</c:v>
                </c:pt>
                <c:pt idx="87">
                  <c:v>243751.12170261054</c:v>
                </c:pt>
                <c:pt idx="88">
                  <c:v>243856.17014820935</c:v>
                </c:pt>
                <c:pt idx="89">
                  <c:v>243961.02811031224</c:v>
                </c:pt>
                <c:pt idx="90">
                  <c:v>244065.71325277022</c:v>
                </c:pt>
                <c:pt idx="91">
                  <c:v>244170.24301863727</c:v>
                </c:pt>
                <c:pt idx="92">
                  <c:v>244274.6346516776</c:v>
                </c:pt>
                <c:pt idx="93">
                  <c:v>244378.90521725017</c:v>
                </c:pt>
                <c:pt idx="94">
                  <c:v>244483.07162263294</c:v>
                </c:pt>
                <c:pt idx="95">
                  <c:v>244587.15063685708</c:v>
                </c:pt>
                <c:pt idx="96">
                  <c:v>244691.15891011007</c:v>
                </c:pt>
                <c:pt idx="97">
                  <c:v>244795.11299276908</c:v>
                </c:pt>
                <c:pt idx="98">
                  <c:v>244899.02935411924</c:v>
                </c:pt>
                <c:pt idx="99">
                  <c:v>245002.92440081743</c:v>
                </c:pt>
                <c:pt idx="100">
                  <c:v>245106.81449515314</c:v>
                </c:pt>
                <c:pt idx="101">
                  <c:v>245210.71597315624</c:v>
                </c:pt>
                <c:pt idx="102">
                  <c:v>245314.64516261133</c:v>
                </c:pt>
                <c:pt idx="103">
                  <c:v>245418.61840102397</c:v>
                </c:pt>
                <c:pt idx="104">
                  <c:v>245522.65205359244</c:v>
                </c:pt>
                <c:pt idx="105">
                  <c:v>245626.76253123581</c:v>
                </c:pt>
                <c:pt idx="106">
                  <c:v>245730.96630873063</c:v>
                </c:pt>
                <c:pt idx="107">
                  <c:v>245835.27994300899</c:v>
                </c:pt>
                <c:pt idx="108">
                  <c:v>245939.7200916663</c:v>
                </c:pt>
                <c:pt idx="109">
                  <c:v>246044.30353173849</c:v>
                </c:pt>
                <c:pt idx="110">
                  <c:v>246149.04717880202</c:v>
                </c:pt>
                <c:pt idx="111">
                  <c:v>246253.96810645008</c:v>
                </c:pt>
                <c:pt idx="112">
                  <c:v>246359.08356620939</c:v>
                </c:pt>
                <c:pt idx="113">
                  <c:v>246464.41100795596</c:v>
                </c:pt>
                <c:pt idx="114">
                  <c:v>246569.9681008957</c:v>
                </c:pt>
                <c:pt idx="115">
                  <c:v>246675.77275517365</c:v>
                </c:pt>
                <c:pt idx="116">
                  <c:v>246781.84314418837</c:v>
                </c:pt>
                <c:pt idx="117">
                  <c:v>246888.19772768</c:v>
                </c:pt>
                <c:pt idx="118">
                  <c:v>246994.85527567728</c:v>
                </c:pt>
                <c:pt idx="119">
                  <c:v>247101.83489338361</c:v>
                </c:pt>
                <c:pt idx="120">
                  <c:v>247209.156047094</c:v>
                </c:pt>
                <c:pt idx="121">
                  <c:v>247316.83859123781</c:v>
                </c:pt>
                <c:pt idx="122">
                  <c:v>247424.90279665327</c:v>
                </c:pt>
                <c:pt idx="123">
                  <c:v>247533.36938020156</c:v>
                </c:pt>
                <c:pt idx="124">
                  <c:v>247642.259535841</c:v>
                </c:pt>
                <c:pt idx="125">
                  <c:v>247751.5949672898</c:v>
                </c:pt>
                <c:pt idx="126">
                  <c:v>247861.39792242131</c:v>
                </c:pt>
                <c:pt idx="127">
                  <c:v>247971.6912295332</c:v>
                </c:pt>
                <c:pt idx="128">
                  <c:v>248082.49833566605</c:v>
                </c:pt>
                <c:pt idx="129">
                  <c:v>248193.84334714332</c:v>
                </c:pt>
                <c:pt idx="130">
                  <c:v>248305.75107252999</c:v>
                </c:pt>
                <c:pt idx="131">
                  <c:v>248418.24706821877</c:v>
                </c:pt>
                <c:pt idx="132">
                  <c:v>248531.35768688752</c:v>
                </c:pt>
                <c:pt idx="133">
                  <c:v>248645.11012906759</c:v>
                </c:pt>
                <c:pt idx="134">
                  <c:v>248759.53249811815</c:v>
                </c:pt>
                <c:pt idx="135">
                  <c:v>248874.65385890423</c:v>
                </c:pt>
                <c:pt idx="136">
                  <c:v>248990.50430052227</c:v>
                </c:pt>
                <c:pt idx="137">
                  <c:v>249107.11500344859</c:v>
                </c:pt>
                <c:pt idx="138">
                  <c:v>249224.51831151955</c:v>
                </c:pt>
                <c:pt idx="139">
                  <c:v>249342.74780920937</c:v>
                </c:pt>
                <c:pt idx="140">
                  <c:v>249461.83840470281</c:v>
                </c:pt>
                <c:pt idx="141">
                  <c:v>249581.82641933986</c:v>
                </c:pt>
                <c:pt idx="142">
                  <c:v>249702.7496840457</c:v>
                </c:pt>
                <c:pt idx="143">
                  <c:v>249824.64764346243</c:v>
                </c:pt>
                <c:pt idx="144">
                  <c:v>249947.56146854913</c:v>
                </c:pt>
                <c:pt idx="145">
                  <c:v>250071.53417853374</c:v>
                </c:pt>
                <c:pt idx="146">
                  <c:v>250196.61077320069</c:v>
                </c:pt>
                <c:pt idx="147">
                  <c:v>250322.83837660751</c:v>
                </c:pt>
                <c:pt idx="148">
                  <c:v>250450.26639347989</c:v>
                </c:pt>
                <c:pt idx="149">
                  <c:v>250578.94667968492</c:v>
                </c:pt>
                <c:pt idx="150">
                  <c:v>250708.93372836179</c:v>
                </c:pt>
                <c:pt idx="151">
                  <c:v>250840.28487351237</c:v>
                </c:pt>
                <c:pt idx="152">
                  <c:v>250973.06051308831</c:v>
                </c:pt>
                <c:pt idx="153">
                  <c:v>251107.3243538948</c:v>
                </c:pt>
                <c:pt idx="154">
                  <c:v>251243.14368097309</c:v>
                </c:pt>
                <c:pt idx="155">
                  <c:v>251380.58965448782</c:v>
                </c:pt>
                <c:pt idx="156">
                  <c:v>251519.73763761687</c:v>
                </c:pt>
                <c:pt idx="157">
                  <c:v>251660.66755944715</c:v>
                </c:pt>
                <c:pt idx="158">
                  <c:v>251803.4643175198</c:v>
                </c:pt>
                <c:pt idx="159">
                  <c:v>251948.2182253887</c:v>
                </c:pt>
                <c:pt idx="160">
                  <c:v>252095.02551142752</c:v>
                </c:pt>
                <c:pt idx="161">
                  <c:v>252243.98887616734</c:v>
                </c:pt>
                <c:pt idx="162">
                  <c:v>252395.21811666261</c:v>
                </c:pt>
                <c:pt idx="163">
                  <c:v>252548.83082788702</c:v>
                </c:pt>
                <c:pt idx="164">
                  <c:v>252704.95319293128</c:v>
                </c:pt>
                <c:pt idx="165">
                  <c:v>252863.72087595673</c:v>
                </c:pt>
                <c:pt idx="166">
                  <c:v>253025.28003446912</c:v>
                </c:pt>
                <c:pt idx="167">
                  <c:v>253189.78847071005</c:v>
                </c:pt>
                <c:pt idx="168">
                  <c:v>253357.41694590834</c:v>
                </c:pt>
                <c:pt idx="169">
                  <c:v>253528.35068601582</c:v>
                </c:pt>
                <c:pt idx="170">
                  <c:v>253702.79111362286</c:v>
                </c:pt>
                <c:pt idx="171">
                  <c:v>253880.95784833722</c:v>
                </c:pt>
                <c:pt idx="172">
                  <c:v>254063.09102746379</c:v>
                </c:pt>
                <c:pt idx="173">
                  <c:v>254249.45401093044</c:v>
                </c:pt>
                <c:pt idx="174">
                  <c:v>254440.33654987504</c:v>
                </c:pt>
                <c:pt idx="175">
                  <c:v>254636.05851819992</c:v>
                </c:pt>
                <c:pt idx="176">
                  <c:v>254836.9743322471</c:v>
                </c:pt>
                <c:pt idx="177">
                  <c:v>255043.47821757643</c:v>
                </c:pt>
                <c:pt idx="178">
                  <c:v>255256.01052655542</c:v>
                </c:pt>
                <c:pt idx="179">
                  <c:v>255475.06537026176</c:v>
                </c:pt>
                <c:pt idx="180">
                  <c:v>255701.19990894277</c:v>
                </c:pt>
                <c:pt idx="181">
                  <c:v>255935.04575569765</c:v>
                </c:pt>
                <c:pt idx="182">
                  <c:v>256177.32310105045</c:v>
                </c:pt>
                <c:pt idx="183">
                  <c:v>256428.85838103134</c:v>
                </c:pt>
                <c:pt idx="184">
                  <c:v>256690.60661819548</c:v>
                </c:pt>
                <c:pt idx="185">
                  <c:v>256963.68001038348</c:v>
                </c:pt>
                <c:pt idx="186">
                  <c:v>257249.38500078206</c:v>
                </c:pt>
                <c:pt idx="187">
                  <c:v>257549.27105768849</c:v>
                </c:pt>
                <c:pt idx="188">
                  <c:v>257865.19592990691</c:v>
                </c:pt>
                <c:pt idx="189">
                  <c:v>258199.41458236999</c:v>
                </c:pt>
                <c:pt idx="190">
                  <c:v>258554.7029994945</c:v>
                </c:pt>
                <c:pt idx="191">
                  <c:v>258934.53476950759</c:v>
                </c:pt>
                <c:pt idx="192">
                  <c:v>259343.340164553</c:v>
                </c:pt>
                <c:pt idx="193">
                  <c:v>259786.89908494984</c:v>
                </c:pt>
                <c:pt idx="194">
                  <c:v>260272.96111420853</c:v>
                </c:pt>
                <c:pt idx="195">
                  <c:v>260812.27220474996</c:v>
                </c:pt>
                <c:pt idx="196">
                  <c:v>261420.37954000357</c:v>
                </c:pt>
                <c:pt idx="197">
                  <c:v>262121.05721885859</c:v>
                </c:pt>
                <c:pt idx="198">
                  <c:v>262953.50774015236</c:v>
                </c:pt>
                <c:pt idx="199">
                  <c:v>263989.84874163434</c:v>
                </c:pt>
                <c:pt idx="200">
                  <c:v>265388.18151697685</c:v>
                </c:pt>
                <c:pt idx="201">
                  <c:v>267636.13563737751</c:v>
                </c:pt>
                <c:pt idx="202">
                  <c:v>272331.45365860168</c:v>
                </c:pt>
              </c:numCache>
            </c:numRef>
          </c:xVal>
          <c:yVal>
            <c:numRef>
              <c:f>Mack_Metodo1!$D$104:$D$306</c:f>
              <c:numCache>
                <c:formatCode>General</c:formatCode>
                <c:ptCount val="203"/>
                <c:pt idx="0">
                  <c:v>1E-3</c:v>
                </c:pt>
                <c:pt idx="1">
                  <c:v>3.0000000000000001E-3</c:v>
                </c:pt>
                <c:pt idx="2">
                  <c:v>4.0000000000000001E-3</c:v>
                </c:pt>
                <c:pt idx="3" formatCode="0.0000">
                  <c:v>5.0000000000000001E-3</c:v>
                </c:pt>
                <c:pt idx="4" formatCode="0.0000">
                  <c:v>0.01</c:v>
                </c:pt>
                <c:pt idx="5" formatCode="0.0000">
                  <c:v>1.4999999999999999E-2</c:v>
                </c:pt>
                <c:pt idx="6" formatCode="0.0000">
                  <c:v>0.02</c:v>
                </c:pt>
                <c:pt idx="7" formatCode="0.0000">
                  <c:v>2.5000000000000001E-2</c:v>
                </c:pt>
                <c:pt idx="8" formatCode="0.0000">
                  <c:v>3.0000000000000002E-2</c:v>
                </c:pt>
                <c:pt idx="9" formatCode="0.0000">
                  <c:v>3.5000000000000003E-2</c:v>
                </c:pt>
                <c:pt idx="10" formatCode="0.0000">
                  <c:v>0.04</c:v>
                </c:pt>
                <c:pt idx="11" formatCode="0.0000">
                  <c:v>4.4999999999999998E-2</c:v>
                </c:pt>
                <c:pt idx="12" formatCode="0.0000">
                  <c:v>4.9999999999999996E-2</c:v>
                </c:pt>
                <c:pt idx="13" formatCode="0.0000">
                  <c:v>5.4999999999999993E-2</c:v>
                </c:pt>
                <c:pt idx="14" formatCode="0.0000">
                  <c:v>5.9999999999999991E-2</c:v>
                </c:pt>
                <c:pt idx="15" formatCode="0.0000">
                  <c:v>6.4999999999999988E-2</c:v>
                </c:pt>
                <c:pt idx="16" formatCode="0.0000">
                  <c:v>6.9999999999999993E-2</c:v>
                </c:pt>
                <c:pt idx="17" formatCode="0.0000">
                  <c:v>7.4999999999999997E-2</c:v>
                </c:pt>
                <c:pt idx="18" formatCode="0.0000">
                  <c:v>0.08</c:v>
                </c:pt>
                <c:pt idx="19" formatCode="0.0000">
                  <c:v>8.5000000000000006E-2</c:v>
                </c:pt>
                <c:pt idx="20" formatCode="0.0000">
                  <c:v>9.0000000000000011E-2</c:v>
                </c:pt>
                <c:pt idx="21" formatCode="0.0000">
                  <c:v>9.5000000000000015E-2</c:v>
                </c:pt>
                <c:pt idx="22" formatCode="0.0000">
                  <c:v>0.10000000000000002</c:v>
                </c:pt>
                <c:pt idx="23" formatCode="0.0000">
                  <c:v>0.10500000000000002</c:v>
                </c:pt>
                <c:pt idx="24" formatCode="0.0000">
                  <c:v>0.11000000000000003</c:v>
                </c:pt>
                <c:pt idx="25" formatCode="0.0000">
                  <c:v>0.11500000000000003</c:v>
                </c:pt>
                <c:pt idx="26" formatCode="0.0000">
                  <c:v>0.12000000000000004</c:v>
                </c:pt>
                <c:pt idx="27" formatCode="0.0000">
                  <c:v>0.12500000000000003</c:v>
                </c:pt>
                <c:pt idx="28" formatCode="0.0000">
                  <c:v>0.13000000000000003</c:v>
                </c:pt>
                <c:pt idx="29" formatCode="0.0000">
                  <c:v>0.13500000000000004</c:v>
                </c:pt>
                <c:pt idx="30" formatCode="0.0000">
                  <c:v>0.14000000000000004</c:v>
                </c:pt>
                <c:pt idx="31" formatCode="0.0000">
                  <c:v>0.14500000000000005</c:v>
                </c:pt>
                <c:pt idx="32" formatCode="0.0000">
                  <c:v>0.15000000000000005</c:v>
                </c:pt>
                <c:pt idx="33" formatCode="0.0000">
                  <c:v>0.15500000000000005</c:v>
                </c:pt>
                <c:pt idx="34" formatCode="0.0000">
                  <c:v>0.16000000000000006</c:v>
                </c:pt>
                <c:pt idx="35" formatCode="0.0000">
                  <c:v>0.16500000000000006</c:v>
                </c:pt>
                <c:pt idx="36" formatCode="0.0000">
                  <c:v>0.17000000000000007</c:v>
                </c:pt>
                <c:pt idx="37" formatCode="0.0000">
                  <c:v>0.17500000000000007</c:v>
                </c:pt>
                <c:pt idx="38" formatCode="0.0000">
                  <c:v>0.18000000000000008</c:v>
                </c:pt>
                <c:pt idx="39" formatCode="0.0000">
                  <c:v>0.18500000000000008</c:v>
                </c:pt>
                <c:pt idx="40" formatCode="0.0000">
                  <c:v>0.19000000000000009</c:v>
                </c:pt>
                <c:pt idx="41" formatCode="0.0000">
                  <c:v>0.19500000000000009</c:v>
                </c:pt>
                <c:pt idx="42" formatCode="0.0000">
                  <c:v>0.20000000000000009</c:v>
                </c:pt>
                <c:pt idx="43" formatCode="0.0000">
                  <c:v>0.2050000000000001</c:v>
                </c:pt>
                <c:pt idx="44" formatCode="0.0000">
                  <c:v>0.2100000000000001</c:v>
                </c:pt>
                <c:pt idx="45" formatCode="0.0000">
                  <c:v>0.21500000000000011</c:v>
                </c:pt>
                <c:pt idx="46" formatCode="0.0000">
                  <c:v>0.22000000000000011</c:v>
                </c:pt>
                <c:pt idx="47" formatCode="0.0000">
                  <c:v>0.22500000000000012</c:v>
                </c:pt>
                <c:pt idx="48" formatCode="0.0000">
                  <c:v>0.23000000000000012</c:v>
                </c:pt>
                <c:pt idx="49" formatCode="0.0000">
                  <c:v>0.23500000000000013</c:v>
                </c:pt>
                <c:pt idx="50" formatCode="0.0000">
                  <c:v>0.24000000000000013</c:v>
                </c:pt>
                <c:pt idx="51" formatCode="0.0000">
                  <c:v>0.24500000000000013</c:v>
                </c:pt>
                <c:pt idx="52" formatCode="0.0000">
                  <c:v>0.25000000000000011</c:v>
                </c:pt>
                <c:pt idx="53" formatCode="0.0000">
                  <c:v>0.25500000000000012</c:v>
                </c:pt>
                <c:pt idx="54" formatCode="0.0000">
                  <c:v>0.26000000000000012</c:v>
                </c:pt>
                <c:pt idx="55" formatCode="0.0000">
                  <c:v>0.26500000000000012</c:v>
                </c:pt>
                <c:pt idx="56" formatCode="0.0000">
                  <c:v>0.27000000000000013</c:v>
                </c:pt>
                <c:pt idx="57" formatCode="0.0000">
                  <c:v>0.27500000000000013</c:v>
                </c:pt>
                <c:pt idx="58" formatCode="0.0000">
                  <c:v>0.28000000000000014</c:v>
                </c:pt>
                <c:pt idx="59" formatCode="0.0000">
                  <c:v>0.28500000000000014</c:v>
                </c:pt>
                <c:pt idx="60" formatCode="0.0000">
                  <c:v>0.29000000000000015</c:v>
                </c:pt>
                <c:pt idx="61" formatCode="0.0000">
                  <c:v>0.29500000000000015</c:v>
                </c:pt>
                <c:pt idx="62" formatCode="0.0000">
                  <c:v>0.30000000000000016</c:v>
                </c:pt>
                <c:pt idx="63" formatCode="0.0000">
                  <c:v>0.30500000000000016</c:v>
                </c:pt>
                <c:pt idx="64" formatCode="0.0000">
                  <c:v>0.31000000000000016</c:v>
                </c:pt>
                <c:pt idx="65" formatCode="0.0000">
                  <c:v>0.31500000000000017</c:v>
                </c:pt>
                <c:pt idx="66" formatCode="0.0000">
                  <c:v>0.32000000000000017</c:v>
                </c:pt>
                <c:pt idx="67" formatCode="0.0000">
                  <c:v>0.32500000000000018</c:v>
                </c:pt>
                <c:pt idx="68" formatCode="0.0000">
                  <c:v>0.33000000000000018</c:v>
                </c:pt>
                <c:pt idx="69" formatCode="0.0000">
                  <c:v>0.33500000000000019</c:v>
                </c:pt>
                <c:pt idx="70" formatCode="0.0000">
                  <c:v>0.34000000000000019</c:v>
                </c:pt>
                <c:pt idx="71" formatCode="0.0000">
                  <c:v>0.3450000000000002</c:v>
                </c:pt>
                <c:pt idx="72" formatCode="0.0000">
                  <c:v>0.3500000000000002</c:v>
                </c:pt>
                <c:pt idx="73" formatCode="0.0000">
                  <c:v>0.3550000000000002</c:v>
                </c:pt>
                <c:pt idx="74" formatCode="0.0000">
                  <c:v>0.36000000000000021</c:v>
                </c:pt>
                <c:pt idx="75" formatCode="0.0000">
                  <c:v>0.36500000000000021</c:v>
                </c:pt>
                <c:pt idx="76" formatCode="0.0000">
                  <c:v>0.37000000000000022</c:v>
                </c:pt>
                <c:pt idx="77" formatCode="0.0000">
                  <c:v>0.37500000000000022</c:v>
                </c:pt>
                <c:pt idx="78" formatCode="0.0000">
                  <c:v>0.38000000000000023</c:v>
                </c:pt>
                <c:pt idx="79" formatCode="0.0000">
                  <c:v>0.38500000000000023</c:v>
                </c:pt>
                <c:pt idx="80" formatCode="0.0000">
                  <c:v>0.39000000000000024</c:v>
                </c:pt>
                <c:pt idx="81" formatCode="0.0000">
                  <c:v>0.39500000000000024</c:v>
                </c:pt>
                <c:pt idx="82" formatCode="0.0000">
                  <c:v>0.40000000000000024</c:v>
                </c:pt>
                <c:pt idx="83" formatCode="0.0000">
                  <c:v>0.40500000000000025</c:v>
                </c:pt>
                <c:pt idx="84" formatCode="0.0000">
                  <c:v>0.41000000000000025</c:v>
                </c:pt>
                <c:pt idx="85" formatCode="0.0000">
                  <c:v>0.41500000000000026</c:v>
                </c:pt>
                <c:pt idx="86" formatCode="0.0000">
                  <c:v>0.42000000000000026</c:v>
                </c:pt>
                <c:pt idx="87" formatCode="0.0000">
                  <c:v>0.42500000000000027</c:v>
                </c:pt>
                <c:pt idx="88" formatCode="0.0000">
                  <c:v>0.43000000000000027</c:v>
                </c:pt>
                <c:pt idx="89" formatCode="0.0000">
                  <c:v>0.43500000000000028</c:v>
                </c:pt>
                <c:pt idx="90" formatCode="0.0000">
                  <c:v>0.44000000000000028</c:v>
                </c:pt>
                <c:pt idx="91" formatCode="0.0000">
                  <c:v>0.44500000000000028</c:v>
                </c:pt>
                <c:pt idx="92" formatCode="0.0000">
                  <c:v>0.45000000000000029</c:v>
                </c:pt>
                <c:pt idx="93" formatCode="0.0000">
                  <c:v>0.45500000000000029</c:v>
                </c:pt>
                <c:pt idx="94" formatCode="0.0000">
                  <c:v>0.4600000000000003</c:v>
                </c:pt>
                <c:pt idx="95" formatCode="0.0000">
                  <c:v>0.4650000000000003</c:v>
                </c:pt>
                <c:pt idx="96" formatCode="0.0000">
                  <c:v>0.47000000000000031</c:v>
                </c:pt>
                <c:pt idx="97" formatCode="0.0000">
                  <c:v>0.47500000000000031</c:v>
                </c:pt>
                <c:pt idx="98" formatCode="0.0000">
                  <c:v>0.48000000000000032</c:v>
                </c:pt>
                <c:pt idx="99" formatCode="0.0000">
                  <c:v>0.48500000000000032</c:v>
                </c:pt>
                <c:pt idx="100" formatCode="0.0000">
                  <c:v>0.49000000000000032</c:v>
                </c:pt>
                <c:pt idx="101" formatCode="0.0000">
                  <c:v>0.49500000000000033</c:v>
                </c:pt>
                <c:pt idx="102" formatCode="0.0000">
                  <c:v>0.50000000000000033</c:v>
                </c:pt>
                <c:pt idx="103" formatCode="0.0000">
                  <c:v>0.50500000000000034</c:v>
                </c:pt>
                <c:pt idx="104" formatCode="0.0000">
                  <c:v>0.51000000000000034</c:v>
                </c:pt>
                <c:pt idx="105" formatCode="0.0000">
                  <c:v>0.51500000000000035</c:v>
                </c:pt>
                <c:pt idx="106" formatCode="0.0000">
                  <c:v>0.52000000000000035</c:v>
                </c:pt>
                <c:pt idx="107" formatCode="0.0000">
                  <c:v>0.52500000000000036</c:v>
                </c:pt>
                <c:pt idx="108" formatCode="0.0000">
                  <c:v>0.53000000000000036</c:v>
                </c:pt>
                <c:pt idx="109" formatCode="0.0000">
                  <c:v>0.53500000000000036</c:v>
                </c:pt>
                <c:pt idx="110" formatCode="0.0000">
                  <c:v>0.54000000000000037</c:v>
                </c:pt>
                <c:pt idx="111" formatCode="0.0000">
                  <c:v>0.54500000000000037</c:v>
                </c:pt>
                <c:pt idx="112" formatCode="0.0000">
                  <c:v>0.55000000000000038</c:v>
                </c:pt>
                <c:pt idx="113" formatCode="0.0000">
                  <c:v>0.55500000000000038</c:v>
                </c:pt>
                <c:pt idx="114" formatCode="0.0000">
                  <c:v>0.56000000000000039</c:v>
                </c:pt>
                <c:pt idx="115" formatCode="0.0000">
                  <c:v>0.56500000000000039</c:v>
                </c:pt>
                <c:pt idx="116" formatCode="0.0000">
                  <c:v>0.5700000000000004</c:v>
                </c:pt>
                <c:pt idx="117" formatCode="0.0000">
                  <c:v>0.5750000000000004</c:v>
                </c:pt>
                <c:pt idx="118" formatCode="0.0000">
                  <c:v>0.5800000000000004</c:v>
                </c:pt>
                <c:pt idx="119" formatCode="0.0000">
                  <c:v>0.58500000000000041</c:v>
                </c:pt>
                <c:pt idx="120" formatCode="0.0000">
                  <c:v>0.59000000000000041</c:v>
                </c:pt>
                <c:pt idx="121" formatCode="0.0000">
                  <c:v>0.59500000000000042</c:v>
                </c:pt>
                <c:pt idx="122" formatCode="0.0000">
                  <c:v>0.60000000000000042</c:v>
                </c:pt>
                <c:pt idx="123" formatCode="0.0000">
                  <c:v>0.60500000000000043</c:v>
                </c:pt>
                <c:pt idx="124" formatCode="0.0000">
                  <c:v>0.61000000000000043</c:v>
                </c:pt>
                <c:pt idx="125" formatCode="0.0000">
                  <c:v>0.61500000000000044</c:v>
                </c:pt>
                <c:pt idx="126" formatCode="0.0000">
                  <c:v>0.62000000000000044</c:v>
                </c:pt>
                <c:pt idx="127" formatCode="0.0000">
                  <c:v>0.62500000000000044</c:v>
                </c:pt>
                <c:pt idx="128" formatCode="0.0000">
                  <c:v>0.63000000000000045</c:v>
                </c:pt>
                <c:pt idx="129" formatCode="0.0000">
                  <c:v>0.63500000000000045</c:v>
                </c:pt>
                <c:pt idx="130" formatCode="0.0000">
                  <c:v>0.64000000000000046</c:v>
                </c:pt>
                <c:pt idx="131" formatCode="0.0000">
                  <c:v>0.64500000000000046</c:v>
                </c:pt>
                <c:pt idx="132" formatCode="0.0000">
                  <c:v>0.65000000000000047</c:v>
                </c:pt>
                <c:pt idx="133" formatCode="0.0000">
                  <c:v>0.65500000000000047</c:v>
                </c:pt>
                <c:pt idx="134" formatCode="0.0000">
                  <c:v>0.66000000000000048</c:v>
                </c:pt>
                <c:pt idx="135" formatCode="0.0000">
                  <c:v>0.66500000000000048</c:v>
                </c:pt>
                <c:pt idx="136" formatCode="0.0000">
                  <c:v>0.67000000000000048</c:v>
                </c:pt>
                <c:pt idx="137" formatCode="0.0000">
                  <c:v>0.67500000000000049</c:v>
                </c:pt>
                <c:pt idx="138" formatCode="0.0000">
                  <c:v>0.68000000000000049</c:v>
                </c:pt>
                <c:pt idx="139" formatCode="0.0000">
                  <c:v>0.6850000000000005</c:v>
                </c:pt>
                <c:pt idx="140" formatCode="0.0000">
                  <c:v>0.6900000000000005</c:v>
                </c:pt>
                <c:pt idx="141" formatCode="0.0000">
                  <c:v>0.69500000000000051</c:v>
                </c:pt>
                <c:pt idx="142" formatCode="0.0000">
                  <c:v>0.70000000000000051</c:v>
                </c:pt>
                <c:pt idx="143" formatCode="0.0000">
                  <c:v>0.70500000000000052</c:v>
                </c:pt>
                <c:pt idx="144" formatCode="0.0000">
                  <c:v>0.71000000000000052</c:v>
                </c:pt>
                <c:pt idx="145" formatCode="0.0000">
                  <c:v>0.71500000000000052</c:v>
                </c:pt>
                <c:pt idx="146" formatCode="0.0000">
                  <c:v>0.72000000000000053</c:v>
                </c:pt>
                <c:pt idx="147" formatCode="0.0000">
                  <c:v>0.72500000000000053</c:v>
                </c:pt>
                <c:pt idx="148" formatCode="0.0000">
                  <c:v>0.73000000000000054</c:v>
                </c:pt>
                <c:pt idx="149" formatCode="0.0000">
                  <c:v>0.73500000000000054</c:v>
                </c:pt>
                <c:pt idx="150" formatCode="0.0000">
                  <c:v>0.74000000000000055</c:v>
                </c:pt>
                <c:pt idx="151" formatCode="0.0000">
                  <c:v>0.74500000000000055</c:v>
                </c:pt>
                <c:pt idx="152" formatCode="0.0000">
                  <c:v>0.75000000000000056</c:v>
                </c:pt>
                <c:pt idx="153" formatCode="0.0000">
                  <c:v>0.75500000000000056</c:v>
                </c:pt>
                <c:pt idx="154" formatCode="0.0000">
                  <c:v>0.76000000000000056</c:v>
                </c:pt>
                <c:pt idx="155" formatCode="0.0000">
                  <c:v>0.76500000000000057</c:v>
                </c:pt>
                <c:pt idx="156" formatCode="0.0000">
                  <c:v>0.77000000000000057</c:v>
                </c:pt>
                <c:pt idx="157" formatCode="0.0000">
                  <c:v>0.77500000000000058</c:v>
                </c:pt>
                <c:pt idx="158" formatCode="0.0000">
                  <c:v>0.78000000000000058</c:v>
                </c:pt>
                <c:pt idx="159" formatCode="0.0000">
                  <c:v>0.78500000000000059</c:v>
                </c:pt>
                <c:pt idx="160" formatCode="0.0000">
                  <c:v>0.79000000000000059</c:v>
                </c:pt>
                <c:pt idx="161" formatCode="0.0000">
                  <c:v>0.7950000000000006</c:v>
                </c:pt>
                <c:pt idx="162" formatCode="0.0000">
                  <c:v>0.8000000000000006</c:v>
                </c:pt>
                <c:pt idx="163" formatCode="0.0000">
                  <c:v>0.8050000000000006</c:v>
                </c:pt>
                <c:pt idx="164" formatCode="0.0000">
                  <c:v>0.81000000000000061</c:v>
                </c:pt>
                <c:pt idx="165" formatCode="0.0000">
                  <c:v>0.81500000000000061</c:v>
                </c:pt>
                <c:pt idx="166" formatCode="0.0000">
                  <c:v>0.82000000000000062</c:v>
                </c:pt>
                <c:pt idx="167" formatCode="0.0000">
                  <c:v>0.82500000000000062</c:v>
                </c:pt>
                <c:pt idx="168" formatCode="0.0000">
                  <c:v>0.83000000000000063</c:v>
                </c:pt>
                <c:pt idx="169" formatCode="0.0000">
                  <c:v>0.83500000000000063</c:v>
                </c:pt>
                <c:pt idx="170" formatCode="0.0000">
                  <c:v>0.84000000000000064</c:v>
                </c:pt>
                <c:pt idx="171" formatCode="0.0000">
                  <c:v>0.84500000000000064</c:v>
                </c:pt>
                <c:pt idx="172" formatCode="0.0000">
                  <c:v>0.85000000000000064</c:v>
                </c:pt>
                <c:pt idx="173" formatCode="0.0000">
                  <c:v>0.85500000000000065</c:v>
                </c:pt>
                <c:pt idx="174" formatCode="0.0000">
                  <c:v>0.86000000000000065</c:v>
                </c:pt>
                <c:pt idx="175" formatCode="0.0000">
                  <c:v>0.86500000000000066</c:v>
                </c:pt>
                <c:pt idx="176" formatCode="0.0000">
                  <c:v>0.87000000000000066</c:v>
                </c:pt>
                <c:pt idx="177" formatCode="0.0000">
                  <c:v>0.87500000000000067</c:v>
                </c:pt>
                <c:pt idx="178" formatCode="0.0000">
                  <c:v>0.88000000000000067</c:v>
                </c:pt>
                <c:pt idx="179" formatCode="0.0000">
                  <c:v>0.88500000000000068</c:v>
                </c:pt>
                <c:pt idx="180" formatCode="0.0000">
                  <c:v>0.89000000000000068</c:v>
                </c:pt>
                <c:pt idx="181" formatCode="0.0000">
                  <c:v>0.89500000000000068</c:v>
                </c:pt>
                <c:pt idx="182" formatCode="0.0000">
                  <c:v>0.90000000000000069</c:v>
                </c:pt>
                <c:pt idx="183" formatCode="0.0000">
                  <c:v>0.90500000000000069</c:v>
                </c:pt>
                <c:pt idx="184" formatCode="0.0000">
                  <c:v>0.9100000000000007</c:v>
                </c:pt>
                <c:pt idx="185" formatCode="0.0000">
                  <c:v>0.9150000000000007</c:v>
                </c:pt>
                <c:pt idx="186" formatCode="0.0000">
                  <c:v>0.92000000000000071</c:v>
                </c:pt>
                <c:pt idx="187" formatCode="0.0000">
                  <c:v>0.92500000000000071</c:v>
                </c:pt>
                <c:pt idx="188" formatCode="0.0000">
                  <c:v>0.93000000000000071</c:v>
                </c:pt>
                <c:pt idx="189" formatCode="0.0000">
                  <c:v>0.93500000000000072</c:v>
                </c:pt>
                <c:pt idx="190" formatCode="0.0000">
                  <c:v>0.94000000000000072</c:v>
                </c:pt>
                <c:pt idx="191" formatCode="0.0000">
                  <c:v>0.94500000000000073</c:v>
                </c:pt>
                <c:pt idx="192" formatCode="0.0000">
                  <c:v>0.95000000000000073</c:v>
                </c:pt>
                <c:pt idx="193" formatCode="0.0000">
                  <c:v>0.95500000000000074</c:v>
                </c:pt>
                <c:pt idx="194" formatCode="0.0000">
                  <c:v>0.96000000000000074</c:v>
                </c:pt>
                <c:pt idx="195" formatCode="0.0000">
                  <c:v>0.96500000000000075</c:v>
                </c:pt>
                <c:pt idx="196" formatCode="0.0000">
                  <c:v>0.97000000000000075</c:v>
                </c:pt>
                <c:pt idx="197" formatCode="0.0000">
                  <c:v>0.97500000000000075</c:v>
                </c:pt>
                <c:pt idx="198" formatCode="0.0000">
                  <c:v>0.98000000000000076</c:v>
                </c:pt>
                <c:pt idx="199" formatCode="0.0000">
                  <c:v>0.98500000000000076</c:v>
                </c:pt>
                <c:pt idx="200" formatCode="0.0000">
                  <c:v>0.99000000000000077</c:v>
                </c:pt>
                <c:pt idx="201" formatCode="0.0000">
                  <c:v>0.99500000000000077</c:v>
                </c:pt>
                <c:pt idx="202" formatCode="0.0000">
                  <c:v>0.999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00-4B25-91B4-A8AFD8143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080672"/>
        <c:axId val="1230526064"/>
      </c:scatterChart>
      <c:valAx>
        <c:axId val="1944080672"/>
        <c:scaling>
          <c:orientation val="minMax"/>
          <c:max val="245000"/>
          <c:min val="2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_€_-;\-* #,##0\ _€_-;_-* &quot;-&quot;??\ _€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30526064"/>
        <c:crosses val="autoZero"/>
        <c:crossBetween val="midCat"/>
      </c:valAx>
      <c:valAx>
        <c:axId val="123052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4080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2409492563429571"/>
          <c:y val="0.17171296296296298"/>
          <c:w val="0.80549846894138233"/>
          <c:h val="0.6462164625255176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Mack_Metodo1!$E$103</c:f>
              <c:strCache>
                <c:ptCount val="1"/>
                <c:pt idx="0">
                  <c:v>PDF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Mack_Metodo1!$C$104:$C$306</c:f>
              <c:numCache>
                <c:formatCode>_-* #,##0\ _€_-;\-* #,##0\ _€_-;_-* "-"??\ _€_-;_-@_-</c:formatCode>
                <c:ptCount val="203"/>
                <c:pt idx="0">
                  <c:v>220978.0556846711</c:v>
                </c:pt>
                <c:pt idx="1">
                  <c:v>223551.40538356002</c:v>
                </c:pt>
                <c:pt idx="2">
                  <c:v>224275.97398324052</c:v>
                </c:pt>
                <c:pt idx="3">
                  <c:v>224854.82010095764</c:v>
                </c:pt>
                <c:pt idx="4">
                  <c:v>226759.43889915929</c:v>
                </c:pt>
                <c:pt idx="5">
                  <c:v>227960.56521913916</c:v>
                </c:pt>
                <c:pt idx="6">
                  <c:v>228858.99354773539</c:v>
                </c:pt>
                <c:pt idx="7">
                  <c:v>229585.80958648844</c:v>
                </c:pt>
                <c:pt idx="8">
                  <c:v>230201.16196430335</c:v>
                </c:pt>
                <c:pt idx="9">
                  <c:v>230737.89673522086</c:v>
                </c:pt>
                <c:pt idx="10">
                  <c:v>231216.00827698375</c:v>
                </c:pt>
                <c:pt idx="11">
                  <c:v>231648.61408803912</c:v>
                </c:pt>
                <c:pt idx="12">
                  <c:v>232044.80629066608</c:v>
                </c:pt>
                <c:pt idx="13">
                  <c:v>232411.15822895899</c:v>
                </c:pt>
                <c:pt idx="14">
                  <c:v>232752.58362395971</c:v>
                </c:pt>
                <c:pt idx="15">
                  <c:v>233072.85660812256</c:v>
                </c:pt>
                <c:pt idx="16">
                  <c:v>233374.94195073878</c:v>
                </c:pt>
                <c:pt idx="17">
                  <c:v>233661.21318890608</c:v>
                </c:pt>
                <c:pt idx="18">
                  <c:v>233933.60155584029</c:v>
                </c:pt>
                <c:pt idx="19">
                  <c:v>234193.70056043004</c:v>
                </c:pt>
                <c:pt idx="20">
                  <c:v>234442.84122468589</c:v>
                </c:pt>
                <c:pt idx="21">
                  <c:v>234682.14736516378</c:v>
                </c:pt>
                <c:pt idx="22">
                  <c:v>234912.57697122506</c:v>
                </c:pt>
                <c:pt idx="23">
                  <c:v>235134.95368939012</c:v>
                </c:pt>
                <c:pt idx="24">
                  <c:v>235349.99113296389</c:v>
                </c:pt>
                <c:pt idx="25">
                  <c:v>235558.31190037928</c:v>
                </c:pt>
                <c:pt idx="26">
                  <c:v>235760.46263168089</c:v>
                </c:pt>
                <c:pt idx="27">
                  <c:v>235956.92605760045</c:v>
                </c:pt>
                <c:pt idx="28">
                  <c:v>236148.13073709773</c:v>
                </c:pt>
                <c:pt idx="29">
                  <c:v>236334.45899790598</c:v>
                </c:pt>
                <c:pt idx="30">
                  <c:v>236516.25346542354</c:v>
                </c:pt>
                <c:pt idx="31">
                  <c:v>236693.82247196778</c:v>
                </c:pt>
                <c:pt idx="32">
                  <c:v>236867.44457010733</c:v>
                </c:pt>
                <c:pt idx="33">
                  <c:v>237037.37232316437</c:v>
                </c:pt>
                <c:pt idx="34">
                  <c:v>237203.83550808523</c:v>
                </c:pt>
                <c:pt idx="35">
                  <c:v>237367.04383718965</c:v>
                </c:pt>
                <c:pt idx="36">
                  <c:v>237527.18928337569</c:v>
                </c:pt>
                <c:pt idx="37">
                  <c:v>237684.44807646607</c:v>
                </c:pt>
                <c:pt idx="38">
                  <c:v>237838.98242523358</c:v>
                </c:pt>
                <c:pt idx="39">
                  <c:v>237990.94200934854</c:v>
                </c:pt>
                <c:pt idx="40">
                  <c:v>238140.46527735909</c:v>
                </c:pt>
                <c:pt idx="41">
                  <c:v>238287.68058035601</c:v>
                </c:pt>
                <c:pt idx="42">
                  <c:v>238432.70716579791</c:v>
                </c:pt>
                <c:pt idx="43">
                  <c:v>238575.65605181325</c:v>
                </c:pt>
                <c:pt idx="44">
                  <c:v>238716.63079892853</c:v>
                </c:pt>
                <c:pt idx="45">
                  <c:v>238855.72819341204</c:v>
                </c:pt>
                <c:pt idx="46">
                  <c:v>238993.03885419498</c:v>
                </c:pt>
                <c:pt idx="47">
                  <c:v>239128.64777346421</c:v>
                </c:pt>
                <c:pt idx="48">
                  <c:v>239262.63479951085</c:v>
                </c:pt>
                <c:pt idx="49">
                  <c:v>239395.07506912854</c:v>
                </c:pt>
                <c:pt idx="50">
                  <c:v>239526.03939581837</c:v>
                </c:pt>
                <c:pt idx="51">
                  <c:v>239655.59461915592</c:v>
                </c:pt>
                <c:pt idx="52">
                  <c:v>239783.80391994122</c:v>
                </c:pt>
                <c:pt idx="53">
                  <c:v>239910.72710511251</c:v>
                </c:pt>
                <c:pt idx="54">
                  <c:v>240036.42086588335</c:v>
                </c:pt>
                <c:pt idx="55">
                  <c:v>240160.93901210735</c:v>
                </c:pt>
                <c:pt idx="56">
                  <c:v>240284.33268547957</c:v>
                </c:pt>
                <c:pt idx="57">
                  <c:v>240406.65055386978</c:v>
                </c:pt>
                <c:pt idx="58">
                  <c:v>240527.93898878782</c:v>
                </c:pt>
                <c:pt idx="59">
                  <c:v>240648.24222773823</c:v>
                </c:pt>
                <c:pt idx="60">
                  <c:v>240767.60252302064</c:v>
                </c:pt>
                <c:pt idx="61">
                  <c:v>240886.06027833905</c:v>
                </c:pt>
                <c:pt idx="62">
                  <c:v>241003.6541744296</c:v>
                </c:pt>
                <c:pt idx="63">
                  <c:v>241120.42128478739</c:v>
                </c:pt>
                <c:pt idx="64">
                  <c:v>241236.39718243742</c:v>
                </c:pt>
                <c:pt idx="65">
                  <c:v>241351.61603860054</c:v>
                </c:pt>
                <c:pt idx="66">
                  <c:v>241466.11071402088</c:v>
                </c:pt>
                <c:pt idx="67">
                  <c:v>241579.91284361668</c:v>
                </c:pt>
                <c:pt idx="68">
                  <c:v>241693.05291507731</c:v>
                </c:pt>
                <c:pt idx="69">
                  <c:v>241805.56034193683</c:v>
                </c:pt>
                <c:pt idx="70">
                  <c:v>241917.46353162633</c:v>
                </c:pt>
                <c:pt idx="71">
                  <c:v>242028.78994893498</c:v>
                </c:pt>
                <c:pt idx="72">
                  <c:v>242139.56617528698</c:v>
                </c:pt>
                <c:pt idx="73">
                  <c:v>242249.81796418491</c:v>
                </c:pt>
                <c:pt idx="74">
                  <c:v>242359.57029315672</c:v>
                </c:pt>
                <c:pt idx="75">
                  <c:v>242468.84741248985</c:v>
                </c:pt>
                <c:pt idx="76">
                  <c:v>242577.67289102683</c:v>
                </c:pt>
                <c:pt idx="77">
                  <c:v>242686.06965927168</c:v>
                </c:pt>
                <c:pt idx="78">
                  <c:v>242794.06005001857</c:v>
                </c:pt>
                <c:pt idx="79">
                  <c:v>242901.66583671549</c:v>
                </c:pt>
                <c:pt idx="80">
                  <c:v>243008.90826974635</c:v>
                </c:pt>
                <c:pt idx="81">
                  <c:v>243115.80811080424</c:v>
                </c:pt>
                <c:pt idx="82">
                  <c:v>243222.38566550589</c:v>
                </c:pt>
                <c:pt idx="83">
                  <c:v>243328.66081440361</c:v>
                </c:pt>
                <c:pt idx="84">
                  <c:v>243434.65304251754</c:v>
                </c:pt>
                <c:pt idx="85">
                  <c:v>243540.38146751645</c:v>
                </c:pt>
                <c:pt idx="86">
                  <c:v>243645.86486665998</c:v>
                </c:pt>
                <c:pt idx="87">
                  <c:v>243751.12170261054</c:v>
                </c:pt>
                <c:pt idx="88">
                  <c:v>243856.17014820935</c:v>
                </c:pt>
                <c:pt idx="89">
                  <c:v>243961.02811031224</c:v>
                </c:pt>
                <c:pt idx="90">
                  <c:v>244065.71325277022</c:v>
                </c:pt>
                <c:pt idx="91">
                  <c:v>244170.24301863727</c:v>
                </c:pt>
                <c:pt idx="92">
                  <c:v>244274.6346516776</c:v>
                </c:pt>
                <c:pt idx="93">
                  <c:v>244378.90521725017</c:v>
                </c:pt>
                <c:pt idx="94">
                  <c:v>244483.07162263294</c:v>
                </c:pt>
                <c:pt idx="95">
                  <c:v>244587.15063685708</c:v>
                </c:pt>
                <c:pt idx="96">
                  <c:v>244691.15891011007</c:v>
                </c:pt>
                <c:pt idx="97">
                  <c:v>244795.11299276908</c:v>
                </c:pt>
                <c:pt idx="98">
                  <c:v>244899.02935411924</c:v>
                </c:pt>
                <c:pt idx="99">
                  <c:v>245002.92440081743</c:v>
                </c:pt>
                <c:pt idx="100">
                  <c:v>245106.81449515314</c:v>
                </c:pt>
                <c:pt idx="101">
                  <c:v>245210.71597315624</c:v>
                </c:pt>
                <c:pt idx="102">
                  <c:v>245314.64516261133</c:v>
                </c:pt>
                <c:pt idx="103">
                  <c:v>245418.61840102397</c:v>
                </c:pt>
                <c:pt idx="104">
                  <c:v>245522.65205359244</c:v>
                </c:pt>
                <c:pt idx="105">
                  <c:v>245626.76253123581</c:v>
                </c:pt>
                <c:pt idx="106">
                  <c:v>245730.96630873063</c:v>
                </c:pt>
                <c:pt idx="107">
                  <c:v>245835.27994300899</c:v>
                </c:pt>
                <c:pt idx="108">
                  <c:v>245939.7200916663</c:v>
                </c:pt>
                <c:pt idx="109">
                  <c:v>246044.30353173849</c:v>
                </c:pt>
                <c:pt idx="110">
                  <c:v>246149.04717880202</c:v>
                </c:pt>
                <c:pt idx="111">
                  <c:v>246253.96810645008</c:v>
                </c:pt>
                <c:pt idx="112">
                  <c:v>246359.08356620939</c:v>
                </c:pt>
                <c:pt idx="113">
                  <c:v>246464.41100795596</c:v>
                </c:pt>
                <c:pt idx="114">
                  <c:v>246569.9681008957</c:v>
                </c:pt>
                <c:pt idx="115">
                  <c:v>246675.77275517365</c:v>
                </c:pt>
                <c:pt idx="116">
                  <c:v>246781.84314418837</c:v>
                </c:pt>
                <c:pt idx="117">
                  <c:v>246888.19772768</c:v>
                </c:pt>
                <c:pt idx="118">
                  <c:v>246994.85527567728</c:v>
                </c:pt>
                <c:pt idx="119">
                  <c:v>247101.83489338361</c:v>
                </c:pt>
                <c:pt idx="120">
                  <c:v>247209.156047094</c:v>
                </c:pt>
                <c:pt idx="121">
                  <c:v>247316.83859123781</c:v>
                </c:pt>
                <c:pt idx="122">
                  <c:v>247424.90279665327</c:v>
                </c:pt>
                <c:pt idx="123">
                  <c:v>247533.36938020156</c:v>
                </c:pt>
                <c:pt idx="124">
                  <c:v>247642.259535841</c:v>
                </c:pt>
                <c:pt idx="125">
                  <c:v>247751.5949672898</c:v>
                </c:pt>
                <c:pt idx="126">
                  <c:v>247861.39792242131</c:v>
                </c:pt>
                <c:pt idx="127">
                  <c:v>247971.6912295332</c:v>
                </c:pt>
                <c:pt idx="128">
                  <c:v>248082.49833566605</c:v>
                </c:pt>
                <c:pt idx="129">
                  <c:v>248193.84334714332</c:v>
                </c:pt>
                <c:pt idx="130">
                  <c:v>248305.75107252999</c:v>
                </c:pt>
                <c:pt idx="131">
                  <c:v>248418.24706821877</c:v>
                </c:pt>
                <c:pt idx="132">
                  <c:v>248531.35768688752</c:v>
                </c:pt>
                <c:pt idx="133">
                  <c:v>248645.11012906759</c:v>
                </c:pt>
                <c:pt idx="134">
                  <c:v>248759.53249811815</c:v>
                </c:pt>
                <c:pt idx="135">
                  <c:v>248874.65385890423</c:v>
                </c:pt>
                <c:pt idx="136">
                  <c:v>248990.50430052227</c:v>
                </c:pt>
                <c:pt idx="137">
                  <c:v>249107.11500344859</c:v>
                </c:pt>
                <c:pt idx="138">
                  <c:v>249224.51831151955</c:v>
                </c:pt>
                <c:pt idx="139">
                  <c:v>249342.74780920937</c:v>
                </c:pt>
                <c:pt idx="140">
                  <c:v>249461.83840470281</c:v>
                </c:pt>
                <c:pt idx="141">
                  <c:v>249581.82641933986</c:v>
                </c:pt>
                <c:pt idx="142">
                  <c:v>249702.7496840457</c:v>
                </c:pt>
                <c:pt idx="143">
                  <c:v>249824.64764346243</c:v>
                </c:pt>
                <c:pt idx="144">
                  <c:v>249947.56146854913</c:v>
                </c:pt>
                <c:pt idx="145">
                  <c:v>250071.53417853374</c:v>
                </c:pt>
                <c:pt idx="146">
                  <c:v>250196.61077320069</c:v>
                </c:pt>
                <c:pt idx="147">
                  <c:v>250322.83837660751</c:v>
                </c:pt>
                <c:pt idx="148">
                  <c:v>250450.26639347989</c:v>
                </c:pt>
                <c:pt idx="149">
                  <c:v>250578.94667968492</c:v>
                </c:pt>
                <c:pt idx="150">
                  <c:v>250708.93372836179</c:v>
                </c:pt>
                <c:pt idx="151">
                  <c:v>250840.28487351237</c:v>
                </c:pt>
                <c:pt idx="152">
                  <c:v>250973.06051308831</c:v>
                </c:pt>
                <c:pt idx="153">
                  <c:v>251107.3243538948</c:v>
                </c:pt>
                <c:pt idx="154">
                  <c:v>251243.14368097309</c:v>
                </c:pt>
                <c:pt idx="155">
                  <c:v>251380.58965448782</c:v>
                </c:pt>
                <c:pt idx="156">
                  <c:v>251519.73763761687</c:v>
                </c:pt>
                <c:pt idx="157">
                  <c:v>251660.66755944715</c:v>
                </c:pt>
                <c:pt idx="158">
                  <c:v>251803.4643175198</c:v>
                </c:pt>
                <c:pt idx="159">
                  <c:v>251948.2182253887</c:v>
                </c:pt>
                <c:pt idx="160">
                  <c:v>252095.02551142752</c:v>
                </c:pt>
                <c:pt idx="161">
                  <c:v>252243.98887616734</c:v>
                </c:pt>
                <c:pt idx="162">
                  <c:v>252395.21811666261</c:v>
                </c:pt>
                <c:pt idx="163">
                  <c:v>252548.83082788702</c:v>
                </c:pt>
                <c:pt idx="164">
                  <c:v>252704.95319293128</c:v>
                </c:pt>
                <c:pt idx="165">
                  <c:v>252863.72087595673</c:v>
                </c:pt>
                <c:pt idx="166">
                  <c:v>253025.28003446912</c:v>
                </c:pt>
                <c:pt idx="167">
                  <c:v>253189.78847071005</c:v>
                </c:pt>
                <c:pt idx="168">
                  <c:v>253357.41694590834</c:v>
                </c:pt>
                <c:pt idx="169">
                  <c:v>253528.35068601582</c:v>
                </c:pt>
                <c:pt idx="170">
                  <c:v>253702.79111362286</c:v>
                </c:pt>
                <c:pt idx="171">
                  <c:v>253880.95784833722</c:v>
                </c:pt>
                <c:pt idx="172">
                  <c:v>254063.09102746379</c:v>
                </c:pt>
                <c:pt idx="173">
                  <c:v>254249.45401093044</c:v>
                </c:pt>
                <c:pt idx="174">
                  <c:v>254440.33654987504</c:v>
                </c:pt>
                <c:pt idx="175">
                  <c:v>254636.05851819992</c:v>
                </c:pt>
                <c:pt idx="176">
                  <c:v>254836.9743322471</c:v>
                </c:pt>
                <c:pt idx="177">
                  <c:v>255043.47821757643</c:v>
                </c:pt>
                <c:pt idx="178">
                  <c:v>255256.01052655542</c:v>
                </c:pt>
                <c:pt idx="179">
                  <c:v>255475.06537026176</c:v>
                </c:pt>
                <c:pt idx="180">
                  <c:v>255701.19990894277</c:v>
                </c:pt>
                <c:pt idx="181">
                  <c:v>255935.04575569765</c:v>
                </c:pt>
                <c:pt idx="182">
                  <c:v>256177.32310105045</c:v>
                </c:pt>
                <c:pt idx="183">
                  <c:v>256428.85838103134</c:v>
                </c:pt>
                <c:pt idx="184">
                  <c:v>256690.60661819548</c:v>
                </c:pt>
                <c:pt idx="185">
                  <c:v>256963.68001038348</c:v>
                </c:pt>
                <c:pt idx="186">
                  <c:v>257249.38500078206</c:v>
                </c:pt>
                <c:pt idx="187">
                  <c:v>257549.27105768849</c:v>
                </c:pt>
                <c:pt idx="188">
                  <c:v>257865.19592990691</c:v>
                </c:pt>
                <c:pt idx="189">
                  <c:v>258199.41458236999</c:v>
                </c:pt>
                <c:pt idx="190">
                  <c:v>258554.7029994945</c:v>
                </c:pt>
                <c:pt idx="191">
                  <c:v>258934.53476950759</c:v>
                </c:pt>
                <c:pt idx="192">
                  <c:v>259343.340164553</c:v>
                </c:pt>
                <c:pt idx="193">
                  <c:v>259786.89908494984</c:v>
                </c:pt>
                <c:pt idx="194">
                  <c:v>260272.96111420853</c:v>
                </c:pt>
                <c:pt idx="195">
                  <c:v>260812.27220474996</c:v>
                </c:pt>
                <c:pt idx="196">
                  <c:v>261420.37954000357</c:v>
                </c:pt>
                <c:pt idx="197">
                  <c:v>262121.05721885859</c:v>
                </c:pt>
                <c:pt idx="198">
                  <c:v>262953.50774015236</c:v>
                </c:pt>
                <c:pt idx="199">
                  <c:v>263989.84874163434</c:v>
                </c:pt>
                <c:pt idx="200">
                  <c:v>265388.18151697685</c:v>
                </c:pt>
                <c:pt idx="201">
                  <c:v>267636.13563737751</c:v>
                </c:pt>
                <c:pt idx="202">
                  <c:v>272331.45365860168</c:v>
                </c:pt>
              </c:numCache>
            </c:numRef>
          </c:xVal>
          <c:yVal>
            <c:numRef>
              <c:f>Mack_Metodo1!$E$104:$E$306</c:f>
              <c:numCache>
                <c:formatCode>General</c:formatCode>
                <c:ptCount val="203"/>
                <c:pt idx="0">
                  <c:v>4.5068262938162854E-7</c:v>
                </c:pt>
                <c:pt idx="1">
                  <c:v>1.2105159845368891E-6</c:v>
                </c:pt>
                <c:pt idx="2">
                  <c:v>1.5624028261003467E-6</c:v>
                </c:pt>
                <c:pt idx="3">
                  <c:v>1.9020573424606282E-6</c:v>
                </c:pt>
                <c:pt idx="4">
                  <c:v>3.4764179261038482E-6</c:v>
                </c:pt>
                <c:pt idx="5">
                  <c:v>4.9136673858611689E-6</c:v>
                </c:pt>
                <c:pt idx="6">
                  <c:v>6.2575641969471533E-6</c:v>
                </c:pt>
                <c:pt idx="7">
                  <c:v>7.529533552621426E-6</c:v>
                </c:pt>
                <c:pt idx="8">
                  <c:v>8.7424766623168564E-6</c:v>
                </c:pt>
                <c:pt idx="9">
                  <c:v>9.9050705134485966E-6</c:v>
                </c:pt>
                <c:pt idx="10">
                  <c:v>1.1023574635840816E-5</c:v>
                </c:pt>
                <c:pt idx="11">
                  <c:v>1.210272986188417E-5</c:v>
                </c:pt>
                <c:pt idx="12">
                  <c:v>1.3146257955504355E-5</c:v>
                </c:pt>
                <c:pt idx="13">
                  <c:v>1.41571623550578E-5</c:v>
                </c:pt>
                <c:pt idx="14">
                  <c:v>1.5137920404607443E-5</c:v>
                </c:pt>
                <c:pt idx="15">
                  <c:v>1.6090612149120453E-5</c:v>
                </c:pt>
                <c:pt idx="16">
                  <c:v>1.7017009966785172E-5</c:v>
                </c:pt>
                <c:pt idx="17">
                  <c:v>1.7918642930187899E-5</c:v>
                </c:pt>
                <c:pt idx="18">
                  <c:v>1.8796844251498888E-5</c:v>
                </c:pt>
                <c:pt idx="19">
                  <c:v>1.965278704897138E-5</c:v>
                </c:pt>
                <c:pt idx="20">
                  <c:v>2.0487511834617985E-5</c:v>
                </c:pt>
                <c:pt idx="21">
                  <c:v>2.1301947997392942E-5</c:v>
                </c:pt>
                <c:pt idx="22">
                  <c:v>2.2096930843481603E-5</c:v>
                </c:pt>
                <c:pt idx="23">
                  <c:v>2.2873215290708095E-5</c:v>
                </c:pt>
                <c:pt idx="24">
                  <c:v>2.3631487003416389E-5</c:v>
                </c:pt>
                <c:pt idx="25">
                  <c:v>2.4372371541728857E-5</c:v>
                </c:pt>
                <c:pt idx="26">
                  <c:v>2.5096441950866615E-5</c:v>
                </c:pt>
                <c:pt idx="27">
                  <c:v>2.5804225110888906E-5</c:v>
                </c:pt>
                <c:pt idx="28">
                  <c:v>2.6496207091103941E-5</c:v>
                </c:pt>
                <c:pt idx="29">
                  <c:v>2.7172837697725565E-5</c:v>
                </c:pt>
                <c:pt idx="30">
                  <c:v>2.7834534361864288E-5</c:v>
                </c:pt>
                <c:pt idx="31">
                  <c:v>2.8481685483796127E-5</c:v>
                </c:pt>
                <c:pt idx="32">
                  <c:v>2.9114653325792628E-5</c:v>
                </c:pt>
                <c:pt idx="33">
                  <c:v>2.9733776527502932E-5</c:v>
                </c:pt>
                <c:pt idx="34">
                  <c:v>3.0339372303767489E-5</c:v>
                </c:pt>
                <c:pt idx="35">
                  <c:v>3.0931738373671747E-5</c:v>
                </c:pt>
                <c:pt idx="36">
                  <c:v>3.1511154660844729E-5</c:v>
                </c:pt>
                <c:pt idx="37">
                  <c:v>3.2077884798077956E-5</c:v>
                </c:pt>
                <c:pt idx="38">
                  <c:v>3.2632177463723589E-5</c:v>
                </c:pt>
                <c:pt idx="39">
                  <c:v>3.3174267572824531E-5</c:v>
                </c:pt>
                <c:pt idx="40">
                  <c:v>3.3704377342252809E-5</c:v>
                </c:pt>
                <c:pt idx="41">
                  <c:v>3.422271724613597E-5</c:v>
                </c:pt>
                <c:pt idx="42">
                  <c:v>3.4729486875369976E-5</c:v>
                </c:pt>
                <c:pt idx="43">
                  <c:v>3.5224875712983289E-5</c:v>
                </c:pt>
                <c:pt idx="44">
                  <c:v>3.5709063835436313E-5</c:v>
                </c:pt>
                <c:pt idx="45">
                  <c:v>3.6182222548472245E-5</c:v>
                </c:pt>
                <c:pt idx="46">
                  <c:v>3.6644514965010532E-5</c:v>
                </c:pt>
                <c:pt idx="47">
                  <c:v>3.7096096531514057E-5</c:v>
                </c:pt>
                <c:pt idx="48">
                  <c:v>3.7537115508465155E-5</c:v>
                </c:pt>
                <c:pt idx="49">
                  <c:v>3.7967713409802151E-5</c:v>
                </c:pt>
                <c:pt idx="50">
                  <c:v>3.8388025405619224E-5</c:v>
                </c:pt>
                <c:pt idx="51">
                  <c:v>3.879818069185774E-5</c:v>
                </c:pt>
                <c:pt idx="52">
                  <c:v>3.9198302830295603E-5</c:v>
                </c:pt>
                <c:pt idx="53">
                  <c:v>3.9588510061721552E-5</c:v>
                </c:pt>
                <c:pt idx="54">
                  <c:v>3.9968915594873696E-5</c:v>
                </c:pt>
                <c:pt idx="55">
                  <c:v>4.0339627873422411E-5</c:v>
                </c:pt>
                <c:pt idx="56">
                  <c:v>4.0700750822997816E-5</c:v>
                </c:pt>
                <c:pt idx="57">
                  <c:v>4.1052384080084312E-5</c:v>
                </c:pt>
                <c:pt idx="58">
                  <c:v>4.1394623204378752E-5</c:v>
                </c:pt>
                <c:pt idx="59">
                  <c:v>4.1727559876040252E-5</c:v>
                </c:pt>
                <c:pt idx="60">
                  <c:v>4.2051282079136085E-5</c:v>
                </c:pt>
                <c:pt idx="61">
                  <c:v>4.2365874272426846E-5</c:v>
                </c:pt>
                <c:pt idx="62">
                  <c:v>4.2671417548526149E-5</c:v>
                </c:pt>
                <c:pt idx="63">
                  <c:v>4.296798978239327E-5</c:v>
                </c:pt>
                <c:pt idx="64">
                  <c:v>4.3255665769978764E-5</c:v>
                </c:pt>
                <c:pt idx="65">
                  <c:v>4.3534517357796713E-5</c:v>
                </c:pt>
                <c:pt idx="66">
                  <c:v>4.3804613564132982E-5</c:v>
                </c:pt>
                <c:pt idx="67">
                  <c:v>4.4066020692483244E-5</c:v>
                </c:pt>
                <c:pt idx="68">
                  <c:v>4.4318802437827731E-5</c:v>
                </c:pt>
                <c:pt idx="69">
                  <c:v>4.4563019986229733E-5</c:v>
                </c:pt>
                <c:pt idx="70">
                  <c:v>4.479873210825799E-5</c:v>
                </c:pt>
                <c:pt idx="71">
                  <c:v>4.5025995246641234E-5</c:v>
                </c:pt>
                <c:pt idx="72">
                  <c:v>4.5244863598564773E-5</c:v>
                </c:pt>
                <c:pt idx="73">
                  <c:v>4.5455389192955361E-5</c:v>
                </c:pt>
                <c:pt idx="74">
                  <c:v>4.5657621963099682E-5</c:v>
                </c:pt>
                <c:pt idx="75">
                  <c:v>4.5851609814880049E-5</c:v>
                </c:pt>
                <c:pt idx="76">
                  <c:v>4.6037398690911855E-5</c:v>
                </c:pt>
                <c:pt idx="77">
                  <c:v>4.621503263084621E-5</c:v>
                </c:pt>
                <c:pt idx="78">
                  <c:v>4.6384553828048141E-5</c:v>
                </c:pt>
                <c:pt idx="79">
                  <c:v>4.6546002682884044E-5</c:v>
                </c:pt>
                <c:pt idx="80">
                  <c:v>4.6699417852806021E-5</c:v>
                </c:pt>
                <c:pt idx="81">
                  <c:v>4.684483629941784E-5</c:v>
                </c:pt>
                <c:pt idx="82">
                  <c:v>4.6982293332679874E-5</c:v>
                </c:pt>
                <c:pt idx="83">
                  <c:v>4.7111822652421902E-5</c:v>
                </c:pt>
                <c:pt idx="84">
                  <c:v>4.7233456387290088E-5</c:v>
                </c:pt>
                <c:pt idx="85">
                  <c:v>4.7347225131264602E-5</c:v>
                </c:pt>
                <c:pt idx="86">
                  <c:v>4.7453157977866169E-5</c:v>
                </c:pt>
                <c:pt idx="87">
                  <c:v>4.755128255216435E-5</c:v>
                </c:pt>
                <c:pt idx="88">
                  <c:v>4.7641625040681207E-5</c:v>
                </c:pt>
                <c:pt idx="89">
                  <c:v>4.7724210219290115E-5</c:v>
                </c:pt>
                <c:pt idx="90">
                  <c:v>4.7799061479192567E-5</c:v>
                </c:pt>
                <c:pt idx="91">
                  <c:v>4.7866200851049929E-5</c:v>
                </c:pt>
                <c:pt idx="92">
                  <c:v>4.792564902734215E-5</c:v>
                </c:pt>
                <c:pt idx="93">
                  <c:v>4.7977425383018576E-5</c:v>
                </c:pt>
                <c:pt idx="94">
                  <c:v>4.8021547994501122E-5</c:v>
                </c:pt>
                <c:pt idx="95">
                  <c:v>4.805803365709126E-5</c:v>
                </c:pt>
                <c:pt idx="96">
                  <c:v>4.8086897900831466E-5</c:v>
                </c:pt>
                <c:pt idx="97">
                  <c:v>4.8108155004863316E-5</c:v>
                </c:pt>
                <c:pt idx="98">
                  <c:v>4.8121818010320717E-5</c:v>
                </c:pt>
                <c:pt idx="99">
                  <c:v>4.8127898731795035E-5</c:v>
                </c:pt>
                <c:pt idx="100">
                  <c:v>4.8126407767398446E-5</c:v>
                </c:pt>
                <c:pt idx="101">
                  <c:v>4.8117354507453673E-5</c:v>
                </c:pt>
                <c:pt idx="102">
                  <c:v>4.8100747141831574E-5</c:v>
                </c:pt>
                <c:pt idx="103">
                  <c:v>4.8076592665952615E-5</c:v>
                </c:pt>
                <c:pt idx="104">
                  <c:v>4.8044896885469392E-5</c:v>
                </c:pt>
                <c:pt idx="105">
                  <c:v>4.8005664419636197E-5</c:v>
                </c:pt>
                <c:pt idx="106">
                  <c:v>4.7958898703376018E-5</c:v>
                </c:pt>
                <c:pt idx="107">
                  <c:v>4.7904601988043772E-5</c:v>
                </c:pt>
                <c:pt idx="108">
                  <c:v>4.7842775340888491E-5</c:v>
                </c:pt>
                <c:pt idx="109">
                  <c:v>4.7773418643207372E-5</c:v>
                </c:pt>
                <c:pt idx="110">
                  <c:v>4.7696530587181537E-5</c:v>
                </c:pt>
                <c:pt idx="111">
                  <c:v>4.7612108671386272E-5</c:v>
                </c:pt>
                <c:pt idx="112">
                  <c:v>4.7520149194954492E-5</c:v>
                </c:pt>
                <c:pt idx="113">
                  <c:v>4.7420647250375167E-5</c:v>
                </c:pt>
                <c:pt idx="114">
                  <c:v>4.7313596714902478E-5</c:v>
                </c:pt>
                <c:pt idx="115">
                  <c:v>4.7198990240546413E-5</c:v>
                </c:pt>
                <c:pt idx="116">
                  <c:v>4.7076819242611861E-5</c:v>
                </c:pt>
                <c:pt idx="117">
                  <c:v>4.6947073886749586E-5</c:v>
                </c:pt>
                <c:pt idx="118">
                  <c:v>4.6809743074474428E-5</c:v>
                </c:pt>
                <c:pt idx="119">
                  <c:v>4.6664814427103691E-5</c:v>
                </c:pt>
                <c:pt idx="120">
                  <c:v>4.6512274268063106E-5</c:v>
                </c:pt>
                <c:pt idx="121">
                  <c:v>4.6352107603504082E-5</c:v>
                </c:pt>
                <c:pt idx="122">
                  <c:v>4.6184298101159267E-5</c:v>
                </c:pt>
                <c:pt idx="123">
                  <c:v>4.6008828067373321E-5</c:v>
                </c:pt>
                <c:pt idx="124">
                  <c:v>4.5825678422226866E-5</c:v>
                </c:pt>
                <c:pt idx="125">
                  <c:v>4.5634828672669042E-5</c:v>
                </c:pt>
                <c:pt idx="126">
                  <c:v>4.5436256883556043E-5</c:v>
                </c:pt>
                <c:pt idx="127">
                  <c:v>4.5229939646511042E-5</c:v>
                </c:pt>
                <c:pt idx="128">
                  <c:v>4.5015852046473302E-5</c:v>
                </c:pt>
                <c:pt idx="129">
                  <c:v>4.4793967625825612E-5</c:v>
                </c:pt>
                <c:pt idx="130">
                  <c:v>4.4564258345961508E-5</c:v>
                </c:pt>
                <c:pt idx="131">
                  <c:v>4.4326694546156674E-5</c:v>
                </c:pt>
                <c:pt idx="132">
                  <c:v>4.408124489956188E-5</c:v>
                </c:pt>
                <c:pt idx="133">
                  <c:v>4.3827876366176343E-5</c:v>
                </c:pt>
                <c:pt idx="134">
                  <c:v>4.3566554142581793E-5</c:v>
                </c:pt>
                <c:pt idx="135">
                  <c:v>4.3297241608252599E-5</c:v>
                </c:pt>
                <c:pt idx="136">
                  <c:v>4.3019900268205879E-5</c:v>
                </c:pt>
                <c:pt idx="137">
                  <c:v>4.27344896917446E-5</c:v>
                </c:pt>
                <c:pt idx="138">
                  <c:v>4.2440967447033617E-5</c:v>
                </c:pt>
                <c:pt idx="139">
                  <c:v>4.2139289031195419E-5</c:v>
                </c:pt>
                <c:pt idx="140">
                  <c:v>4.1829407795627963E-5</c:v>
                </c:pt>
                <c:pt idx="141">
                  <c:v>4.1511274866158618E-5</c:v>
                </c:pt>
                <c:pt idx="142">
                  <c:v>4.1184839057680422E-5</c:v>
                </c:pt>
                <c:pt idx="143">
                  <c:v>4.085004678280152E-5</c:v>
                </c:pt>
                <c:pt idx="144">
                  <c:v>4.050684195407457E-5</c:v>
                </c:pt>
                <c:pt idx="145">
                  <c:v>4.015516587926691E-5</c:v>
                </c:pt>
                <c:pt idx="146">
                  <c:v>3.9794957149088414E-5</c:v>
                </c:pt>
                <c:pt idx="147">
                  <c:v>3.9426151516770076E-5</c:v>
                </c:pt>
                <c:pt idx="148">
                  <c:v>3.9048681768767387E-5</c:v>
                </c:pt>
                <c:pt idx="149">
                  <c:v>3.8662477585813633E-5</c:v>
                </c:pt>
                <c:pt idx="150">
                  <c:v>3.826746539347089E-5</c:v>
                </c:pt>
                <c:pt idx="151">
                  <c:v>3.7863568201196034E-5</c:v>
                </c:pt>
                <c:pt idx="152">
                  <c:v>3.7450705428855828E-5</c:v>
                </c:pt>
                <c:pt idx="153">
                  <c:v>3.7028792719499992E-5</c:v>
                </c:pt>
                <c:pt idx="154">
                  <c:v>3.6597741737021673E-5</c:v>
                </c:pt>
                <c:pt idx="155">
                  <c:v>3.6157459947228178E-5</c:v>
                </c:pt>
                <c:pt idx="156">
                  <c:v>3.5707850380588723E-5</c:v>
                </c:pt>
                <c:pt idx="157">
                  <c:v>3.5248811374782708E-5</c:v>
                </c:pt>
                <c:pt idx="158">
                  <c:v>3.4780236294852868E-5</c:v>
                </c:pt>
                <c:pt idx="159">
                  <c:v>3.4302013228528351E-5</c:v>
                </c:pt>
                <c:pt idx="160">
                  <c:v>3.3814024653940712E-5</c:v>
                </c:pt>
                <c:pt idx="161">
                  <c:v>3.3316147076528342E-5</c:v>
                </c:pt>
                <c:pt idx="162">
                  <c:v>3.2808250631539355E-5</c:v>
                </c:pt>
                <c:pt idx="163">
                  <c:v>3.2290198647946431E-5</c:v>
                </c:pt>
                <c:pt idx="164">
                  <c:v>3.1761847169018133E-5</c:v>
                </c:pt>
                <c:pt idx="165">
                  <c:v>3.1223044423995104E-5</c:v>
                </c:pt>
                <c:pt idx="166">
                  <c:v>3.0673630244512973E-5</c:v>
                </c:pt>
                <c:pt idx="167">
                  <c:v>3.0113435418323123E-5</c:v>
                </c:pt>
                <c:pt idx="168">
                  <c:v>2.954228097163693E-5</c:v>
                </c:pt>
                <c:pt idx="169">
                  <c:v>2.8959977369934451E-5</c:v>
                </c:pt>
                <c:pt idx="170">
                  <c:v>2.8366323625262587E-5</c:v>
                </c:pt>
                <c:pt idx="171">
                  <c:v>2.7761106295864079E-5</c:v>
                </c:pt>
                <c:pt idx="172">
                  <c:v>2.7144098361298754E-5</c:v>
                </c:pt>
                <c:pt idx="173">
                  <c:v>2.6515057952943496E-5</c:v>
                </c:pt>
                <c:pt idx="174">
                  <c:v>2.5873726915670396E-5</c:v>
                </c:pt>
                <c:pt idx="175">
                  <c:v>2.5219829171487419E-5</c:v>
                </c:pt>
                <c:pt idx="176">
                  <c:v>2.4553068849536505E-5</c:v>
                </c:pt>
                <c:pt idx="177">
                  <c:v>2.3873128138840155E-5</c:v>
                </c:pt>
                <c:pt idx="178">
                  <c:v>2.3179664810008032E-5</c:v>
                </c:pt>
                <c:pt idx="179">
                  <c:v>2.2472309338908897E-5</c:v>
                </c:pt>
                <c:pt idx="180">
                  <c:v>2.1750661548296812E-5</c:v>
                </c:pt>
                <c:pt idx="181">
                  <c:v>2.1014286661006705E-5</c:v>
                </c:pt>
                <c:pt idx="182">
                  <c:v>2.0262710628565873E-5</c:v>
                </c:pt>
                <c:pt idx="183">
                  <c:v>1.9495414559233667E-5</c:v>
                </c:pt>
                <c:pt idx="184">
                  <c:v>1.8711828015103322E-5</c:v>
                </c:pt>
                <c:pt idx="185">
                  <c:v>1.7911320872812528E-5</c:v>
                </c:pt>
                <c:pt idx="186">
                  <c:v>1.7093193336979056E-5</c:v>
                </c:pt>
                <c:pt idx="187">
                  <c:v>1.6256663544695869E-5</c:v>
                </c:pt>
                <c:pt idx="188">
                  <c:v>1.5400851979470417E-5</c:v>
                </c:pt>
                <c:pt idx="189">
                  <c:v>1.452476158489686E-5</c:v>
                </c:pt>
                <c:pt idx="190">
                  <c:v>1.3627251966378382E-5</c:v>
                </c:pt>
                <c:pt idx="191">
                  <c:v>1.2707005278779318E-5</c:v>
                </c:pt>
                <c:pt idx="192">
                  <c:v>1.1762480111485867E-5</c:v>
                </c:pt>
                <c:pt idx="193">
                  <c:v>1.0791847506792974E-5</c:v>
                </c:pt>
                <c:pt idx="194">
                  <c:v>9.7928993981210584E-6</c:v>
                </c:pt>
                <c:pt idx="195">
                  <c:v>8.7629125652989875E-6</c:v>
                </c:pt>
                <c:pt idx="196">
                  <c:v>7.6984368611666652E-6</c:v>
                </c:pt>
                <c:pt idx="197">
                  <c:v>6.5949453845055191E-6</c:v>
                </c:pt>
                <c:pt idx="198">
                  <c:v>5.4462093184505188E-6</c:v>
                </c:pt>
                <c:pt idx="199">
                  <c:v>4.24305101093449E-6</c:v>
                </c:pt>
                <c:pt idx="200">
                  <c:v>2.9704057422461349E-6</c:v>
                </c:pt>
                <c:pt idx="201">
                  <c:v>1.5980157557651671E-6</c:v>
                </c:pt>
                <c:pt idx="202">
                  <c:v>3.6569764466669373E-7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FC-4032-93FE-17211070B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080672"/>
        <c:axId val="1230526064"/>
      </c:scatterChart>
      <c:valAx>
        <c:axId val="1944080672"/>
        <c:scaling>
          <c:orientation val="minMax"/>
          <c:max val="245000"/>
          <c:min val="20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_€_-;\-* #,##0\ _€_-;_-* &quot;-&quot;??\ _€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30526064"/>
        <c:crosses val="autoZero"/>
        <c:crossBetween val="midCat"/>
      </c:valAx>
      <c:valAx>
        <c:axId val="123052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4080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400"/>
              <a:t>Prediction Error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it-IT" sz="1400" b="0" i="0" baseline="0">
                <a:effectLst/>
              </a:rPr>
              <a:t>Process - Estimation Error % split by AY</a:t>
            </a:r>
            <a:endParaRPr lang="en-GB" sz="1400">
              <a:effectLst/>
            </a:endParaRPr>
          </a:p>
        </c:rich>
      </c:tx>
      <c:layout>
        <c:manualLayout>
          <c:xMode val="edge"/>
          <c:yMode val="edge"/>
          <c:x val="0.23279943209945728"/>
          <c:y val="2.9398148148148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02486432968121"/>
          <c:y val="0.27892945855994805"/>
          <c:w val="0.67478727080823087"/>
          <c:h val="0.52104716291906805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'Mack_Metodo 2'!$Y$58</c:f>
              <c:strCache>
                <c:ptCount val="1"/>
                <c:pt idx="0">
                  <c:v>Process 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'Mack_Metodo 2'!$U$59:$U$70</c:f>
              <c:numCache>
                <c:formatCode>0</c:formatCode>
                <c:ptCount val="1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</c:numCache>
            </c:numRef>
          </c:cat>
          <c:val>
            <c:numRef>
              <c:f>'Mack_Metodo 2'!$Y$59:$Y$70</c:f>
              <c:numCache>
                <c:formatCode>_-* #,##0.00\ _€_-;\-* #,##0.00\ _€_-;_-* "-"??\ _€_-;_-@_-</c:formatCode>
                <c:ptCount val="12"/>
                <c:pt idx="0">
                  <c:v>0</c:v>
                </c:pt>
                <c:pt idx="1">
                  <c:v>32.220985344788104</c:v>
                </c:pt>
                <c:pt idx="2">
                  <c:v>106.14053288039322</c:v>
                </c:pt>
                <c:pt idx="3">
                  <c:v>328.8096606234464</c:v>
                </c:pt>
                <c:pt idx="4">
                  <c:v>381.55064250659296</c:v>
                </c:pt>
                <c:pt idx="5">
                  <c:v>472.06329566207665</c:v>
                </c:pt>
                <c:pt idx="6">
                  <c:v>689.19770710613034</c:v>
                </c:pt>
                <c:pt idx="7">
                  <c:v>972.90569875579968</c:v>
                </c:pt>
                <c:pt idx="8">
                  <c:v>1333.0766030912623</c:v>
                </c:pt>
                <c:pt idx="9">
                  <c:v>1902.1443645298464</c:v>
                </c:pt>
                <c:pt idx="10">
                  <c:v>2811.36675981803</c:v>
                </c:pt>
                <c:pt idx="11">
                  <c:v>5615.5760032770695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F8-494A-9342-AA135822E7FF}"/>
            </c:ext>
          </c:extLst>
        </c:ser>
        <c:ser>
          <c:idx val="1"/>
          <c:order val="1"/>
          <c:tx>
            <c:strRef>
              <c:f>'Mack_Metodo 2'!$AA$58</c:f>
              <c:strCache>
                <c:ptCount val="1"/>
                <c:pt idx="0">
                  <c:v>Estim. Error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>
                  <a:alpha val="50000"/>
                </a:schemeClr>
              </a:solidFill>
            </a:ln>
            <a:effectLst/>
          </c:spPr>
          <c:invertIfNegative val="0"/>
          <c:val>
            <c:numRef>
              <c:f>'Mack_Metodo 2'!$AA$59:$AA$70</c:f>
              <c:numCache>
                <c:formatCode>_-* #,##0.00\ _€_-;\-* #,##0.00\ _€_-;_-* "-"??\ _€_-;_-@_-</c:formatCode>
                <c:ptCount val="12"/>
                <c:pt idx="0">
                  <c:v>0</c:v>
                </c:pt>
                <c:pt idx="1">
                  <c:v>34.290804375822624</c:v>
                </c:pt>
                <c:pt idx="2">
                  <c:v>85.424405934120017</c:v>
                </c:pt>
                <c:pt idx="3">
                  <c:v>217.95676900896797</c:v>
                </c:pt>
                <c:pt idx="4">
                  <c:v>247.67372774027316</c:v>
                </c:pt>
                <c:pt idx="5">
                  <c:v>305.76422058878217</c:v>
                </c:pt>
                <c:pt idx="6">
                  <c:v>397.11140545529366</c:v>
                </c:pt>
                <c:pt idx="7">
                  <c:v>479.80805922764984</c:v>
                </c:pt>
                <c:pt idx="8">
                  <c:v>590.92446641887489</c:v>
                </c:pt>
                <c:pt idx="9">
                  <c:v>783.7049532644279</c:v>
                </c:pt>
                <c:pt idx="10">
                  <c:v>1115.7485805789477</c:v>
                </c:pt>
                <c:pt idx="11">
                  <c:v>2073.7047648776934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F8-494A-9342-AA135822E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89489696"/>
        <c:axId val="1390028272"/>
      </c:barChart>
      <c:catAx>
        <c:axId val="1389489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Accident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90028272"/>
        <c:crosses val="autoZero"/>
        <c:auto val="1"/>
        <c:lblAlgn val="ctr"/>
        <c:lblOffset val="100"/>
        <c:noMultiLvlLbl val="0"/>
      </c:catAx>
      <c:valAx>
        <c:axId val="139002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8948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400"/>
              <a:t>Prediction Error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it-IT" sz="1400" b="0" i="0" baseline="0">
                <a:effectLst/>
              </a:rPr>
              <a:t>Process - Estimation Error split by AY</a:t>
            </a:r>
            <a:endParaRPr lang="en-GB" sz="1400">
              <a:effectLst/>
            </a:endParaRPr>
          </a:p>
        </c:rich>
      </c:tx>
      <c:layout>
        <c:manualLayout>
          <c:xMode val="edge"/>
          <c:yMode val="edge"/>
          <c:x val="0.23279943209945728"/>
          <c:y val="2.9398148148148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02486432968121"/>
          <c:y val="0.27892945855994805"/>
          <c:w val="0.67478727080823087"/>
          <c:h val="0.521047162919068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'Mack_Metodo 2'!$Y$58</c:f>
              <c:strCache>
                <c:ptCount val="1"/>
                <c:pt idx="0">
                  <c:v>Process 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'Mack_Metodo 2'!$U$59:$U$70</c:f>
              <c:numCache>
                <c:formatCode>0</c:formatCode>
                <c:ptCount val="1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</c:numCache>
            </c:numRef>
          </c:cat>
          <c:val>
            <c:numRef>
              <c:f>'Mack_Metodo 2'!$Y$59:$Y$70</c:f>
              <c:numCache>
                <c:formatCode>_-* #,##0.00\ _€_-;\-* #,##0.00\ _€_-;_-* "-"??\ _€_-;_-@_-</c:formatCode>
                <c:ptCount val="12"/>
                <c:pt idx="0">
                  <c:v>0</c:v>
                </c:pt>
                <c:pt idx="1">
                  <c:v>32.220985344788104</c:v>
                </c:pt>
                <c:pt idx="2">
                  <c:v>106.14053288039322</c:v>
                </c:pt>
                <c:pt idx="3">
                  <c:v>328.8096606234464</c:v>
                </c:pt>
                <c:pt idx="4">
                  <c:v>381.55064250659296</c:v>
                </c:pt>
                <c:pt idx="5">
                  <c:v>472.06329566207665</c:v>
                </c:pt>
                <c:pt idx="6">
                  <c:v>689.19770710613034</c:v>
                </c:pt>
                <c:pt idx="7">
                  <c:v>972.90569875579968</c:v>
                </c:pt>
                <c:pt idx="8">
                  <c:v>1333.0766030912623</c:v>
                </c:pt>
                <c:pt idx="9">
                  <c:v>1902.1443645298464</c:v>
                </c:pt>
                <c:pt idx="10">
                  <c:v>2811.36675981803</c:v>
                </c:pt>
                <c:pt idx="11">
                  <c:v>5615.5760032770695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5C-41D5-9DF0-87DC344F6CAE}"/>
            </c:ext>
          </c:extLst>
        </c:ser>
        <c:ser>
          <c:idx val="1"/>
          <c:order val="1"/>
          <c:tx>
            <c:strRef>
              <c:f>'Mack_Metodo 2'!$AA$58</c:f>
              <c:strCache>
                <c:ptCount val="1"/>
                <c:pt idx="0">
                  <c:v>Estim. Error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>
                  <a:alpha val="50000"/>
                </a:schemeClr>
              </a:solidFill>
            </a:ln>
            <a:effectLst/>
          </c:spPr>
          <c:invertIfNegative val="0"/>
          <c:val>
            <c:numRef>
              <c:f>'Mack_Metodo 2'!$AA$59:$AA$70</c:f>
              <c:numCache>
                <c:formatCode>_-* #,##0.00\ _€_-;\-* #,##0.00\ _€_-;_-* "-"??\ _€_-;_-@_-</c:formatCode>
                <c:ptCount val="12"/>
                <c:pt idx="0">
                  <c:v>0</c:v>
                </c:pt>
                <c:pt idx="1">
                  <c:v>34.290804375822624</c:v>
                </c:pt>
                <c:pt idx="2">
                  <c:v>85.424405934120017</c:v>
                </c:pt>
                <c:pt idx="3">
                  <c:v>217.95676900896797</c:v>
                </c:pt>
                <c:pt idx="4">
                  <c:v>247.67372774027316</c:v>
                </c:pt>
                <c:pt idx="5">
                  <c:v>305.76422058878217</c:v>
                </c:pt>
                <c:pt idx="6">
                  <c:v>397.11140545529366</c:v>
                </c:pt>
                <c:pt idx="7">
                  <c:v>479.80805922764984</c:v>
                </c:pt>
                <c:pt idx="8">
                  <c:v>590.92446641887489</c:v>
                </c:pt>
                <c:pt idx="9">
                  <c:v>783.7049532644279</c:v>
                </c:pt>
                <c:pt idx="10">
                  <c:v>1115.7485805789477</c:v>
                </c:pt>
                <c:pt idx="11">
                  <c:v>2073.7047648776934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5C-41D5-9DF0-87DC344F6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9489696"/>
        <c:axId val="1390028272"/>
      </c:barChart>
      <c:catAx>
        <c:axId val="1389489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Accident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90028272"/>
        <c:crosses val="autoZero"/>
        <c:auto val="1"/>
        <c:lblAlgn val="ctr"/>
        <c:lblOffset val="100"/>
        <c:noMultiLvlLbl val="0"/>
      </c:catAx>
      <c:valAx>
        <c:axId val="139002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8948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400"/>
              <a:t>Prediction Error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it-IT" sz="1400" b="0" i="0" baseline="0">
                <a:effectLst/>
              </a:rPr>
              <a:t>Process - Estimation Error % split by AY</a:t>
            </a:r>
            <a:endParaRPr lang="en-GB" sz="1400">
              <a:effectLst/>
            </a:endParaRPr>
          </a:p>
        </c:rich>
      </c:tx>
      <c:layout>
        <c:manualLayout>
          <c:xMode val="edge"/>
          <c:yMode val="edge"/>
          <c:x val="0.23279943209945728"/>
          <c:y val="2.9398148148148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02486432968121"/>
          <c:y val="0.27892945855994805"/>
          <c:w val="0.67478727080823087"/>
          <c:h val="0.52104716291906805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'Mack_Metodo 2'!$Y$58</c:f>
              <c:strCache>
                <c:ptCount val="1"/>
                <c:pt idx="0">
                  <c:v>Process 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'Mack_Metodo 2'!$U$59:$U$70</c:f>
              <c:numCache>
                <c:formatCode>0</c:formatCode>
                <c:ptCount val="1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</c:numCache>
            </c:numRef>
          </c:cat>
          <c:val>
            <c:numRef>
              <c:f>'Mack_Metodo 2'!$Y$59:$Y$70</c:f>
              <c:numCache>
                <c:formatCode>_-* #,##0.00\ _€_-;\-* #,##0.00\ _€_-;_-* "-"??\ _€_-;_-@_-</c:formatCode>
                <c:ptCount val="12"/>
                <c:pt idx="0">
                  <c:v>0</c:v>
                </c:pt>
                <c:pt idx="1">
                  <c:v>32.220985344788104</c:v>
                </c:pt>
                <c:pt idx="2">
                  <c:v>106.14053288039322</c:v>
                </c:pt>
                <c:pt idx="3">
                  <c:v>328.8096606234464</c:v>
                </c:pt>
                <c:pt idx="4">
                  <c:v>381.55064250659296</c:v>
                </c:pt>
                <c:pt idx="5">
                  <c:v>472.06329566207665</c:v>
                </c:pt>
                <c:pt idx="6">
                  <c:v>689.19770710613034</c:v>
                </c:pt>
                <c:pt idx="7">
                  <c:v>972.90569875579968</c:v>
                </c:pt>
                <c:pt idx="8">
                  <c:v>1333.0766030912623</c:v>
                </c:pt>
                <c:pt idx="9">
                  <c:v>1902.1443645298464</c:v>
                </c:pt>
                <c:pt idx="10">
                  <c:v>2811.36675981803</c:v>
                </c:pt>
                <c:pt idx="11">
                  <c:v>5615.5760032770695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A6-4A67-8C8E-72CC9ECB97BF}"/>
            </c:ext>
          </c:extLst>
        </c:ser>
        <c:ser>
          <c:idx val="1"/>
          <c:order val="1"/>
          <c:tx>
            <c:strRef>
              <c:f>'Mack_Metodo 2'!$AA$58</c:f>
              <c:strCache>
                <c:ptCount val="1"/>
                <c:pt idx="0">
                  <c:v>Estim. Error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>
                  <a:alpha val="50000"/>
                </a:schemeClr>
              </a:solidFill>
            </a:ln>
            <a:effectLst/>
          </c:spPr>
          <c:invertIfNegative val="0"/>
          <c:val>
            <c:numRef>
              <c:f>'Mack_Metodo 2'!$AA$59:$AA$70</c:f>
              <c:numCache>
                <c:formatCode>_-* #,##0.00\ _€_-;\-* #,##0.00\ _€_-;_-* "-"??\ _€_-;_-@_-</c:formatCode>
                <c:ptCount val="12"/>
                <c:pt idx="0">
                  <c:v>0</c:v>
                </c:pt>
                <c:pt idx="1">
                  <c:v>34.290804375822624</c:v>
                </c:pt>
                <c:pt idx="2">
                  <c:v>85.424405934120017</c:v>
                </c:pt>
                <c:pt idx="3">
                  <c:v>217.95676900896797</c:v>
                </c:pt>
                <c:pt idx="4">
                  <c:v>247.67372774027316</c:v>
                </c:pt>
                <c:pt idx="5">
                  <c:v>305.76422058878217</c:v>
                </c:pt>
                <c:pt idx="6">
                  <c:v>397.11140545529366</c:v>
                </c:pt>
                <c:pt idx="7">
                  <c:v>479.80805922764984</c:v>
                </c:pt>
                <c:pt idx="8">
                  <c:v>590.92446641887489</c:v>
                </c:pt>
                <c:pt idx="9">
                  <c:v>783.7049532644279</c:v>
                </c:pt>
                <c:pt idx="10">
                  <c:v>1115.7485805789477</c:v>
                </c:pt>
                <c:pt idx="11">
                  <c:v>2073.7047648776934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A6-4A67-8C8E-72CC9ECB9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89489696"/>
        <c:axId val="1390028272"/>
      </c:barChart>
      <c:catAx>
        <c:axId val="1389489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Accident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90028272"/>
        <c:crosses val="autoZero"/>
        <c:auto val="1"/>
        <c:lblAlgn val="ctr"/>
        <c:lblOffset val="100"/>
        <c:noMultiLvlLbl val="0"/>
      </c:catAx>
      <c:valAx>
        <c:axId val="139002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8948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8.677537182852145E-2"/>
          <c:y val="0.16708333333333336"/>
          <c:w val="0.84281802274715656"/>
          <c:h val="0.6462164625255176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'Mack_Metodo 2'!$D$95</c:f>
              <c:strCache>
                <c:ptCount val="1"/>
                <c:pt idx="0">
                  <c:v>CDF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'Mack_Metodo 2'!$C$96:$C$298</c:f>
              <c:numCache>
                <c:formatCode>_-* #,##0\ _€_-;\-* #,##0\ _€_-;_-* "-"??\ _€_-;_-@_-</c:formatCode>
                <c:ptCount val="203"/>
                <c:pt idx="0">
                  <c:v>220978.05568467069</c:v>
                </c:pt>
                <c:pt idx="1">
                  <c:v>223551.40538355961</c:v>
                </c:pt>
                <c:pt idx="2">
                  <c:v>224275.97398324011</c:v>
                </c:pt>
                <c:pt idx="3">
                  <c:v>224854.82010095727</c:v>
                </c:pt>
                <c:pt idx="4">
                  <c:v>226759.43889915888</c:v>
                </c:pt>
                <c:pt idx="5">
                  <c:v>227960.56521913875</c:v>
                </c:pt>
                <c:pt idx="6">
                  <c:v>228858.99354773498</c:v>
                </c:pt>
                <c:pt idx="7">
                  <c:v>229585.80958648803</c:v>
                </c:pt>
                <c:pt idx="8">
                  <c:v>230201.16196430253</c:v>
                </c:pt>
                <c:pt idx="9">
                  <c:v>230737.89673522045</c:v>
                </c:pt>
                <c:pt idx="10">
                  <c:v>231216.00827698334</c:v>
                </c:pt>
                <c:pt idx="11">
                  <c:v>231648.61408803871</c:v>
                </c:pt>
                <c:pt idx="12">
                  <c:v>232044.80629066567</c:v>
                </c:pt>
                <c:pt idx="13">
                  <c:v>232411.15822895855</c:v>
                </c:pt>
                <c:pt idx="14">
                  <c:v>232752.58362395928</c:v>
                </c:pt>
                <c:pt idx="15">
                  <c:v>233072.85660812215</c:v>
                </c:pt>
                <c:pt idx="16">
                  <c:v>233374.94195073837</c:v>
                </c:pt>
                <c:pt idx="17">
                  <c:v>233661.21318890568</c:v>
                </c:pt>
                <c:pt idx="18">
                  <c:v>233933.60155583988</c:v>
                </c:pt>
                <c:pt idx="19">
                  <c:v>234193.70056042963</c:v>
                </c:pt>
                <c:pt idx="20">
                  <c:v>234442.84122468546</c:v>
                </c:pt>
                <c:pt idx="21">
                  <c:v>234682.14736516337</c:v>
                </c:pt>
                <c:pt idx="22">
                  <c:v>234912.57697122465</c:v>
                </c:pt>
                <c:pt idx="23">
                  <c:v>235134.95368938972</c:v>
                </c:pt>
                <c:pt idx="24">
                  <c:v>235349.99113296345</c:v>
                </c:pt>
                <c:pt idx="25">
                  <c:v>235558.31190037887</c:v>
                </c:pt>
                <c:pt idx="26">
                  <c:v>235760.46263168045</c:v>
                </c:pt>
                <c:pt idx="27">
                  <c:v>235956.92605760001</c:v>
                </c:pt>
                <c:pt idx="28">
                  <c:v>236148.13073709732</c:v>
                </c:pt>
                <c:pt idx="29">
                  <c:v>236334.45899790555</c:v>
                </c:pt>
                <c:pt idx="30">
                  <c:v>236516.2534654231</c:v>
                </c:pt>
                <c:pt idx="31">
                  <c:v>236693.82247196737</c:v>
                </c:pt>
                <c:pt idx="32">
                  <c:v>236867.44457010689</c:v>
                </c:pt>
                <c:pt idx="33">
                  <c:v>237037.37232316393</c:v>
                </c:pt>
                <c:pt idx="34">
                  <c:v>237203.8355080848</c:v>
                </c:pt>
                <c:pt idx="35">
                  <c:v>237367.04383718924</c:v>
                </c:pt>
                <c:pt idx="36">
                  <c:v>237527.18928337528</c:v>
                </c:pt>
                <c:pt idx="37">
                  <c:v>237684.44807646563</c:v>
                </c:pt>
                <c:pt idx="38">
                  <c:v>237838.98242523317</c:v>
                </c:pt>
                <c:pt idx="39">
                  <c:v>237990.9420093481</c:v>
                </c:pt>
                <c:pt idx="40">
                  <c:v>238140.46527735869</c:v>
                </c:pt>
                <c:pt idx="41">
                  <c:v>238287.68058035558</c:v>
                </c:pt>
                <c:pt idx="42">
                  <c:v>238432.70716579747</c:v>
                </c:pt>
                <c:pt idx="43">
                  <c:v>238575.65605181284</c:v>
                </c:pt>
                <c:pt idx="44">
                  <c:v>238716.63079892809</c:v>
                </c:pt>
                <c:pt idx="45">
                  <c:v>238855.72819341163</c:v>
                </c:pt>
                <c:pt idx="46">
                  <c:v>238993.03885419454</c:v>
                </c:pt>
                <c:pt idx="47">
                  <c:v>239128.64777346377</c:v>
                </c:pt>
                <c:pt idx="48">
                  <c:v>239262.63479951042</c:v>
                </c:pt>
                <c:pt idx="49">
                  <c:v>239395.07506912813</c:v>
                </c:pt>
                <c:pt idx="50">
                  <c:v>239526.03939581793</c:v>
                </c:pt>
                <c:pt idx="51">
                  <c:v>239655.59461915548</c:v>
                </c:pt>
                <c:pt idx="52">
                  <c:v>239783.80391994081</c:v>
                </c:pt>
                <c:pt idx="53">
                  <c:v>239910.72710511208</c:v>
                </c:pt>
                <c:pt idx="54">
                  <c:v>240036.42086588294</c:v>
                </c:pt>
                <c:pt idx="55">
                  <c:v>240160.93901210694</c:v>
                </c:pt>
                <c:pt idx="56">
                  <c:v>240284.33268547914</c:v>
                </c:pt>
                <c:pt idx="57">
                  <c:v>240406.65055386935</c:v>
                </c:pt>
                <c:pt idx="58">
                  <c:v>240527.93898878738</c:v>
                </c:pt>
                <c:pt idx="59">
                  <c:v>240648.24222773782</c:v>
                </c:pt>
                <c:pt idx="60">
                  <c:v>240767.60252302021</c:v>
                </c:pt>
                <c:pt idx="61">
                  <c:v>240886.06027833864</c:v>
                </c:pt>
                <c:pt idx="62">
                  <c:v>241003.65417442916</c:v>
                </c:pt>
                <c:pt idx="63">
                  <c:v>241120.42128478695</c:v>
                </c:pt>
                <c:pt idx="64">
                  <c:v>241236.39718243698</c:v>
                </c:pt>
                <c:pt idx="65">
                  <c:v>241351.6160386001</c:v>
                </c:pt>
                <c:pt idx="66">
                  <c:v>241466.11071402044</c:v>
                </c:pt>
                <c:pt idx="67">
                  <c:v>241579.91284361624</c:v>
                </c:pt>
                <c:pt idx="68">
                  <c:v>241693.05291507687</c:v>
                </c:pt>
                <c:pt idx="69">
                  <c:v>241805.56034193642</c:v>
                </c:pt>
                <c:pt idx="70">
                  <c:v>241917.46353162589</c:v>
                </c:pt>
                <c:pt idx="71">
                  <c:v>242028.78994893454</c:v>
                </c:pt>
                <c:pt idx="72">
                  <c:v>242139.56617528654</c:v>
                </c:pt>
                <c:pt idx="73">
                  <c:v>242249.81796418448</c:v>
                </c:pt>
                <c:pt idx="74">
                  <c:v>242359.57029315628</c:v>
                </c:pt>
                <c:pt idx="75">
                  <c:v>242468.84741248941</c:v>
                </c:pt>
                <c:pt idx="76">
                  <c:v>242577.67289102639</c:v>
                </c:pt>
                <c:pt idx="77">
                  <c:v>242686.06965927128</c:v>
                </c:pt>
                <c:pt idx="78">
                  <c:v>242794.06005001816</c:v>
                </c:pt>
                <c:pt idx="79">
                  <c:v>242901.66583671505</c:v>
                </c:pt>
                <c:pt idx="80">
                  <c:v>243008.90826974594</c:v>
                </c:pt>
                <c:pt idx="81">
                  <c:v>243115.8081108038</c:v>
                </c:pt>
                <c:pt idx="82">
                  <c:v>243222.38566550546</c:v>
                </c:pt>
                <c:pt idx="83">
                  <c:v>243328.66081440318</c:v>
                </c:pt>
                <c:pt idx="84">
                  <c:v>243434.65304251714</c:v>
                </c:pt>
                <c:pt idx="85">
                  <c:v>243540.38146751601</c:v>
                </c:pt>
                <c:pt idx="86">
                  <c:v>243645.86486665954</c:v>
                </c:pt>
                <c:pt idx="87">
                  <c:v>243751.12170261014</c:v>
                </c:pt>
                <c:pt idx="88">
                  <c:v>243856.17014820891</c:v>
                </c:pt>
                <c:pt idx="89">
                  <c:v>243961.0281103118</c:v>
                </c:pt>
                <c:pt idx="90">
                  <c:v>244065.71325276978</c:v>
                </c:pt>
                <c:pt idx="91">
                  <c:v>244170.24301863683</c:v>
                </c:pt>
                <c:pt idx="92">
                  <c:v>244274.63465167716</c:v>
                </c:pt>
                <c:pt idx="93">
                  <c:v>244378.90521724973</c:v>
                </c:pt>
                <c:pt idx="94">
                  <c:v>244483.0716226325</c:v>
                </c:pt>
                <c:pt idx="95">
                  <c:v>244587.15063685665</c:v>
                </c:pt>
                <c:pt idx="96">
                  <c:v>244691.15891010963</c:v>
                </c:pt>
                <c:pt idx="97">
                  <c:v>244795.11299276864</c:v>
                </c:pt>
                <c:pt idx="98">
                  <c:v>244899.0293541188</c:v>
                </c:pt>
                <c:pt idx="99">
                  <c:v>245002.92440081699</c:v>
                </c:pt>
                <c:pt idx="100">
                  <c:v>245106.81449515271</c:v>
                </c:pt>
                <c:pt idx="101">
                  <c:v>245210.71597315581</c:v>
                </c:pt>
                <c:pt idx="102">
                  <c:v>245314.64516261089</c:v>
                </c:pt>
                <c:pt idx="103">
                  <c:v>245418.61840102353</c:v>
                </c:pt>
                <c:pt idx="104">
                  <c:v>245522.652053592</c:v>
                </c:pt>
                <c:pt idx="105">
                  <c:v>245626.76253123538</c:v>
                </c:pt>
                <c:pt idx="106">
                  <c:v>245730.96630873019</c:v>
                </c:pt>
                <c:pt idx="107">
                  <c:v>245835.27994300856</c:v>
                </c:pt>
                <c:pt idx="108">
                  <c:v>245939.72009166586</c:v>
                </c:pt>
                <c:pt idx="109">
                  <c:v>246044.30353173806</c:v>
                </c:pt>
                <c:pt idx="110">
                  <c:v>246149.04717880159</c:v>
                </c:pt>
                <c:pt idx="111">
                  <c:v>246253.96810644964</c:v>
                </c:pt>
                <c:pt idx="112">
                  <c:v>246359.08356620895</c:v>
                </c:pt>
                <c:pt idx="113">
                  <c:v>246464.41100795552</c:v>
                </c:pt>
                <c:pt idx="114">
                  <c:v>246569.96810089526</c:v>
                </c:pt>
                <c:pt idx="115">
                  <c:v>246675.77275517321</c:v>
                </c:pt>
                <c:pt idx="116">
                  <c:v>246781.84314418794</c:v>
                </c:pt>
                <c:pt idx="117">
                  <c:v>246888.19772767957</c:v>
                </c:pt>
                <c:pt idx="118">
                  <c:v>246994.85527567685</c:v>
                </c:pt>
                <c:pt idx="119">
                  <c:v>247101.83489338317</c:v>
                </c:pt>
                <c:pt idx="120">
                  <c:v>247209.15604709357</c:v>
                </c:pt>
                <c:pt idx="121">
                  <c:v>247316.83859123738</c:v>
                </c:pt>
                <c:pt idx="122">
                  <c:v>247424.90279665284</c:v>
                </c:pt>
                <c:pt idx="123">
                  <c:v>247533.3693802011</c:v>
                </c:pt>
                <c:pt idx="124">
                  <c:v>247642.25953584057</c:v>
                </c:pt>
                <c:pt idx="125">
                  <c:v>247751.59496728933</c:v>
                </c:pt>
                <c:pt idx="126">
                  <c:v>247861.39792242087</c:v>
                </c:pt>
                <c:pt idx="127">
                  <c:v>247971.69122953276</c:v>
                </c:pt>
                <c:pt idx="128">
                  <c:v>248082.49833566562</c:v>
                </c:pt>
                <c:pt idx="129">
                  <c:v>248193.84334714289</c:v>
                </c:pt>
                <c:pt idx="130">
                  <c:v>248305.75107252956</c:v>
                </c:pt>
                <c:pt idx="131">
                  <c:v>248418.24706821833</c:v>
                </c:pt>
                <c:pt idx="132">
                  <c:v>248531.35768688706</c:v>
                </c:pt>
                <c:pt idx="133">
                  <c:v>248645.11012906715</c:v>
                </c:pt>
                <c:pt idx="134">
                  <c:v>248759.53249811771</c:v>
                </c:pt>
                <c:pt idx="135">
                  <c:v>248874.65385890377</c:v>
                </c:pt>
                <c:pt idx="136">
                  <c:v>248990.5043005218</c:v>
                </c:pt>
                <c:pt idx="137">
                  <c:v>249107.11500344815</c:v>
                </c:pt>
                <c:pt idx="138">
                  <c:v>249224.51831151912</c:v>
                </c:pt>
                <c:pt idx="139">
                  <c:v>249342.74780920893</c:v>
                </c:pt>
                <c:pt idx="140">
                  <c:v>249461.83840470237</c:v>
                </c:pt>
                <c:pt idx="141">
                  <c:v>249581.82641933943</c:v>
                </c:pt>
                <c:pt idx="142">
                  <c:v>249702.74968404524</c:v>
                </c:pt>
                <c:pt idx="143">
                  <c:v>249824.647643462</c:v>
                </c:pt>
                <c:pt idx="144">
                  <c:v>249947.56146854869</c:v>
                </c:pt>
                <c:pt idx="145">
                  <c:v>250071.5341785333</c:v>
                </c:pt>
                <c:pt idx="146">
                  <c:v>250196.61077320023</c:v>
                </c:pt>
                <c:pt idx="147">
                  <c:v>250322.83837660708</c:v>
                </c:pt>
                <c:pt idx="148">
                  <c:v>250450.26639347945</c:v>
                </c:pt>
                <c:pt idx="149">
                  <c:v>250578.94667968445</c:v>
                </c:pt>
                <c:pt idx="150">
                  <c:v>250708.93372836133</c:v>
                </c:pt>
                <c:pt idx="151">
                  <c:v>250840.28487351193</c:v>
                </c:pt>
                <c:pt idx="152">
                  <c:v>250973.06051308784</c:v>
                </c:pt>
                <c:pt idx="153">
                  <c:v>251107.32435389434</c:v>
                </c:pt>
                <c:pt idx="154">
                  <c:v>251243.14368097266</c:v>
                </c:pt>
                <c:pt idx="155">
                  <c:v>251380.58965448738</c:v>
                </c:pt>
                <c:pt idx="156">
                  <c:v>251519.73763761643</c:v>
                </c:pt>
                <c:pt idx="157">
                  <c:v>251660.66755944671</c:v>
                </c:pt>
                <c:pt idx="158">
                  <c:v>251803.46431751936</c:v>
                </c:pt>
                <c:pt idx="159">
                  <c:v>251948.21822538826</c:v>
                </c:pt>
                <c:pt idx="160">
                  <c:v>252095.02551142705</c:v>
                </c:pt>
                <c:pt idx="161">
                  <c:v>252243.9888761669</c:v>
                </c:pt>
                <c:pt idx="162">
                  <c:v>252395.21811666217</c:v>
                </c:pt>
                <c:pt idx="163">
                  <c:v>252548.83082788656</c:v>
                </c:pt>
                <c:pt idx="164">
                  <c:v>252704.95319293081</c:v>
                </c:pt>
                <c:pt idx="165">
                  <c:v>252863.72087595626</c:v>
                </c:pt>
                <c:pt idx="166">
                  <c:v>253025.28003446868</c:v>
                </c:pt>
                <c:pt idx="167">
                  <c:v>253189.78847070961</c:v>
                </c:pt>
                <c:pt idx="168">
                  <c:v>253357.4169459079</c:v>
                </c:pt>
                <c:pt idx="169">
                  <c:v>253528.35068601536</c:v>
                </c:pt>
                <c:pt idx="170">
                  <c:v>253702.79111362243</c:v>
                </c:pt>
                <c:pt idx="171">
                  <c:v>253880.95784833678</c:v>
                </c:pt>
                <c:pt idx="172">
                  <c:v>254063.09102746332</c:v>
                </c:pt>
                <c:pt idx="173">
                  <c:v>254249.45401092997</c:v>
                </c:pt>
                <c:pt idx="174">
                  <c:v>254440.33654987457</c:v>
                </c:pt>
                <c:pt idx="175">
                  <c:v>254636.05851819948</c:v>
                </c:pt>
                <c:pt idx="176">
                  <c:v>254836.97433224664</c:v>
                </c:pt>
                <c:pt idx="177">
                  <c:v>255043.47821757599</c:v>
                </c:pt>
                <c:pt idx="178">
                  <c:v>255256.01052655495</c:v>
                </c:pt>
                <c:pt idx="179">
                  <c:v>255475.06537026132</c:v>
                </c:pt>
                <c:pt idx="180">
                  <c:v>255701.19990894233</c:v>
                </c:pt>
                <c:pt idx="181">
                  <c:v>255935.04575569718</c:v>
                </c:pt>
                <c:pt idx="182">
                  <c:v>256177.32310105002</c:v>
                </c:pt>
                <c:pt idx="183">
                  <c:v>256428.85838103088</c:v>
                </c:pt>
                <c:pt idx="184">
                  <c:v>256690.60661819502</c:v>
                </c:pt>
                <c:pt idx="185">
                  <c:v>256963.68001038302</c:v>
                </c:pt>
                <c:pt idx="186">
                  <c:v>257249.38500078159</c:v>
                </c:pt>
                <c:pt idx="187">
                  <c:v>257549.27105768802</c:v>
                </c:pt>
                <c:pt idx="188">
                  <c:v>257865.19592990645</c:v>
                </c:pt>
                <c:pt idx="189">
                  <c:v>258199.41458236953</c:v>
                </c:pt>
                <c:pt idx="190">
                  <c:v>258554.70299949404</c:v>
                </c:pt>
                <c:pt idx="191">
                  <c:v>258934.53476950713</c:v>
                </c:pt>
                <c:pt idx="192">
                  <c:v>259343.34016455253</c:v>
                </c:pt>
                <c:pt idx="193">
                  <c:v>259786.89908494937</c:v>
                </c:pt>
                <c:pt idx="194">
                  <c:v>260272.96111420807</c:v>
                </c:pt>
                <c:pt idx="195">
                  <c:v>260812.27220474949</c:v>
                </c:pt>
                <c:pt idx="196">
                  <c:v>261420.37954000311</c:v>
                </c:pt>
                <c:pt idx="197">
                  <c:v>262121.05721885813</c:v>
                </c:pt>
                <c:pt idx="198">
                  <c:v>262953.50774015189</c:v>
                </c:pt>
                <c:pt idx="199">
                  <c:v>263989.84874163388</c:v>
                </c:pt>
                <c:pt idx="200">
                  <c:v>265388.18151697639</c:v>
                </c:pt>
                <c:pt idx="201">
                  <c:v>267636.13563737698</c:v>
                </c:pt>
                <c:pt idx="202">
                  <c:v>272331.45365860121</c:v>
                </c:pt>
              </c:numCache>
            </c:numRef>
          </c:xVal>
          <c:yVal>
            <c:numRef>
              <c:f>'Mack_Metodo 2'!$D$96:$D$298</c:f>
              <c:numCache>
                <c:formatCode>General</c:formatCode>
                <c:ptCount val="203"/>
                <c:pt idx="0">
                  <c:v>1E-3</c:v>
                </c:pt>
                <c:pt idx="1">
                  <c:v>3.0000000000000001E-3</c:v>
                </c:pt>
                <c:pt idx="2">
                  <c:v>4.0000000000000001E-3</c:v>
                </c:pt>
                <c:pt idx="3" formatCode="0.0000">
                  <c:v>5.0000000000000001E-3</c:v>
                </c:pt>
                <c:pt idx="4" formatCode="0.0000">
                  <c:v>0.01</c:v>
                </c:pt>
                <c:pt idx="5" formatCode="0.0000">
                  <c:v>1.4999999999999999E-2</c:v>
                </c:pt>
                <c:pt idx="6" formatCode="0.0000">
                  <c:v>0.02</c:v>
                </c:pt>
                <c:pt idx="7" formatCode="0.0000">
                  <c:v>2.5000000000000001E-2</c:v>
                </c:pt>
                <c:pt idx="8" formatCode="0.0000">
                  <c:v>3.0000000000000002E-2</c:v>
                </c:pt>
                <c:pt idx="9" formatCode="0.0000">
                  <c:v>3.5000000000000003E-2</c:v>
                </c:pt>
                <c:pt idx="10" formatCode="0.0000">
                  <c:v>0.04</c:v>
                </c:pt>
                <c:pt idx="11" formatCode="0.0000">
                  <c:v>4.4999999999999998E-2</c:v>
                </c:pt>
                <c:pt idx="12" formatCode="0.0000">
                  <c:v>4.9999999999999996E-2</c:v>
                </c:pt>
                <c:pt idx="13" formatCode="0.0000">
                  <c:v>5.4999999999999993E-2</c:v>
                </c:pt>
                <c:pt idx="14" formatCode="0.0000">
                  <c:v>5.9999999999999991E-2</c:v>
                </c:pt>
                <c:pt idx="15" formatCode="0.0000">
                  <c:v>6.4999999999999988E-2</c:v>
                </c:pt>
                <c:pt idx="16" formatCode="0.0000">
                  <c:v>6.9999999999999993E-2</c:v>
                </c:pt>
                <c:pt idx="17" formatCode="0.0000">
                  <c:v>7.4999999999999997E-2</c:v>
                </c:pt>
                <c:pt idx="18" formatCode="0.0000">
                  <c:v>0.08</c:v>
                </c:pt>
                <c:pt idx="19" formatCode="0.0000">
                  <c:v>8.5000000000000006E-2</c:v>
                </c:pt>
                <c:pt idx="20" formatCode="0.0000">
                  <c:v>9.0000000000000011E-2</c:v>
                </c:pt>
                <c:pt idx="21" formatCode="0.0000">
                  <c:v>9.5000000000000015E-2</c:v>
                </c:pt>
                <c:pt idx="22" formatCode="0.0000">
                  <c:v>0.10000000000000002</c:v>
                </c:pt>
                <c:pt idx="23" formatCode="0.0000">
                  <c:v>0.10500000000000002</c:v>
                </c:pt>
                <c:pt idx="24" formatCode="0.0000">
                  <c:v>0.11000000000000003</c:v>
                </c:pt>
                <c:pt idx="25" formatCode="0.0000">
                  <c:v>0.11500000000000003</c:v>
                </c:pt>
                <c:pt idx="26" formatCode="0.0000">
                  <c:v>0.12000000000000004</c:v>
                </c:pt>
                <c:pt idx="27" formatCode="0.0000">
                  <c:v>0.12500000000000003</c:v>
                </c:pt>
                <c:pt idx="28" formatCode="0.0000">
                  <c:v>0.13000000000000003</c:v>
                </c:pt>
                <c:pt idx="29" formatCode="0.0000">
                  <c:v>0.13500000000000004</c:v>
                </c:pt>
                <c:pt idx="30" formatCode="0.0000">
                  <c:v>0.14000000000000004</c:v>
                </c:pt>
                <c:pt idx="31" formatCode="0.0000">
                  <c:v>0.14500000000000005</c:v>
                </c:pt>
                <c:pt idx="32" formatCode="0.0000">
                  <c:v>0.15000000000000005</c:v>
                </c:pt>
                <c:pt idx="33" formatCode="0.0000">
                  <c:v>0.15500000000000005</c:v>
                </c:pt>
                <c:pt idx="34" formatCode="0.0000">
                  <c:v>0.16000000000000006</c:v>
                </c:pt>
                <c:pt idx="35" formatCode="0.0000">
                  <c:v>0.16500000000000006</c:v>
                </c:pt>
                <c:pt idx="36" formatCode="0.0000">
                  <c:v>0.17000000000000007</c:v>
                </c:pt>
                <c:pt idx="37" formatCode="0.0000">
                  <c:v>0.17500000000000007</c:v>
                </c:pt>
                <c:pt idx="38" formatCode="0.0000">
                  <c:v>0.18000000000000008</c:v>
                </c:pt>
                <c:pt idx="39" formatCode="0.0000">
                  <c:v>0.18500000000000008</c:v>
                </c:pt>
                <c:pt idx="40" formatCode="0.0000">
                  <c:v>0.19000000000000009</c:v>
                </c:pt>
                <c:pt idx="41" formatCode="0.0000">
                  <c:v>0.19500000000000009</c:v>
                </c:pt>
                <c:pt idx="42" formatCode="0.0000">
                  <c:v>0.20000000000000009</c:v>
                </c:pt>
                <c:pt idx="43" formatCode="0.0000">
                  <c:v>0.2050000000000001</c:v>
                </c:pt>
                <c:pt idx="44" formatCode="0.0000">
                  <c:v>0.2100000000000001</c:v>
                </c:pt>
                <c:pt idx="45" formatCode="0.0000">
                  <c:v>0.21500000000000011</c:v>
                </c:pt>
                <c:pt idx="46" formatCode="0.0000">
                  <c:v>0.22000000000000011</c:v>
                </c:pt>
                <c:pt idx="47" formatCode="0.0000">
                  <c:v>0.22500000000000012</c:v>
                </c:pt>
                <c:pt idx="48" formatCode="0.0000">
                  <c:v>0.23000000000000012</c:v>
                </c:pt>
                <c:pt idx="49" formatCode="0.0000">
                  <c:v>0.23500000000000013</c:v>
                </c:pt>
                <c:pt idx="50" formatCode="0.0000">
                  <c:v>0.24000000000000013</c:v>
                </c:pt>
                <c:pt idx="51" formatCode="0.0000">
                  <c:v>0.24500000000000013</c:v>
                </c:pt>
                <c:pt idx="52" formatCode="0.0000">
                  <c:v>0.25000000000000011</c:v>
                </c:pt>
                <c:pt idx="53" formatCode="0.0000">
                  <c:v>0.25500000000000012</c:v>
                </c:pt>
                <c:pt idx="54" formatCode="0.0000">
                  <c:v>0.26000000000000012</c:v>
                </c:pt>
                <c:pt idx="55" formatCode="0.0000">
                  <c:v>0.26500000000000012</c:v>
                </c:pt>
                <c:pt idx="56" formatCode="0.0000">
                  <c:v>0.27000000000000013</c:v>
                </c:pt>
                <c:pt idx="57" formatCode="0.0000">
                  <c:v>0.27500000000000013</c:v>
                </c:pt>
                <c:pt idx="58" formatCode="0.0000">
                  <c:v>0.28000000000000014</c:v>
                </c:pt>
                <c:pt idx="59" formatCode="0.0000">
                  <c:v>0.28500000000000014</c:v>
                </c:pt>
                <c:pt idx="60" formatCode="0.0000">
                  <c:v>0.29000000000000015</c:v>
                </c:pt>
                <c:pt idx="61" formatCode="0.0000">
                  <c:v>0.29500000000000015</c:v>
                </c:pt>
                <c:pt idx="62" formatCode="0.0000">
                  <c:v>0.30000000000000016</c:v>
                </c:pt>
                <c:pt idx="63" formatCode="0.0000">
                  <c:v>0.30500000000000016</c:v>
                </c:pt>
                <c:pt idx="64" formatCode="0.0000">
                  <c:v>0.31000000000000016</c:v>
                </c:pt>
                <c:pt idx="65" formatCode="0.0000">
                  <c:v>0.31500000000000017</c:v>
                </c:pt>
                <c:pt idx="66" formatCode="0.0000">
                  <c:v>0.32000000000000017</c:v>
                </c:pt>
                <c:pt idx="67" formatCode="0.0000">
                  <c:v>0.32500000000000018</c:v>
                </c:pt>
                <c:pt idx="68" formatCode="0.0000">
                  <c:v>0.33000000000000018</c:v>
                </c:pt>
                <c:pt idx="69" formatCode="0.0000">
                  <c:v>0.33500000000000019</c:v>
                </c:pt>
                <c:pt idx="70" formatCode="0.0000">
                  <c:v>0.34000000000000019</c:v>
                </c:pt>
                <c:pt idx="71" formatCode="0.0000">
                  <c:v>0.3450000000000002</c:v>
                </c:pt>
                <c:pt idx="72" formatCode="0.0000">
                  <c:v>0.3500000000000002</c:v>
                </c:pt>
                <c:pt idx="73" formatCode="0.0000">
                  <c:v>0.3550000000000002</c:v>
                </c:pt>
                <c:pt idx="74" formatCode="0.0000">
                  <c:v>0.36000000000000021</c:v>
                </c:pt>
                <c:pt idx="75" formatCode="0.0000">
                  <c:v>0.36500000000000021</c:v>
                </c:pt>
                <c:pt idx="76" formatCode="0.0000">
                  <c:v>0.37000000000000022</c:v>
                </c:pt>
                <c:pt idx="77" formatCode="0.0000">
                  <c:v>0.37500000000000022</c:v>
                </c:pt>
                <c:pt idx="78" formatCode="0.0000">
                  <c:v>0.38000000000000023</c:v>
                </c:pt>
                <c:pt idx="79" formatCode="0.0000">
                  <c:v>0.38500000000000023</c:v>
                </c:pt>
                <c:pt idx="80" formatCode="0.0000">
                  <c:v>0.39000000000000024</c:v>
                </c:pt>
                <c:pt idx="81" formatCode="0.0000">
                  <c:v>0.39500000000000024</c:v>
                </c:pt>
                <c:pt idx="82" formatCode="0.0000">
                  <c:v>0.40000000000000024</c:v>
                </c:pt>
                <c:pt idx="83" formatCode="0.0000">
                  <c:v>0.40500000000000025</c:v>
                </c:pt>
                <c:pt idx="84" formatCode="0.0000">
                  <c:v>0.41000000000000025</c:v>
                </c:pt>
                <c:pt idx="85" formatCode="0.0000">
                  <c:v>0.41500000000000026</c:v>
                </c:pt>
                <c:pt idx="86" formatCode="0.0000">
                  <c:v>0.42000000000000026</c:v>
                </c:pt>
                <c:pt idx="87" formatCode="0.0000">
                  <c:v>0.42500000000000027</c:v>
                </c:pt>
                <c:pt idx="88" formatCode="0.0000">
                  <c:v>0.43000000000000027</c:v>
                </c:pt>
                <c:pt idx="89" formatCode="0.0000">
                  <c:v>0.43500000000000028</c:v>
                </c:pt>
                <c:pt idx="90" formatCode="0.0000">
                  <c:v>0.44000000000000028</c:v>
                </c:pt>
                <c:pt idx="91" formatCode="0.0000">
                  <c:v>0.44500000000000028</c:v>
                </c:pt>
                <c:pt idx="92" formatCode="0.0000">
                  <c:v>0.45000000000000029</c:v>
                </c:pt>
                <c:pt idx="93" formatCode="0.0000">
                  <c:v>0.45500000000000029</c:v>
                </c:pt>
                <c:pt idx="94" formatCode="0.0000">
                  <c:v>0.4600000000000003</c:v>
                </c:pt>
                <c:pt idx="95" formatCode="0.0000">
                  <c:v>0.4650000000000003</c:v>
                </c:pt>
                <c:pt idx="96" formatCode="0.0000">
                  <c:v>0.47000000000000031</c:v>
                </c:pt>
                <c:pt idx="97" formatCode="0.0000">
                  <c:v>0.47500000000000031</c:v>
                </c:pt>
                <c:pt idx="98" formatCode="0.0000">
                  <c:v>0.48000000000000032</c:v>
                </c:pt>
                <c:pt idx="99" formatCode="0.0000">
                  <c:v>0.48500000000000032</c:v>
                </c:pt>
                <c:pt idx="100" formatCode="0.0000">
                  <c:v>0.49000000000000032</c:v>
                </c:pt>
                <c:pt idx="101" formatCode="0.0000">
                  <c:v>0.49500000000000033</c:v>
                </c:pt>
                <c:pt idx="102" formatCode="0.0000">
                  <c:v>0.50000000000000033</c:v>
                </c:pt>
                <c:pt idx="103" formatCode="0.0000">
                  <c:v>0.50500000000000034</c:v>
                </c:pt>
                <c:pt idx="104" formatCode="0.0000">
                  <c:v>0.51000000000000034</c:v>
                </c:pt>
                <c:pt idx="105" formatCode="0.0000">
                  <c:v>0.51500000000000035</c:v>
                </c:pt>
                <c:pt idx="106" formatCode="0.0000">
                  <c:v>0.52000000000000035</c:v>
                </c:pt>
                <c:pt idx="107" formatCode="0.0000">
                  <c:v>0.52500000000000036</c:v>
                </c:pt>
                <c:pt idx="108" formatCode="0.0000">
                  <c:v>0.53000000000000036</c:v>
                </c:pt>
                <c:pt idx="109" formatCode="0.0000">
                  <c:v>0.53500000000000036</c:v>
                </c:pt>
                <c:pt idx="110" formatCode="0.0000">
                  <c:v>0.54000000000000037</c:v>
                </c:pt>
                <c:pt idx="111" formatCode="0.0000">
                  <c:v>0.54500000000000037</c:v>
                </c:pt>
                <c:pt idx="112" formatCode="0.0000">
                  <c:v>0.55000000000000038</c:v>
                </c:pt>
                <c:pt idx="113" formatCode="0.0000">
                  <c:v>0.55500000000000038</c:v>
                </c:pt>
                <c:pt idx="114" formatCode="0.0000">
                  <c:v>0.56000000000000039</c:v>
                </c:pt>
                <c:pt idx="115" formatCode="0.0000">
                  <c:v>0.56500000000000039</c:v>
                </c:pt>
                <c:pt idx="116" formatCode="0.0000">
                  <c:v>0.5700000000000004</c:v>
                </c:pt>
                <c:pt idx="117" formatCode="0.0000">
                  <c:v>0.5750000000000004</c:v>
                </c:pt>
                <c:pt idx="118" formatCode="0.0000">
                  <c:v>0.5800000000000004</c:v>
                </c:pt>
                <c:pt idx="119" formatCode="0.0000">
                  <c:v>0.58500000000000041</c:v>
                </c:pt>
                <c:pt idx="120" formatCode="0.0000">
                  <c:v>0.59000000000000041</c:v>
                </c:pt>
                <c:pt idx="121" formatCode="0.0000">
                  <c:v>0.59500000000000042</c:v>
                </c:pt>
                <c:pt idx="122" formatCode="0.0000">
                  <c:v>0.60000000000000042</c:v>
                </c:pt>
                <c:pt idx="123" formatCode="0.0000">
                  <c:v>0.60500000000000043</c:v>
                </c:pt>
                <c:pt idx="124" formatCode="0.0000">
                  <c:v>0.61000000000000043</c:v>
                </c:pt>
                <c:pt idx="125" formatCode="0.0000">
                  <c:v>0.61500000000000044</c:v>
                </c:pt>
                <c:pt idx="126" formatCode="0.0000">
                  <c:v>0.62000000000000044</c:v>
                </c:pt>
                <c:pt idx="127" formatCode="0.0000">
                  <c:v>0.62500000000000044</c:v>
                </c:pt>
                <c:pt idx="128" formatCode="0.0000">
                  <c:v>0.63000000000000045</c:v>
                </c:pt>
                <c:pt idx="129" formatCode="0.0000">
                  <c:v>0.63500000000000045</c:v>
                </c:pt>
                <c:pt idx="130" formatCode="0.0000">
                  <c:v>0.64000000000000046</c:v>
                </c:pt>
                <c:pt idx="131" formatCode="0.0000">
                  <c:v>0.64500000000000046</c:v>
                </c:pt>
                <c:pt idx="132" formatCode="0.0000">
                  <c:v>0.65000000000000047</c:v>
                </c:pt>
                <c:pt idx="133" formatCode="0.0000">
                  <c:v>0.65500000000000047</c:v>
                </c:pt>
                <c:pt idx="134" formatCode="0.0000">
                  <c:v>0.66000000000000048</c:v>
                </c:pt>
                <c:pt idx="135" formatCode="0.0000">
                  <c:v>0.66500000000000048</c:v>
                </c:pt>
                <c:pt idx="136" formatCode="0.0000">
                  <c:v>0.67000000000000048</c:v>
                </c:pt>
                <c:pt idx="137" formatCode="0.0000">
                  <c:v>0.67500000000000049</c:v>
                </c:pt>
                <c:pt idx="138" formatCode="0.0000">
                  <c:v>0.68000000000000049</c:v>
                </c:pt>
                <c:pt idx="139" formatCode="0.0000">
                  <c:v>0.6850000000000005</c:v>
                </c:pt>
                <c:pt idx="140" formatCode="0.0000">
                  <c:v>0.6900000000000005</c:v>
                </c:pt>
                <c:pt idx="141" formatCode="0.0000">
                  <c:v>0.69500000000000051</c:v>
                </c:pt>
                <c:pt idx="142" formatCode="0.0000">
                  <c:v>0.70000000000000051</c:v>
                </c:pt>
                <c:pt idx="143" formatCode="0.0000">
                  <c:v>0.70500000000000052</c:v>
                </c:pt>
                <c:pt idx="144" formatCode="0.0000">
                  <c:v>0.71000000000000052</c:v>
                </c:pt>
                <c:pt idx="145" formatCode="0.0000">
                  <c:v>0.71500000000000052</c:v>
                </c:pt>
                <c:pt idx="146" formatCode="0.0000">
                  <c:v>0.72000000000000053</c:v>
                </c:pt>
                <c:pt idx="147" formatCode="0.0000">
                  <c:v>0.72500000000000053</c:v>
                </c:pt>
                <c:pt idx="148" formatCode="0.0000">
                  <c:v>0.73000000000000054</c:v>
                </c:pt>
                <c:pt idx="149" formatCode="0.0000">
                  <c:v>0.73500000000000054</c:v>
                </c:pt>
                <c:pt idx="150" formatCode="0.0000">
                  <c:v>0.74000000000000055</c:v>
                </c:pt>
                <c:pt idx="151" formatCode="0.0000">
                  <c:v>0.74500000000000055</c:v>
                </c:pt>
                <c:pt idx="152" formatCode="0.0000">
                  <c:v>0.75000000000000056</c:v>
                </c:pt>
                <c:pt idx="153" formatCode="0.0000">
                  <c:v>0.75500000000000056</c:v>
                </c:pt>
                <c:pt idx="154" formatCode="0.0000">
                  <c:v>0.76000000000000056</c:v>
                </c:pt>
                <c:pt idx="155" formatCode="0.0000">
                  <c:v>0.76500000000000057</c:v>
                </c:pt>
                <c:pt idx="156" formatCode="0.0000">
                  <c:v>0.77000000000000057</c:v>
                </c:pt>
                <c:pt idx="157" formatCode="0.0000">
                  <c:v>0.77500000000000058</c:v>
                </c:pt>
                <c:pt idx="158" formatCode="0.0000">
                  <c:v>0.78000000000000058</c:v>
                </c:pt>
                <c:pt idx="159" formatCode="0.0000">
                  <c:v>0.78500000000000059</c:v>
                </c:pt>
                <c:pt idx="160" formatCode="0.0000">
                  <c:v>0.79000000000000059</c:v>
                </c:pt>
                <c:pt idx="161" formatCode="0.0000">
                  <c:v>0.7950000000000006</c:v>
                </c:pt>
                <c:pt idx="162" formatCode="0.0000">
                  <c:v>0.8000000000000006</c:v>
                </c:pt>
                <c:pt idx="163" formatCode="0.0000">
                  <c:v>0.8050000000000006</c:v>
                </c:pt>
                <c:pt idx="164" formatCode="0.0000">
                  <c:v>0.81000000000000061</c:v>
                </c:pt>
                <c:pt idx="165" formatCode="0.0000">
                  <c:v>0.81500000000000061</c:v>
                </c:pt>
                <c:pt idx="166" formatCode="0.0000">
                  <c:v>0.82000000000000062</c:v>
                </c:pt>
                <c:pt idx="167" formatCode="0.0000">
                  <c:v>0.82500000000000062</c:v>
                </c:pt>
                <c:pt idx="168" formatCode="0.0000">
                  <c:v>0.83000000000000063</c:v>
                </c:pt>
                <c:pt idx="169" formatCode="0.0000">
                  <c:v>0.83500000000000063</c:v>
                </c:pt>
                <c:pt idx="170" formatCode="0.0000">
                  <c:v>0.84000000000000064</c:v>
                </c:pt>
                <c:pt idx="171" formatCode="0.0000">
                  <c:v>0.84500000000000064</c:v>
                </c:pt>
                <c:pt idx="172" formatCode="0.0000">
                  <c:v>0.85000000000000064</c:v>
                </c:pt>
                <c:pt idx="173" formatCode="0.0000">
                  <c:v>0.85500000000000065</c:v>
                </c:pt>
                <c:pt idx="174" formatCode="0.0000">
                  <c:v>0.86000000000000065</c:v>
                </c:pt>
                <c:pt idx="175" formatCode="0.0000">
                  <c:v>0.86500000000000066</c:v>
                </c:pt>
                <c:pt idx="176" formatCode="0.0000">
                  <c:v>0.87000000000000066</c:v>
                </c:pt>
                <c:pt idx="177" formatCode="0.0000">
                  <c:v>0.87500000000000067</c:v>
                </c:pt>
                <c:pt idx="178" formatCode="0.0000">
                  <c:v>0.88000000000000067</c:v>
                </c:pt>
                <c:pt idx="179" formatCode="0.0000">
                  <c:v>0.88500000000000068</c:v>
                </c:pt>
                <c:pt idx="180" formatCode="0.0000">
                  <c:v>0.89000000000000068</c:v>
                </c:pt>
                <c:pt idx="181" formatCode="0.0000">
                  <c:v>0.89500000000000068</c:v>
                </c:pt>
                <c:pt idx="182" formatCode="0.0000">
                  <c:v>0.90000000000000069</c:v>
                </c:pt>
                <c:pt idx="183" formatCode="0.0000">
                  <c:v>0.90500000000000069</c:v>
                </c:pt>
                <c:pt idx="184" formatCode="0.0000">
                  <c:v>0.9100000000000007</c:v>
                </c:pt>
                <c:pt idx="185" formatCode="0.0000">
                  <c:v>0.9150000000000007</c:v>
                </c:pt>
                <c:pt idx="186" formatCode="0.0000">
                  <c:v>0.92000000000000071</c:v>
                </c:pt>
                <c:pt idx="187" formatCode="0.0000">
                  <c:v>0.92500000000000071</c:v>
                </c:pt>
                <c:pt idx="188" formatCode="0.0000">
                  <c:v>0.93000000000000071</c:v>
                </c:pt>
                <c:pt idx="189" formatCode="0.0000">
                  <c:v>0.93500000000000072</c:v>
                </c:pt>
                <c:pt idx="190" formatCode="0.0000">
                  <c:v>0.94000000000000072</c:v>
                </c:pt>
                <c:pt idx="191" formatCode="0.0000">
                  <c:v>0.94500000000000073</c:v>
                </c:pt>
                <c:pt idx="192" formatCode="0.0000">
                  <c:v>0.95000000000000073</c:v>
                </c:pt>
                <c:pt idx="193" formatCode="0.0000">
                  <c:v>0.95500000000000074</c:v>
                </c:pt>
                <c:pt idx="194" formatCode="0.0000">
                  <c:v>0.96000000000000074</c:v>
                </c:pt>
                <c:pt idx="195" formatCode="0.0000">
                  <c:v>0.96500000000000075</c:v>
                </c:pt>
                <c:pt idx="196" formatCode="0.0000">
                  <c:v>0.97000000000000075</c:v>
                </c:pt>
                <c:pt idx="197" formatCode="0.0000">
                  <c:v>0.97500000000000075</c:v>
                </c:pt>
                <c:pt idx="198" formatCode="0.0000">
                  <c:v>0.98000000000000076</c:v>
                </c:pt>
                <c:pt idx="199" formatCode="0.0000">
                  <c:v>0.98500000000000076</c:v>
                </c:pt>
                <c:pt idx="200" formatCode="0.0000">
                  <c:v>0.99000000000000077</c:v>
                </c:pt>
                <c:pt idx="201" formatCode="0.0000">
                  <c:v>0.99500000000000077</c:v>
                </c:pt>
                <c:pt idx="202" formatCode="0.0000">
                  <c:v>0.999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B91-41FB-9CAC-A1A77F00F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080672"/>
        <c:axId val="1230526064"/>
      </c:scatterChart>
      <c:valAx>
        <c:axId val="1944080672"/>
        <c:scaling>
          <c:orientation val="minMax"/>
          <c:max val="245000"/>
          <c:min val="2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_€_-;\-* #,##0\ _€_-;_-* &quot;-&quot;??\ _€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30526064"/>
        <c:crosses val="autoZero"/>
        <c:crossBetween val="midCat"/>
      </c:valAx>
      <c:valAx>
        <c:axId val="123052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4080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2409492563429571"/>
          <c:y val="0.17171296296296298"/>
          <c:w val="0.80549846894138233"/>
          <c:h val="0.6462164625255176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'Mack_Metodo 2'!$E$95</c:f>
              <c:strCache>
                <c:ptCount val="1"/>
                <c:pt idx="0">
                  <c:v>PDF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'Mack_Metodo 2'!$C$96:$C$298</c:f>
              <c:numCache>
                <c:formatCode>_-* #,##0\ _€_-;\-* #,##0\ _€_-;_-* "-"??\ _€_-;_-@_-</c:formatCode>
                <c:ptCount val="203"/>
                <c:pt idx="0">
                  <c:v>220978.05568467069</c:v>
                </c:pt>
                <c:pt idx="1">
                  <c:v>223551.40538355961</c:v>
                </c:pt>
                <c:pt idx="2">
                  <c:v>224275.97398324011</c:v>
                </c:pt>
                <c:pt idx="3">
                  <c:v>224854.82010095727</c:v>
                </c:pt>
                <c:pt idx="4">
                  <c:v>226759.43889915888</c:v>
                </c:pt>
                <c:pt idx="5">
                  <c:v>227960.56521913875</c:v>
                </c:pt>
                <c:pt idx="6">
                  <c:v>228858.99354773498</c:v>
                </c:pt>
                <c:pt idx="7">
                  <c:v>229585.80958648803</c:v>
                </c:pt>
                <c:pt idx="8">
                  <c:v>230201.16196430253</c:v>
                </c:pt>
                <c:pt idx="9">
                  <c:v>230737.89673522045</c:v>
                </c:pt>
                <c:pt idx="10">
                  <c:v>231216.00827698334</c:v>
                </c:pt>
                <c:pt idx="11">
                  <c:v>231648.61408803871</c:v>
                </c:pt>
                <c:pt idx="12">
                  <c:v>232044.80629066567</c:v>
                </c:pt>
                <c:pt idx="13">
                  <c:v>232411.15822895855</c:v>
                </c:pt>
                <c:pt idx="14">
                  <c:v>232752.58362395928</c:v>
                </c:pt>
                <c:pt idx="15">
                  <c:v>233072.85660812215</c:v>
                </c:pt>
                <c:pt idx="16">
                  <c:v>233374.94195073837</c:v>
                </c:pt>
                <c:pt idx="17">
                  <c:v>233661.21318890568</c:v>
                </c:pt>
                <c:pt idx="18">
                  <c:v>233933.60155583988</c:v>
                </c:pt>
                <c:pt idx="19">
                  <c:v>234193.70056042963</c:v>
                </c:pt>
                <c:pt idx="20">
                  <c:v>234442.84122468546</c:v>
                </c:pt>
                <c:pt idx="21">
                  <c:v>234682.14736516337</c:v>
                </c:pt>
                <c:pt idx="22">
                  <c:v>234912.57697122465</c:v>
                </c:pt>
                <c:pt idx="23">
                  <c:v>235134.95368938972</c:v>
                </c:pt>
                <c:pt idx="24">
                  <c:v>235349.99113296345</c:v>
                </c:pt>
                <c:pt idx="25">
                  <c:v>235558.31190037887</c:v>
                </c:pt>
                <c:pt idx="26">
                  <c:v>235760.46263168045</c:v>
                </c:pt>
                <c:pt idx="27">
                  <c:v>235956.92605760001</c:v>
                </c:pt>
                <c:pt idx="28">
                  <c:v>236148.13073709732</c:v>
                </c:pt>
                <c:pt idx="29">
                  <c:v>236334.45899790555</c:v>
                </c:pt>
                <c:pt idx="30">
                  <c:v>236516.2534654231</c:v>
                </c:pt>
                <c:pt idx="31">
                  <c:v>236693.82247196737</c:v>
                </c:pt>
                <c:pt idx="32">
                  <c:v>236867.44457010689</c:v>
                </c:pt>
                <c:pt idx="33">
                  <c:v>237037.37232316393</c:v>
                </c:pt>
                <c:pt idx="34">
                  <c:v>237203.8355080848</c:v>
                </c:pt>
                <c:pt idx="35">
                  <c:v>237367.04383718924</c:v>
                </c:pt>
                <c:pt idx="36">
                  <c:v>237527.18928337528</c:v>
                </c:pt>
                <c:pt idx="37">
                  <c:v>237684.44807646563</c:v>
                </c:pt>
                <c:pt idx="38">
                  <c:v>237838.98242523317</c:v>
                </c:pt>
                <c:pt idx="39">
                  <c:v>237990.9420093481</c:v>
                </c:pt>
                <c:pt idx="40">
                  <c:v>238140.46527735869</c:v>
                </c:pt>
                <c:pt idx="41">
                  <c:v>238287.68058035558</c:v>
                </c:pt>
                <c:pt idx="42">
                  <c:v>238432.70716579747</c:v>
                </c:pt>
                <c:pt idx="43">
                  <c:v>238575.65605181284</c:v>
                </c:pt>
                <c:pt idx="44">
                  <c:v>238716.63079892809</c:v>
                </c:pt>
                <c:pt idx="45">
                  <c:v>238855.72819341163</c:v>
                </c:pt>
                <c:pt idx="46">
                  <c:v>238993.03885419454</c:v>
                </c:pt>
                <c:pt idx="47">
                  <c:v>239128.64777346377</c:v>
                </c:pt>
                <c:pt idx="48">
                  <c:v>239262.63479951042</c:v>
                </c:pt>
                <c:pt idx="49">
                  <c:v>239395.07506912813</c:v>
                </c:pt>
                <c:pt idx="50">
                  <c:v>239526.03939581793</c:v>
                </c:pt>
                <c:pt idx="51">
                  <c:v>239655.59461915548</c:v>
                </c:pt>
                <c:pt idx="52">
                  <c:v>239783.80391994081</c:v>
                </c:pt>
                <c:pt idx="53">
                  <c:v>239910.72710511208</c:v>
                </c:pt>
                <c:pt idx="54">
                  <c:v>240036.42086588294</c:v>
                </c:pt>
                <c:pt idx="55">
                  <c:v>240160.93901210694</c:v>
                </c:pt>
                <c:pt idx="56">
                  <c:v>240284.33268547914</c:v>
                </c:pt>
                <c:pt idx="57">
                  <c:v>240406.65055386935</c:v>
                </c:pt>
                <c:pt idx="58">
                  <c:v>240527.93898878738</c:v>
                </c:pt>
                <c:pt idx="59">
                  <c:v>240648.24222773782</c:v>
                </c:pt>
                <c:pt idx="60">
                  <c:v>240767.60252302021</c:v>
                </c:pt>
                <c:pt idx="61">
                  <c:v>240886.06027833864</c:v>
                </c:pt>
                <c:pt idx="62">
                  <c:v>241003.65417442916</c:v>
                </c:pt>
                <c:pt idx="63">
                  <c:v>241120.42128478695</c:v>
                </c:pt>
                <c:pt idx="64">
                  <c:v>241236.39718243698</c:v>
                </c:pt>
                <c:pt idx="65">
                  <c:v>241351.6160386001</c:v>
                </c:pt>
                <c:pt idx="66">
                  <c:v>241466.11071402044</c:v>
                </c:pt>
                <c:pt idx="67">
                  <c:v>241579.91284361624</c:v>
                </c:pt>
                <c:pt idx="68">
                  <c:v>241693.05291507687</c:v>
                </c:pt>
                <c:pt idx="69">
                  <c:v>241805.56034193642</c:v>
                </c:pt>
                <c:pt idx="70">
                  <c:v>241917.46353162589</c:v>
                </c:pt>
                <c:pt idx="71">
                  <c:v>242028.78994893454</c:v>
                </c:pt>
                <c:pt idx="72">
                  <c:v>242139.56617528654</c:v>
                </c:pt>
                <c:pt idx="73">
                  <c:v>242249.81796418448</c:v>
                </c:pt>
                <c:pt idx="74">
                  <c:v>242359.57029315628</c:v>
                </c:pt>
                <c:pt idx="75">
                  <c:v>242468.84741248941</c:v>
                </c:pt>
                <c:pt idx="76">
                  <c:v>242577.67289102639</c:v>
                </c:pt>
                <c:pt idx="77">
                  <c:v>242686.06965927128</c:v>
                </c:pt>
                <c:pt idx="78">
                  <c:v>242794.06005001816</c:v>
                </c:pt>
                <c:pt idx="79">
                  <c:v>242901.66583671505</c:v>
                </c:pt>
                <c:pt idx="80">
                  <c:v>243008.90826974594</c:v>
                </c:pt>
                <c:pt idx="81">
                  <c:v>243115.8081108038</c:v>
                </c:pt>
                <c:pt idx="82">
                  <c:v>243222.38566550546</c:v>
                </c:pt>
                <c:pt idx="83">
                  <c:v>243328.66081440318</c:v>
                </c:pt>
                <c:pt idx="84">
                  <c:v>243434.65304251714</c:v>
                </c:pt>
                <c:pt idx="85">
                  <c:v>243540.38146751601</c:v>
                </c:pt>
                <c:pt idx="86">
                  <c:v>243645.86486665954</c:v>
                </c:pt>
                <c:pt idx="87">
                  <c:v>243751.12170261014</c:v>
                </c:pt>
                <c:pt idx="88">
                  <c:v>243856.17014820891</c:v>
                </c:pt>
                <c:pt idx="89">
                  <c:v>243961.0281103118</c:v>
                </c:pt>
                <c:pt idx="90">
                  <c:v>244065.71325276978</c:v>
                </c:pt>
                <c:pt idx="91">
                  <c:v>244170.24301863683</c:v>
                </c:pt>
                <c:pt idx="92">
                  <c:v>244274.63465167716</c:v>
                </c:pt>
                <c:pt idx="93">
                  <c:v>244378.90521724973</c:v>
                </c:pt>
                <c:pt idx="94">
                  <c:v>244483.0716226325</c:v>
                </c:pt>
                <c:pt idx="95">
                  <c:v>244587.15063685665</c:v>
                </c:pt>
                <c:pt idx="96">
                  <c:v>244691.15891010963</c:v>
                </c:pt>
                <c:pt idx="97">
                  <c:v>244795.11299276864</c:v>
                </c:pt>
                <c:pt idx="98">
                  <c:v>244899.0293541188</c:v>
                </c:pt>
                <c:pt idx="99">
                  <c:v>245002.92440081699</c:v>
                </c:pt>
                <c:pt idx="100">
                  <c:v>245106.81449515271</c:v>
                </c:pt>
                <c:pt idx="101">
                  <c:v>245210.71597315581</c:v>
                </c:pt>
                <c:pt idx="102">
                  <c:v>245314.64516261089</c:v>
                </c:pt>
                <c:pt idx="103">
                  <c:v>245418.61840102353</c:v>
                </c:pt>
                <c:pt idx="104">
                  <c:v>245522.652053592</c:v>
                </c:pt>
                <c:pt idx="105">
                  <c:v>245626.76253123538</c:v>
                </c:pt>
                <c:pt idx="106">
                  <c:v>245730.96630873019</c:v>
                </c:pt>
                <c:pt idx="107">
                  <c:v>245835.27994300856</c:v>
                </c:pt>
                <c:pt idx="108">
                  <c:v>245939.72009166586</c:v>
                </c:pt>
                <c:pt idx="109">
                  <c:v>246044.30353173806</c:v>
                </c:pt>
                <c:pt idx="110">
                  <c:v>246149.04717880159</c:v>
                </c:pt>
                <c:pt idx="111">
                  <c:v>246253.96810644964</c:v>
                </c:pt>
                <c:pt idx="112">
                  <c:v>246359.08356620895</c:v>
                </c:pt>
                <c:pt idx="113">
                  <c:v>246464.41100795552</c:v>
                </c:pt>
                <c:pt idx="114">
                  <c:v>246569.96810089526</c:v>
                </c:pt>
                <c:pt idx="115">
                  <c:v>246675.77275517321</c:v>
                </c:pt>
                <c:pt idx="116">
                  <c:v>246781.84314418794</c:v>
                </c:pt>
                <c:pt idx="117">
                  <c:v>246888.19772767957</c:v>
                </c:pt>
                <c:pt idx="118">
                  <c:v>246994.85527567685</c:v>
                </c:pt>
                <c:pt idx="119">
                  <c:v>247101.83489338317</c:v>
                </c:pt>
                <c:pt idx="120">
                  <c:v>247209.15604709357</c:v>
                </c:pt>
                <c:pt idx="121">
                  <c:v>247316.83859123738</c:v>
                </c:pt>
                <c:pt idx="122">
                  <c:v>247424.90279665284</c:v>
                </c:pt>
                <c:pt idx="123">
                  <c:v>247533.3693802011</c:v>
                </c:pt>
                <c:pt idx="124">
                  <c:v>247642.25953584057</c:v>
                </c:pt>
                <c:pt idx="125">
                  <c:v>247751.59496728933</c:v>
                </c:pt>
                <c:pt idx="126">
                  <c:v>247861.39792242087</c:v>
                </c:pt>
                <c:pt idx="127">
                  <c:v>247971.69122953276</c:v>
                </c:pt>
                <c:pt idx="128">
                  <c:v>248082.49833566562</c:v>
                </c:pt>
                <c:pt idx="129">
                  <c:v>248193.84334714289</c:v>
                </c:pt>
                <c:pt idx="130">
                  <c:v>248305.75107252956</c:v>
                </c:pt>
                <c:pt idx="131">
                  <c:v>248418.24706821833</c:v>
                </c:pt>
                <c:pt idx="132">
                  <c:v>248531.35768688706</c:v>
                </c:pt>
                <c:pt idx="133">
                  <c:v>248645.11012906715</c:v>
                </c:pt>
                <c:pt idx="134">
                  <c:v>248759.53249811771</c:v>
                </c:pt>
                <c:pt idx="135">
                  <c:v>248874.65385890377</c:v>
                </c:pt>
                <c:pt idx="136">
                  <c:v>248990.5043005218</c:v>
                </c:pt>
                <c:pt idx="137">
                  <c:v>249107.11500344815</c:v>
                </c:pt>
                <c:pt idx="138">
                  <c:v>249224.51831151912</c:v>
                </c:pt>
                <c:pt idx="139">
                  <c:v>249342.74780920893</c:v>
                </c:pt>
                <c:pt idx="140">
                  <c:v>249461.83840470237</c:v>
                </c:pt>
                <c:pt idx="141">
                  <c:v>249581.82641933943</c:v>
                </c:pt>
                <c:pt idx="142">
                  <c:v>249702.74968404524</c:v>
                </c:pt>
                <c:pt idx="143">
                  <c:v>249824.647643462</c:v>
                </c:pt>
                <c:pt idx="144">
                  <c:v>249947.56146854869</c:v>
                </c:pt>
                <c:pt idx="145">
                  <c:v>250071.5341785333</c:v>
                </c:pt>
                <c:pt idx="146">
                  <c:v>250196.61077320023</c:v>
                </c:pt>
                <c:pt idx="147">
                  <c:v>250322.83837660708</c:v>
                </c:pt>
                <c:pt idx="148">
                  <c:v>250450.26639347945</c:v>
                </c:pt>
                <c:pt idx="149">
                  <c:v>250578.94667968445</c:v>
                </c:pt>
                <c:pt idx="150">
                  <c:v>250708.93372836133</c:v>
                </c:pt>
                <c:pt idx="151">
                  <c:v>250840.28487351193</c:v>
                </c:pt>
                <c:pt idx="152">
                  <c:v>250973.06051308784</c:v>
                </c:pt>
                <c:pt idx="153">
                  <c:v>251107.32435389434</c:v>
                </c:pt>
                <c:pt idx="154">
                  <c:v>251243.14368097266</c:v>
                </c:pt>
                <c:pt idx="155">
                  <c:v>251380.58965448738</c:v>
                </c:pt>
                <c:pt idx="156">
                  <c:v>251519.73763761643</c:v>
                </c:pt>
                <c:pt idx="157">
                  <c:v>251660.66755944671</c:v>
                </c:pt>
                <c:pt idx="158">
                  <c:v>251803.46431751936</c:v>
                </c:pt>
                <c:pt idx="159">
                  <c:v>251948.21822538826</c:v>
                </c:pt>
                <c:pt idx="160">
                  <c:v>252095.02551142705</c:v>
                </c:pt>
                <c:pt idx="161">
                  <c:v>252243.9888761669</c:v>
                </c:pt>
                <c:pt idx="162">
                  <c:v>252395.21811666217</c:v>
                </c:pt>
                <c:pt idx="163">
                  <c:v>252548.83082788656</c:v>
                </c:pt>
                <c:pt idx="164">
                  <c:v>252704.95319293081</c:v>
                </c:pt>
                <c:pt idx="165">
                  <c:v>252863.72087595626</c:v>
                </c:pt>
                <c:pt idx="166">
                  <c:v>253025.28003446868</c:v>
                </c:pt>
                <c:pt idx="167">
                  <c:v>253189.78847070961</c:v>
                </c:pt>
                <c:pt idx="168">
                  <c:v>253357.4169459079</c:v>
                </c:pt>
                <c:pt idx="169">
                  <c:v>253528.35068601536</c:v>
                </c:pt>
                <c:pt idx="170">
                  <c:v>253702.79111362243</c:v>
                </c:pt>
                <c:pt idx="171">
                  <c:v>253880.95784833678</c:v>
                </c:pt>
                <c:pt idx="172">
                  <c:v>254063.09102746332</c:v>
                </c:pt>
                <c:pt idx="173">
                  <c:v>254249.45401092997</c:v>
                </c:pt>
                <c:pt idx="174">
                  <c:v>254440.33654987457</c:v>
                </c:pt>
                <c:pt idx="175">
                  <c:v>254636.05851819948</c:v>
                </c:pt>
                <c:pt idx="176">
                  <c:v>254836.97433224664</c:v>
                </c:pt>
                <c:pt idx="177">
                  <c:v>255043.47821757599</c:v>
                </c:pt>
                <c:pt idx="178">
                  <c:v>255256.01052655495</c:v>
                </c:pt>
                <c:pt idx="179">
                  <c:v>255475.06537026132</c:v>
                </c:pt>
                <c:pt idx="180">
                  <c:v>255701.19990894233</c:v>
                </c:pt>
                <c:pt idx="181">
                  <c:v>255935.04575569718</c:v>
                </c:pt>
                <c:pt idx="182">
                  <c:v>256177.32310105002</c:v>
                </c:pt>
                <c:pt idx="183">
                  <c:v>256428.85838103088</c:v>
                </c:pt>
                <c:pt idx="184">
                  <c:v>256690.60661819502</c:v>
                </c:pt>
                <c:pt idx="185">
                  <c:v>256963.68001038302</c:v>
                </c:pt>
                <c:pt idx="186">
                  <c:v>257249.38500078159</c:v>
                </c:pt>
                <c:pt idx="187">
                  <c:v>257549.27105768802</c:v>
                </c:pt>
                <c:pt idx="188">
                  <c:v>257865.19592990645</c:v>
                </c:pt>
                <c:pt idx="189">
                  <c:v>258199.41458236953</c:v>
                </c:pt>
                <c:pt idx="190">
                  <c:v>258554.70299949404</c:v>
                </c:pt>
                <c:pt idx="191">
                  <c:v>258934.53476950713</c:v>
                </c:pt>
                <c:pt idx="192">
                  <c:v>259343.34016455253</c:v>
                </c:pt>
                <c:pt idx="193">
                  <c:v>259786.89908494937</c:v>
                </c:pt>
                <c:pt idx="194">
                  <c:v>260272.96111420807</c:v>
                </c:pt>
                <c:pt idx="195">
                  <c:v>260812.27220474949</c:v>
                </c:pt>
                <c:pt idx="196">
                  <c:v>261420.37954000311</c:v>
                </c:pt>
                <c:pt idx="197">
                  <c:v>262121.05721885813</c:v>
                </c:pt>
                <c:pt idx="198">
                  <c:v>262953.50774015189</c:v>
                </c:pt>
                <c:pt idx="199">
                  <c:v>263989.84874163388</c:v>
                </c:pt>
                <c:pt idx="200">
                  <c:v>265388.18151697639</c:v>
                </c:pt>
                <c:pt idx="201">
                  <c:v>267636.13563737698</c:v>
                </c:pt>
                <c:pt idx="202">
                  <c:v>272331.45365860121</c:v>
                </c:pt>
              </c:numCache>
            </c:numRef>
          </c:xVal>
          <c:yVal>
            <c:numRef>
              <c:f>'Mack_Metodo 2'!$E$96:$E$298</c:f>
              <c:numCache>
                <c:formatCode>General</c:formatCode>
                <c:ptCount val="203"/>
                <c:pt idx="0">
                  <c:v>4.5068262938162934E-7</c:v>
                </c:pt>
                <c:pt idx="1">
                  <c:v>1.2105159845368913E-6</c:v>
                </c:pt>
                <c:pt idx="2">
                  <c:v>1.5624028261003494E-6</c:v>
                </c:pt>
                <c:pt idx="3">
                  <c:v>1.9020573424606316E-6</c:v>
                </c:pt>
                <c:pt idx="4">
                  <c:v>3.4764179261038546E-6</c:v>
                </c:pt>
                <c:pt idx="5">
                  <c:v>4.9136673858611774E-6</c:v>
                </c:pt>
                <c:pt idx="6">
                  <c:v>6.2575641969471643E-6</c:v>
                </c:pt>
                <c:pt idx="7">
                  <c:v>7.5295335526214395E-6</c:v>
                </c:pt>
                <c:pt idx="8">
                  <c:v>8.7424766623160127E-6</c:v>
                </c:pt>
                <c:pt idx="9">
                  <c:v>9.9050705134486152E-6</c:v>
                </c:pt>
                <c:pt idx="10">
                  <c:v>1.1023574635840835E-5</c:v>
                </c:pt>
                <c:pt idx="11">
                  <c:v>1.210272986188415E-5</c:v>
                </c:pt>
                <c:pt idx="12">
                  <c:v>1.3146257955504378E-5</c:v>
                </c:pt>
                <c:pt idx="13">
                  <c:v>1.4157162355057824E-5</c:v>
                </c:pt>
                <c:pt idx="14">
                  <c:v>1.513792040460747E-5</c:v>
                </c:pt>
                <c:pt idx="15">
                  <c:v>1.609061214912048E-5</c:v>
                </c:pt>
                <c:pt idx="16">
                  <c:v>1.7017009966785145E-5</c:v>
                </c:pt>
                <c:pt idx="17">
                  <c:v>1.791864293018793E-5</c:v>
                </c:pt>
                <c:pt idx="18">
                  <c:v>1.8796844251498922E-5</c:v>
                </c:pt>
                <c:pt idx="19">
                  <c:v>1.9652787048971414E-5</c:v>
                </c:pt>
                <c:pt idx="20">
                  <c:v>2.048751183461809E-5</c:v>
                </c:pt>
                <c:pt idx="21">
                  <c:v>2.130194799739298E-5</c:v>
                </c:pt>
                <c:pt idx="22">
                  <c:v>2.2096930843481644E-5</c:v>
                </c:pt>
                <c:pt idx="23">
                  <c:v>2.2873215290708214E-5</c:v>
                </c:pt>
                <c:pt idx="24">
                  <c:v>2.363148700341643E-5</c:v>
                </c:pt>
                <c:pt idx="25">
                  <c:v>2.4372371541728901E-5</c:v>
                </c:pt>
                <c:pt idx="26">
                  <c:v>2.5096441950866747E-5</c:v>
                </c:pt>
                <c:pt idx="27">
                  <c:v>2.5804225110888953E-5</c:v>
                </c:pt>
                <c:pt idx="28">
                  <c:v>2.6496207091103989E-5</c:v>
                </c:pt>
                <c:pt idx="29">
                  <c:v>2.7172837697725518E-5</c:v>
                </c:pt>
                <c:pt idx="30">
                  <c:v>2.7834534361864336E-5</c:v>
                </c:pt>
                <c:pt idx="31">
                  <c:v>2.8481685483796177E-5</c:v>
                </c:pt>
                <c:pt idx="32">
                  <c:v>2.9114653325792679E-5</c:v>
                </c:pt>
                <c:pt idx="33">
                  <c:v>2.9733776527502982E-5</c:v>
                </c:pt>
                <c:pt idx="34">
                  <c:v>3.0339372303767539E-5</c:v>
                </c:pt>
                <c:pt idx="35">
                  <c:v>3.0931738373671693E-5</c:v>
                </c:pt>
                <c:pt idx="36">
                  <c:v>3.1511154660844783E-5</c:v>
                </c:pt>
                <c:pt idx="37">
                  <c:v>3.207788479807801E-5</c:v>
                </c:pt>
                <c:pt idx="38">
                  <c:v>3.2632177463723643E-5</c:v>
                </c:pt>
                <c:pt idx="39">
                  <c:v>3.3174267572824592E-5</c:v>
                </c:pt>
                <c:pt idx="40">
                  <c:v>3.370437734225287E-5</c:v>
                </c:pt>
                <c:pt idx="41">
                  <c:v>3.4222717246136031E-5</c:v>
                </c:pt>
                <c:pt idx="42">
                  <c:v>3.4729486875370037E-5</c:v>
                </c:pt>
                <c:pt idx="43">
                  <c:v>3.522487571298335E-5</c:v>
                </c:pt>
                <c:pt idx="44">
                  <c:v>3.5709063835436509E-5</c:v>
                </c:pt>
                <c:pt idx="45">
                  <c:v>3.6182222548472313E-5</c:v>
                </c:pt>
                <c:pt idx="46">
                  <c:v>3.6644514965010599E-5</c:v>
                </c:pt>
                <c:pt idx="47">
                  <c:v>3.7096096531514118E-5</c:v>
                </c:pt>
                <c:pt idx="48">
                  <c:v>3.7537115508465223E-5</c:v>
                </c:pt>
                <c:pt idx="49">
                  <c:v>3.7967713409802219E-5</c:v>
                </c:pt>
                <c:pt idx="50">
                  <c:v>3.8388025405619292E-5</c:v>
                </c:pt>
                <c:pt idx="51">
                  <c:v>3.8798180691857679E-5</c:v>
                </c:pt>
                <c:pt idx="52">
                  <c:v>3.919830283029567E-5</c:v>
                </c:pt>
                <c:pt idx="53">
                  <c:v>3.9588510061721627E-5</c:v>
                </c:pt>
                <c:pt idx="54">
                  <c:v>3.9968915594873764E-5</c:v>
                </c:pt>
                <c:pt idx="55">
                  <c:v>4.0339627873422485E-5</c:v>
                </c:pt>
                <c:pt idx="56">
                  <c:v>4.0700750822997891E-5</c:v>
                </c:pt>
                <c:pt idx="57">
                  <c:v>4.1052384080084387E-5</c:v>
                </c:pt>
                <c:pt idx="58">
                  <c:v>4.1394623204378826E-5</c:v>
                </c:pt>
                <c:pt idx="59">
                  <c:v>4.1727559876040327E-5</c:v>
                </c:pt>
                <c:pt idx="60">
                  <c:v>4.205128207913616E-5</c:v>
                </c:pt>
                <c:pt idx="61">
                  <c:v>4.236587427242692E-5</c:v>
                </c:pt>
                <c:pt idx="62">
                  <c:v>4.2671417548526223E-5</c:v>
                </c:pt>
                <c:pt idx="63">
                  <c:v>4.2967989782393196E-5</c:v>
                </c:pt>
                <c:pt idx="64">
                  <c:v>4.3255665769978839E-5</c:v>
                </c:pt>
                <c:pt idx="65">
                  <c:v>4.3534517357796788E-5</c:v>
                </c:pt>
                <c:pt idx="66">
                  <c:v>4.3804613564133063E-5</c:v>
                </c:pt>
                <c:pt idx="67">
                  <c:v>4.4066020692483318E-5</c:v>
                </c:pt>
                <c:pt idx="68">
                  <c:v>4.4318802437827806E-5</c:v>
                </c:pt>
                <c:pt idx="69">
                  <c:v>4.4563019986229807E-5</c:v>
                </c:pt>
                <c:pt idx="70">
                  <c:v>4.4798732108258071E-5</c:v>
                </c:pt>
                <c:pt idx="71">
                  <c:v>4.5025995246641309E-5</c:v>
                </c:pt>
                <c:pt idx="72">
                  <c:v>4.5244863598564855E-5</c:v>
                </c:pt>
                <c:pt idx="73">
                  <c:v>4.5455389192955442E-5</c:v>
                </c:pt>
                <c:pt idx="74">
                  <c:v>4.5657621963099763E-5</c:v>
                </c:pt>
                <c:pt idx="75">
                  <c:v>4.585160981488013E-5</c:v>
                </c:pt>
                <c:pt idx="76">
                  <c:v>4.6037398690911936E-5</c:v>
                </c:pt>
                <c:pt idx="77">
                  <c:v>4.6215032630846291E-5</c:v>
                </c:pt>
                <c:pt idx="78">
                  <c:v>4.6384553828048223E-5</c:v>
                </c:pt>
                <c:pt idx="79">
                  <c:v>4.6546002682884125E-5</c:v>
                </c:pt>
                <c:pt idx="80">
                  <c:v>4.6699417852806109E-5</c:v>
                </c:pt>
                <c:pt idx="81">
                  <c:v>4.6844836299417921E-5</c:v>
                </c:pt>
                <c:pt idx="82">
                  <c:v>4.6982293332679786E-5</c:v>
                </c:pt>
                <c:pt idx="83">
                  <c:v>4.711182265242199E-5</c:v>
                </c:pt>
                <c:pt idx="84">
                  <c:v>4.7233456387290169E-5</c:v>
                </c:pt>
                <c:pt idx="85">
                  <c:v>4.7347225131264521E-5</c:v>
                </c:pt>
                <c:pt idx="86">
                  <c:v>4.7453157977866257E-5</c:v>
                </c:pt>
                <c:pt idx="87">
                  <c:v>4.7551282552164438E-5</c:v>
                </c:pt>
                <c:pt idx="88">
                  <c:v>4.7641625040681125E-5</c:v>
                </c:pt>
                <c:pt idx="89">
                  <c:v>4.7724210219290203E-5</c:v>
                </c:pt>
                <c:pt idx="90">
                  <c:v>4.7799061479192655E-5</c:v>
                </c:pt>
                <c:pt idx="91">
                  <c:v>4.786620085105018E-5</c:v>
                </c:pt>
                <c:pt idx="92">
                  <c:v>4.7925649027342076E-5</c:v>
                </c:pt>
                <c:pt idx="93">
                  <c:v>4.7977425383018664E-5</c:v>
                </c:pt>
                <c:pt idx="94">
                  <c:v>4.802154799450121E-5</c:v>
                </c:pt>
                <c:pt idx="95">
                  <c:v>4.8058033657091348E-5</c:v>
                </c:pt>
                <c:pt idx="96">
                  <c:v>4.8086897900831547E-5</c:v>
                </c:pt>
                <c:pt idx="97">
                  <c:v>4.8108155004863404E-5</c:v>
                </c:pt>
                <c:pt idx="98">
                  <c:v>4.8121818010320798E-5</c:v>
                </c:pt>
                <c:pt idx="99">
                  <c:v>4.8127898731795116E-5</c:v>
                </c:pt>
                <c:pt idx="100">
                  <c:v>4.8126407767398535E-5</c:v>
                </c:pt>
                <c:pt idx="101">
                  <c:v>4.8117354507453924E-5</c:v>
                </c:pt>
                <c:pt idx="102">
                  <c:v>4.8100747141831656E-5</c:v>
                </c:pt>
                <c:pt idx="103">
                  <c:v>4.8076592665952866E-5</c:v>
                </c:pt>
                <c:pt idx="104">
                  <c:v>4.8044896885469473E-5</c:v>
                </c:pt>
                <c:pt idx="105">
                  <c:v>4.8005664419636278E-5</c:v>
                </c:pt>
                <c:pt idx="106">
                  <c:v>4.7958898703376099E-5</c:v>
                </c:pt>
                <c:pt idx="107">
                  <c:v>4.790460198804386E-5</c:v>
                </c:pt>
                <c:pt idx="108">
                  <c:v>4.7842775340888579E-5</c:v>
                </c:pt>
                <c:pt idx="109">
                  <c:v>4.777341864320746E-5</c:v>
                </c:pt>
                <c:pt idx="110">
                  <c:v>4.7696530587181625E-5</c:v>
                </c:pt>
                <c:pt idx="111">
                  <c:v>4.7612108671386354E-5</c:v>
                </c:pt>
                <c:pt idx="112">
                  <c:v>4.7520149194954418E-5</c:v>
                </c:pt>
                <c:pt idx="113">
                  <c:v>4.7420647250375417E-5</c:v>
                </c:pt>
                <c:pt idx="114">
                  <c:v>4.731359671490256E-5</c:v>
                </c:pt>
                <c:pt idx="115">
                  <c:v>4.7198990240546501E-5</c:v>
                </c:pt>
                <c:pt idx="116">
                  <c:v>4.7076819242611779E-5</c:v>
                </c:pt>
                <c:pt idx="117">
                  <c:v>4.6947073886749674E-5</c:v>
                </c:pt>
                <c:pt idx="118">
                  <c:v>4.6809743074474516E-5</c:v>
                </c:pt>
                <c:pt idx="119">
                  <c:v>4.666481442710361E-5</c:v>
                </c:pt>
                <c:pt idx="120">
                  <c:v>4.6512274268063187E-5</c:v>
                </c:pt>
                <c:pt idx="121">
                  <c:v>4.6352107603504164E-5</c:v>
                </c:pt>
                <c:pt idx="122">
                  <c:v>4.6184298101159179E-5</c:v>
                </c:pt>
                <c:pt idx="123">
                  <c:v>4.6008828067373403E-5</c:v>
                </c:pt>
                <c:pt idx="124">
                  <c:v>4.5825678422226948E-5</c:v>
                </c:pt>
                <c:pt idx="125">
                  <c:v>4.5634828672669123E-5</c:v>
                </c:pt>
                <c:pt idx="126">
                  <c:v>4.5436256883556124E-5</c:v>
                </c:pt>
                <c:pt idx="127">
                  <c:v>4.5229939646511123E-5</c:v>
                </c:pt>
                <c:pt idx="128">
                  <c:v>4.5015852046473383E-5</c:v>
                </c:pt>
                <c:pt idx="129">
                  <c:v>4.4793967625825693E-5</c:v>
                </c:pt>
                <c:pt idx="130">
                  <c:v>4.4564258345961583E-5</c:v>
                </c:pt>
                <c:pt idx="131">
                  <c:v>4.4326694546156755E-5</c:v>
                </c:pt>
                <c:pt idx="132">
                  <c:v>4.4081244899561961E-5</c:v>
                </c:pt>
                <c:pt idx="133">
                  <c:v>4.3827876366176424E-5</c:v>
                </c:pt>
                <c:pt idx="134">
                  <c:v>4.3566554142581874E-5</c:v>
                </c:pt>
                <c:pt idx="135">
                  <c:v>4.3297241608252674E-5</c:v>
                </c:pt>
                <c:pt idx="136">
                  <c:v>4.3019900268205954E-5</c:v>
                </c:pt>
                <c:pt idx="137">
                  <c:v>4.2734489691744675E-5</c:v>
                </c:pt>
                <c:pt idx="138">
                  <c:v>4.2440967447033692E-5</c:v>
                </c:pt>
                <c:pt idx="139">
                  <c:v>4.2139289031195493E-5</c:v>
                </c:pt>
                <c:pt idx="140">
                  <c:v>4.1829407795628038E-5</c:v>
                </c:pt>
                <c:pt idx="141">
                  <c:v>4.1511274866158544E-5</c:v>
                </c:pt>
                <c:pt idx="142">
                  <c:v>4.118483905768049E-5</c:v>
                </c:pt>
                <c:pt idx="143">
                  <c:v>4.0850046782801595E-5</c:v>
                </c:pt>
                <c:pt idx="144">
                  <c:v>4.0506841954074644E-5</c:v>
                </c:pt>
                <c:pt idx="145">
                  <c:v>4.0155165879266978E-5</c:v>
                </c:pt>
                <c:pt idx="146">
                  <c:v>3.9794957149088482E-5</c:v>
                </c:pt>
                <c:pt idx="147">
                  <c:v>3.9426151516770151E-5</c:v>
                </c:pt>
                <c:pt idx="148">
                  <c:v>3.9048681768767454E-5</c:v>
                </c:pt>
                <c:pt idx="149">
                  <c:v>3.86624775858137E-5</c:v>
                </c:pt>
                <c:pt idx="150">
                  <c:v>3.8267465393470958E-5</c:v>
                </c:pt>
                <c:pt idx="151">
                  <c:v>3.7863568201196102E-5</c:v>
                </c:pt>
                <c:pt idx="152">
                  <c:v>3.7450705428855896E-5</c:v>
                </c:pt>
                <c:pt idx="153">
                  <c:v>3.7028792719499931E-5</c:v>
                </c:pt>
                <c:pt idx="154">
                  <c:v>3.659774173702174E-5</c:v>
                </c:pt>
                <c:pt idx="155">
                  <c:v>3.6157459947228239E-5</c:v>
                </c:pt>
                <c:pt idx="156">
                  <c:v>3.5707850380588784E-5</c:v>
                </c:pt>
                <c:pt idx="157">
                  <c:v>3.5248811374782769E-5</c:v>
                </c:pt>
                <c:pt idx="158">
                  <c:v>3.4780236294852929E-5</c:v>
                </c:pt>
                <c:pt idx="159">
                  <c:v>3.4302013228528412E-5</c:v>
                </c:pt>
                <c:pt idx="160">
                  <c:v>3.3814024653940895E-5</c:v>
                </c:pt>
                <c:pt idx="161">
                  <c:v>3.3316147076528403E-5</c:v>
                </c:pt>
                <c:pt idx="162">
                  <c:v>3.2808250631539416E-5</c:v>
                </c:pt>
                <c:pt idx="163">
                  <c:v>3.2290198647946485E-5</c:v>
                </c:pt>
                <c:pt idx="164">
                  <c:v>3.1761847169018188E-5</c:v>
                </c:pt>
                <c:pt idx="165">
                  <c:v>3.1223044423995158E-5</c:v>
                </c:pt>
                <c:pt idx="166">
                  <c:v>3.0673630244513027E-5</c:v>
                </c:pt>
                <c:pt idx="167">
                  <c:v>3.0113435418323177E-5</c:v>
                </c:pt>
                <c:pt idx="168">
                  <c:v>2.9542280971636981E-5</c:v>
                </c:pt>
                <c:pt idx="169">
                  <c:v>2.8959977369934397E-5</c:v>
                </c:pt>
                <c:pt idx="170">
                  <c:v>2.8366323625262638E-5</c:v>
                </c:pt>
                <c:pt idx="171">
                  <c:v>2.776110629586413E-5</c:v>
                </c:pt>
                <c:pt idx="172">
                  <c:v>2.7144098361298805E-5</c:v>
                </c:pt>
                <c:pt idx="173">
                  <c:v>2.6515057952943543E-5</c:v>
                </c:pt>
                <c:pt idx="174">
                  <c:v>2.587372691567044E-5</c:v>
                </c:pt>
                <c:pt idx="175">
                  <c:v>2.5219829171487375E-5</c:v>
                </c:pt>
                <c:pt idx="176">
                  <c:v>2.4553068849536549E-5</c:v>
                </c:pt>
                <c:pt idx="177">
                  <c:v>2.3873128138840196E-5</c:v>
                </c:pt>
                <c:pt idx="178">
                  <c:v>2.3179664810008157E-5</c:v>
                </c:pt>
                <c:pt idx="179">
                  <c:v>2.2472309338908937E-5</c:v>
                </c:pt>
                <c:pt idx="180">
                  <c:v>2.1750661548296849E-5</c:v>
                </c:pt>
                <c:pt idx="181">
                  <c:v>2.1014286661006817E-5</c:v>
                </c:pt>
                <c:pt idx="182">
                  <c:v>2.026271062856591E-5</c:v>
                </c:pt>
                <c:pt idx="183">
                  <c:v>1.9495414559233701E-5</c:v>
                </c:pt>
                <c:pt idx="184">
                  <c:v>1.8711828015103423E-5</c:v>
                </c:pt>
                <c:pt idx="185">
                  <c:v>1.7911320872812558E-5</c:v>
                </c:pt>
                <c:pt idx="186">
                  <c:v>1.7093193336979087E-5</c:v>
                </c:pt>
                <c:pt idx="187">
                  <c:v>1.6256663544695899E-5</c:v>
                </c:pt>
                <c:pt idx="188">
                  <c:v>1.540085197947039E-5</c:v>
                </c:pt>
                <c:pt idx="189">
                  <c:v>1.4524761584896887E-5</c:v>
                </c:pt>
                <c:pt idx="190">
                  <c:v>1.3627251966378406E-5</c:v>
                </c:pt>
                <c:pt idx="191">
                  <c:v>1.2707005278779342E-5</c:v>
                </c:pt>
                <c:pt idx="192">
                  <c:v>1.1762480111485928E-5</c:v>
                </c:pt>
                <c:pt idx="193">
                  <c:v>1.0791847506792956E-5</c:v>
                </c:pt>
                <c:pt idx="194">
                  <c:v>9.7928993981210753E-6</c:v>
                </c:pt>
                <c:pt idx="195">
                  <c:v>8.7629125652990045E-6</c:v>
                </c:pt>
                <c:pt idx="196">
                  <c:v>7.6984368611666788E-6</c:v>
                </c:pt>
                <c:pt idx="197">
                  <c:v>6.5949453845055309E-6</c:v>
                </c:pt>
                <c:pt idx="198">
                  <c:v>5.446209318450529E-6</c:v>
                </c:pt>
                <c:pt idx="199">
                  <c:v>4.2430510109344976E-6</c:v>
                </c:pt>
                <c:pt idx="200">
                  <c:v>2.97040574224614E-6</c:v>
                </c:pt>
                <c:pt idx="201">
                  <c:v>1.59801575576517E-6</c:v>
                </c:pt>
                <c:pt idx="202">
                  <c:v>3.6569764466669442E-7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34-4D65-893F-5A6BED4DF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080672"/>
        <c:axId val="1230526064"/>
      </c:scatterChart>
      <c:valAx>
        <c:axId val="1944080672"/>
        <c:scaling>
          <c:orientation val="minMax"/>
          <c:max val="245000"/>
          <c:min val="20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_€_-;\-* #,##0\ _€_-;_-* &quot;-&quot;??\ _€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30526064"/>
        <c:crosses val="autoZero"/>
        <c:crossBetween val="midCat"/>
      </c:valAx>
      <c:valAx>
        <c:axId val="123052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4080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4.xml"/><Relationship Id="rId18" Type="http://schemas.openxmlformats.org/officeDocument/2006/relationships/chart" Target="../charts/chart5.xml"/><Relationship Id="rId12" Type="http://schemas.openxmlformats.org/officeDocument/2006/relationships/chart" Target="../charts/chart3.xml"/><Relationship Id="rId17" Type="http://schemas.openxmlformats.org/officeDocument/2006/relationships/image" Target="../media/image90.PNG"/><Relationship Id="rId1" Type="http://schemas.openxmlformats.org/officeDocument/2006/relationships/customXml" Target="../ink/ink1.xml"/><Relationship Id="rId11" Type="http://schemas.openxmlformats.org/officeDocument/2006/relationships/chart" Target="../charts/chart2.xml"/><Relationship Id="rId10" Type="http://schemas.openxmlformats.org/officeDocument/2006/relationships/chart" Target="../charts/chart1.xml"/><Relationship Id="rId9" Type="http://schemas.openxmlformats.org/officeDocument/2006/relationships/image" Target="../media/image40.png"/><Relationship Id="rId14" Type="http://schemas.openxmlformats.org/officeDocument/2006/relationships/customXml" Target="../ink/ink2.xml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7.xml"/><Relationship Id="rId12" Type="http://schemas.openxmlformats.org/officeDocument/2006/relationships/image" Target="../media/image2.PNG"/><Relationship Id="rId17" Type="http://schemas.openxmlformats.org/officeDocument/2006/relationships/image" Target="../media/image90.PNG"/><Relationship Id="rId16" Type="http://schemas.openxmlformats.org/officeDocument/2006/relationships/customXml" Target="../ink/ink4.xml"/><Relationship Id="rId1" Type="http://schemas.openxmlformats.org/officeDocument/2006/relationships/customXml" Target="../ink/ink3.xml"/><Relationship Id="rId11" Type="http://schemas.openxmlformats.org/officeDocument/2006/relationships/chart" Target="../charts/chart6.xml"/><Relationship Id="rId15" Type="http://schemas.openxmlformats.org/officeDocument/2006/relationships/chart" Target="../charts/chart9.xml"/><Relationship Id="rId10" Type="http://schemas.openxmlformats.org/officeDocument/2006/relationships/image" Target="../media/image1.PNG"/><Relationship Id="rId9" Type="http://schemas.openxmlformats.org/officeDocument/2006/relationships/image" Target="../media/image40.png"/><Relationship Id="rId1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700618</xdr:colOff>
      <xdr:row>18</xdr:row>
      <xdr:rowOff>713</xdr:rowOff>
    </xdr:from>
    <xdr:ext cx="6710" cy="353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3274B69-76C0-485A-A16A-E959AFDE69C1}"/>
                </a:ext>
              </a:extLst>
            </xdr14:cNvPr>
            <xdr14:cNvContentPartPr/>
          </xdr14:nvContentPartPr>
          <xdr14:nvPr macro=""/>
          <xdr14:xfrm>
            <a:off x="7279218" y="2956638"/>
            <a:ext cx="6710" cy="3535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07D54D6C-3212-405C-8E1F-3AF876A897B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4925160" y="3296434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>
    <xdr:from>
      <xdr:col>19</xdr:col>
      <xdr:colOff>171450</xdr:colOff>
      <xdr:row>22</xdr:row>
      <xdr:rowOff>0</xdr:rowOff>
    </xdr:from>
    <xdr:to>
      <xdr:col>25</xdr:col>
      <xdr:colOff>28575</xdr:colOff>
      <xdr:row>37</xdr:row>
      <xdr:rowOff>111125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B4062F-7BF4-483E-B85E-F9F46D69362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26</xdr:col>
      <xdr:colOff>57150</xdr:colOff>
      <xdr:row>95</xdr:row>
      <xdr:rowOff>0</xdr:rowOff>
    </xdr:from>
    <xdr:to>
      <xdr:col>33</xdr:col>
      <xdr:colOff>482600</xdr:colOff>
      <xdr:row>111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D99704B-DA50-4BBA-9DD8-CDDFCA8E2364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555625</xdr:colOff>
      <xdr:row>103</xdr:row>
      <xdr:rowOff>28575</xdr:rowOff>
    </xdr:from>
    <xdr:to>
      <xdr:col>12</xdr:col>
      <xdr:colOff>238125</xdr:colOff>
      <xdr:row>118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8F1E7AF-A920-4EE2-8B2E-33F6AFDD51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577850</xdr:colOff>
      <xdr:row>119</xdr:row>
      <xdr:rowOff>0</xdr:rowOff>
    </xdr:from>
    <xdr:to>
      <xdr:col>12</xdr:col>
      <xdr:colOff>260350</xdr:colOff>
      <xdr:row>133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1F378E3-FFD2-4C7D-99F6-6506544DFD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oneCellAnchor>
    <xdr:from>
      <xdr:col>15</xdr:col>
      <xdr:colOff>917809</xdr:colOff>
      <xdr:row>12</xdr:row>
      <xdr:rowOff>60709</xdr:rowOff>
    </xdr:from>
    <xdr:ext cx="3535" cy="353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9" name="Ink 18">
              <a:extLst>
                <a:ext uri="{FF2B5EF4-FFF2-40B4-BE49-F238E27FC236}">
                  <a16:creationId xmlns:a16="http://schemas.microsoft.com/office/drawing/2014/main" id="{9860C976-9C5A-44CE-85D9-125575B34529}"/>
                </a:ext>
              </a:extLst>
            </xdr14:cNvPr>
            <xdr14:cNvContentPartPr/>
          </xdr14:nvContentPartPr>
          <xdr14:nvPr macro=""/>
          <xdr14:xfrm>
            <a:off x="12434400" y="2242800"/>
            <a:ext cx="360" cy="36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322C3B92-579E-42DA-807A-E1E8B288CAA7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2425400" y="22338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>
    <xdr:from>
      <xdr:col>25</xdr:col>
      <xdr:colOff>9525</xdr:colOff>
      <xdr:row>21</xdr:row>
      <xdr:rowOff>19050</xdr:rowOff>
    </xdr:from>
    <xdr:to>
      <xdr:col>31</xdr:col>
      <xdr:colOff>952500</xdr:colOff>
      <xdr:row>39</xdr:row>
      <xdr:rowOff>88900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0A6827DC-2093-4808-A751-6DC32F957E82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557743</xdr:colOff>
      <xdr:row>17</xdr:row>
      <xdr:rowOff>159463</xdr:rowOff>
    </xdr:from>
    <xdr:ext cx="6710" cy="353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E858654-CAB9-4A69-8358-0D1DB36C3CB3}"/>
                </a:ext>
              </a:extLst>
            </xdr14:cNvPr>
            <xdr14:cNvContentPartPr/>
          </xdr14:nvContentPartPr>
          <xdr14:nvPr macro=""/>
          <xdr14:xfrm>
            <a:off x="4933800" y="3305434"/>
            <a:ext cx="360" cy="3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07D54D6C-3212-405C-8E1F-3AF876A897B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4925160" y="3296434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</xdr:col>
      <xdr:colOff>419100</xdr:colOff>
      <xdr:row>44</xdr:row>
      <xdr:rowOff>107950</xdr:rowOff>
    </xdr:from>
    <xdr:ext cx="3596825" cy="1082689"/>
    <xdr:pic>
      <xdr:nvPicPr>
        <xdr:cNvPr id="3" name="Picture 2">
          <a:extLst>
            <a:ext uri="{FF2B5EF4-FFF2-40B4-BE49-F238E27FC236}">
              <a16:creationId xmlns:a16="http://schemas.microsoft.com/office/drawing/2014/main" id="{44B99883-4165-45A5-87B6-85813E0FE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500" y="8350250"/>
          <a:ext cx="3596825" cy="1082689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oneCellAnchor>
  <xdr:twoCellAnchor>
    <xdr:from>
      <xdr:col>20</xdr:col>
      <xdr:colOff>171450</xdr:colOff>
      <xdr:row>75</xdr:row>
      <xdr:rowOff>38100</xdr:rowOff>
    </xdr:from>
    <xdr:to>
      <xdr:col>27</xdr:col>
      <xdr:colOff>165100</xdr:colOff>
      <xdr:row>91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C9EDFE-685C-49F7-9497-86FE802315D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oneCellAnchor>
    <xdr:from>
      <xdr:col>21</xdr:col>
      <xdr:colOff>552450</xdr:colOff>
      <xdr:row>45</xdr:row>
      <xdr:rowOff>56290</xdr:rowOff>
    </xdr:from>
    <xdr:ext cx="7200501" cy="838493"/>
    <xdr:pic>
      <xdr:nvPicPr>
        <xdr:cNvPr id="5" name="Picture 4">
          <a:extLst>
            <a:ext uri="{FF2B5EF4-FFF2-40B4-BE49-F238E27FC236}">
              <a16:creationId xmlns:a16="http://schemas.microsoft.com/office/drawing/2014/main" id="{DE971020-7F4A-4AF7-93B1-B75842ACB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354050" y="8485915"/>
          <a:ext cx="7200501" cy="838493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oneCellAnchor>
  <xdr:twoCellAnchor>
    <xdr:from>
      <xdr:col>26</xdr:col>
      <xdr:colOff>57150</xdr:colOff>
      <xdr:row>75</xdr:row>
      <xdr:rowOff>44450</xdr:rowOff>
    </xdr:from>
    <xdr:to>
      <xdr:col>33</xdr:col>
      <xdr:colOff>482600</xdr:colOff>
      <xdr:row>91</xdr:row>
      <xdr:rowOff>177800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0CF4A1-21CB-49C7-9C8B-8A53C805CBDB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555625</xdr:colOff>
      <xdr:row>95</xdr:row>
      <xdr:rowOff>28575</xdr:rowOff>
    </xdr:from>
    <xdr:to>
      <xdr:col>12</xdr:col>
      <xdr:colOff>238125</xdr:colOff>
      <xdr:row>110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BF51860-168E-4CD7-842B-87D33B65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577850</xdr:colOff>
      <xdr:row>111</xdr:row>
      <xdr:rowOff>0</xdr:rowOff>
    </xdr:from>
    <xdr:to>
      <xdr:col>12</xdr:col>
      <xdr:colOff>260350</xdr:colOff>
      <xdr:row>125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BA74DA9-74AA-4006-81C9-0E8A38C3A5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oneCellAnchor>
    <xdr:from>
      <xdr:col>15</xdr:col>
      <xdr:colOff>917809</xdr:colOff>
      <xdr:row>12</xdr:row>
      <xdr:rowOff>60709</xdr:rowOff>
    </xdr:from>
    <xdr:ext cx="3535" cy="353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9" name="Ink 18">
              <a:extLst>
                <a:ext uri="{FF2B5EF4-FFF2-40B4-BE49-F238E27FC236}">
                  <a16:creationId xmlns:a16="http://schemas.microsoft.com/office/drawing/2014/main" id="{9F72D178-68B6-4441-8A7B-DA733377A3A3}"/>
                </a:ext>
              </a:extLst>
            </xdr14:cNvPr>
            <xdr14:cNvContentPartPr/>
          </xdr14:nvContentPartPr>
          <xdr14:nvPr macro=""/>
          <xdr14:xfrm>
            <a:off x="12434400" y="2242800"/>
            <a:ext cx="360" cy="36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322C3B92-579E-42DA-807A-E1E8B288CAA7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2425400" y="22338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0-09T19:58:55.242"/>
    </inkml:context>
    <inkml:brush xml:id="br0">
      <inkml:brushProperty name="width" value="0.05" units="cm"/>
      <inkml:brushProperty name="height" value="0.05" units="cm"/>
      <inkml:brushProperty name="color" value="#004F8B"/>
      <inkml:brushProperty name="ignorePressure" value="1"/>
    </inkml:brush>
  </inkml:definitions>
  <inkml:trace contextRef="#ctx0" brushRef="#br0">1 0,'0'0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10-09T19:58:55.25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0 0 24575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0-09T19:41:28.393"/>
    </inkml:context>
    <inkml:brush xml:id="br0">
      <inkml:brushProperty name="width" value="0.05" units="cm"/>
      <inkml:brushProperty name="height" value="0.05" units="cm"/>
      <inkml:brushProperty name="color" value="#004F8B"/>
      <inkml:brushProperty name="ignorePressure" value="1"/>
    </inkml:brush>
  </inkml:definitions>
  <inkml:trace contextRef="#ctx0" brushRef="#br0">1 0,'0'0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10-09T19:41:28.45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54196-34B8-4013-AE0D-60C8411507C4}">
  <sheetPr>
    <tabColor theme="5" tint="0.79998168889431442"/>
  </sheetPr>
  <dimension ref="A1:AD306"/>
  <sheetViews>
    <sheetView topLeftCell="O1" zoomScale="54" zoomScaleNormal="100" workbookViewId="0">
      <selection activeCell="AD17" sqref="AD17"/>
    </sheetView>
  </sheetViews>
  <sheetFormatPr defaultRowHeight="11.65"/>
  <cols>
    <col min="1" max="1" width="7.83203125" style="9" customWidth="1"/>
    <col min="2" max="2" width="6.5" style="9" customWidth="1"/>
    <col min="3" max="3" width="14.1640625" style="9" bestFit="1" customWidth="1"/>
    <col min="4" max="4" width="8.75" style="9" bestFit="1" customWidth="1"/>
    <col min="5" max="5" width="20.2890625" style="9" bestFit="1" customWidth="1"/>
    <col min="6" max="14" width="9.75" style="9" bestFit="1" customWidth="1"/>
    <col min="15" max="15" width="7.125" style="9" customWidth="1"/>
    <col min="16" max="16" width="8.625" style="9" bestFit="1" customWidth="1"/>
    <col min="17" max="21" width="8.6640625" style="9"/>
    <col min="22" max="22" width="7.7890625" style="9" bestFit="1" customWidth="1"/>
    <col min="23" max="23" width="11.25" style="9" bestFit="1" customWidth="1"/>
    <col min="24" max="24" width="7.625" style="9" bestFit="1" customWidth="1"/>
    <col min="25" max="25" width="10.25" style="9" bestFit="1" customWidth="1"/>
    <col min="26" max="26" width="9.2890625" style="9" bestFit="1" customWidth="1"/>
    <col min="27" max="27" width="10.25" style="9" bestFit="1" customWidth="1"/>
    <col min="28" max="28" width="8.6640625" style="9"/>
    <col min="29" max="29" width="15.7890625" style="9" bestFit="1" customWidth="1"/>
    <col min="30" max="30" width="8.75" style="9" bestFit="1" customWidth="1"/>
    <col min="31" max="31" width="7.625" style="9" customWidth="1"/>
    <col min="32" max="16384" width="8.6640625" style="9"/>
  </cols>
  <sheetData>
    <row r="1" spans="2:30" ht="23.25">
      <c r="T1" s="13" t="s">
        <v>11</v>
      </c>
      <c r="U1" s="35" t="s">
        <v>27</v>
      </c>
      <c r="V1" s="35" t="s">
        <v>26</v>
      </c>
      <c r="W1" s="35" t="s">
        <v>8</v>
      </c>
      <c r="X1" s="35" t="s">
        <v>25</v>
      </c>
      <c r="Y1" s="36" t="s">
        <v>51</v>
      </c>
      <c r="Z1" s="35" t="s">
        <v>52</v>
      </c>
      <c r="AA1" s="36" t="s">
        <v>58</v>
      </c>
      <c r="AB1" s="36" t="s">
        <v>21</v>
      </c>
      <c r="AC1" s="35" t="s">
        <v>20</v>
      </c>
      <c r="AD1" s="35" t="s">
        <v>59</v>
      </c>
    </row>
    <row r="2" spans="2:30">
      <c r="B2" s="10"/>
      <c r="C2" s="10"/>
      <c r="D2" s="10" t="s">
        <v>14</v>
      </c>
      <c r="E2" s="11" t="s">
        <v>45</v>
      </c>
      <c r="F2" s="10"/>
      <c r="G2" s="10"/>
      <c r="H2" s="10"/>
      <c r="I2" s="10"/>
      <c r="J2" s="10"/>
      <c r="K2" s="10"/>
      <c r="L2" s="10"/>
      <c r="M2" s="10"/>
      <c r="N2" s="10"/>
      <c r="R2" s="10"/>
      <c r="T2" s="13"/>
      <c r="U2" s="35"/>
      <c r="V2" s="35"/>
      <c r="W2" s="35"/>
      <c r="X2" s="35"/>
      <c r="Y2" s="36"/>
      <c r="Z2" s="35" t="s">
        <v>53</v>
      </c>
      <c r="AA2" s="36"/>
      <c r="AB2" s="36"/>
      <c r="AC2" s="35"/>
      <c r="AD2" s="35"/>
    </row>
    <row r="3" spans="2:30">
      <c r="B3" s="10"/>
      <c r="C3" s="12" t="s">
        <v>12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T3" s="39">
        <v>0</v>
      </c>
      <c r="U3" s="40">
        <f>N5</f>
        <v>86842.7012923</v>
      </c>
      <c r="V3" s="41">
        <f t="shared" ref="V3:V14" si="0">N43</f>
        <v>86842.7012923</v>
      </c>
      <c r="W3" s="42">
        <f t="shared" ref="W3:W14" si="1">V3-U3</f>
        <v>0</v>
      </c>
      <c r="X3" s="43">
        <v>0</v>
      </c>
      <c r="Y3" s="44" t="str">
        <f t="shared" ref="Y3:Y14" si="2">IFERROR(X3/W3,"")</f>
        <v/>
      </c>
      <c r="Z3" s="43">
        <v>0</v>
      </c>
      <c r="AA3" s="44" t="str">
        <f t="shared" ref="AA3:AA14" si="3">IFERROR(Z3/W3,"")</f>
        <v/>
      </c>
      <c r="AB3" s="41">
        <v>0</v>
      </c>
      <c r="AC3" s="45">
        <f>SUMSQ(X3,Z3)^0.5</f>
        <v>0</v>
      </c>
      <c r="AD3" s="44" t="str">
        <f>IFERROR(AC3/W3, "")</f>
        <v/>
      </c>
    </row>
    <row r="4" spans="2:30">
      <c r="B4" s="14" t="s">
        <v>46</v>
      </c>
      <c r="C4" s="15">
        <v>0</v>
      </c>
      <c r="D4" s="15">
        <v>1</v>
      </c>
      <c r="E4" s="15">
        <v>2</v>
      </c>
      <c r="F4" s="15">
        <v>3</v>
      </c>
      <c r="G4" s="15">
        <v>4</v>
      </c>
      <c r="H4" s="15">
        <v>5</v>
      </c>
      <c r="I4" s="15">
        <v>6</v>
      </c>
      <c r="J4" s="15">
        <v>7</v>
      </c>
      <c r="K4" s="15">
        <v>8</v>
      </c>
      <c r="L4" s="15">
        <v>9</v>
      </c>
      <c r="M4" s="15">
        <v>10</v>
      </c>
      <c r="N4" s="15">
        <v>11</v>
      </c>
      <c r="T4" s="39">
        <f>T3+1</f>
        <v>1</v>
      </c>
      <c r="U4" s="40">
        <f>M6</f>
        <v>96325.02158249999</v>
      </c>
      <c r="V4" s="41">
        <f t="shared" si="0"/>
        <v>98358.304688348959</v>
      </c>
      <c r="W4" s="42">
        <f t="shared" si="1"/>
        <v>2033.2831058489683</v>
      </c>
      <c r="X4" s="43">
        <f>(V4^2*O79)^0.5</f>
        <v>32.220985344788097</v>
      </c>
      <c r="Y4" s="44">
        <f>IFERROR(X4/W4,"")</f>
        <v>1.5846777682901509E-2</v>
      </c>
      <c r="Z4" s="43">
        <f>(V4^2*HLOOKUP(11-T4,$C$92:$M$94,3,FALSE))^0.5</f>
        <v>34.290804375822624</v>
      </c>
      <c r="AA4" s="44">
        <f>IFERROR(Z4/W4,"")</f>
        <v>1.6864746614566981E-2</v>
      </c>
      <c r="AB4" s="41">
        <f>IF(T4&lt;11,HLOOKUP(11-T4,$C$92:$M$94,3,FALSE)*V4*SUM(V5:$V$14),0)</f>
        <v>16747.219690567039</v>
      </c>
      <c r="AC4" s="45">
        <f>SUMSQ(X4,Z4)^0.5</f>
        <v>47.053705075477161</v>
      </c>
      <c r="AD4" s="101">
        <f>IFERROR(AC4/W4, "")</f>
        <v>2.3141738078736734E-2</v>
      </c>
    </row>
    <row r="5" spans="2:30">
      <c r="B5" s="39">
        <v>0</v>
      </c>
      <c r="C5" s="16">
        <v>28446.238239999999</v>
      </c>
      <c r="D5" s="16">
        <v>57697.431620000003</v>
      </c>
      <c r="E5" s="16">
        <v>70161.415410000001</v>
      </c>
      <c r="F5" s="16">
        <v>75305.500698999997</v>
      </c>
      <c r="G5" s="16">
        <v>78032.448521999991</v>
      </c>
      <c r="H5" s="16">
        <v>80391.810983999996</v>
      </c>
      <c r="I5" s="16">
        <v>81725.667088999995</v>
      </c>
      <c r="J5" s="16">
        <v>82964.097062999994</v>
      </c>
      <c r="K5" s="16">
        <v>83905.537538299992</v>
      </c>
      <c r="L5" s="16">
        <v>84765.601429799994</v>
      </c>
      <c r="M5" s="16">
        <v>85047.471108499987</v>
      </c>
      <c r="N5" s="16">
        <v>86842.7012923</v>
      </c>
      <c r="T5" s="39">
        <f t="shared" ref="T5:T14" si="4">T4+1</f>
        <v>2</v>
      </c>
      <c r="U5" s="40">
        <f>L7</f>
        <v>105007.48487610002</v>
      </c>
      <c r="V5" s="41">
        <f t="shared" si="0"/>
        <v>107662.20035267336</v>
      </c>
      <c r="W5" s="42">
        <f t="shared" si="1"/>
        <v>2654.715476573343</v>
      </c>
      <c r="X5" s="43">
        <f t="shared" ref="X5:X14" si="5">(V5^2*O80)^0.5</f>
        <v>106.14053288039322</v>
      </c>
      <c r="Y5" s="44">
        <f t="shared" si="2"/>
        <v>3.9981886502352196E-2</v>
      </c>
      <c r="Z5" s="43">
        <f t="shared" ref="Z5:Z14" si="6">(V5^2*HLOOKUP(11-T5,$C$92:$M$94,3,FALSE))^0.5</f>
        <v>85.424405934120003</v>
      </c>
      <c r="AA5" s="44">
        <f t="shared" si="3"/>
        <v>3.217836588815319E-2</v>
      </c>
      <c r="AB5" s="41">
        <f>IF(T5&lt;11,HLOOKUP(11-T5,$C$92:$M$94,3,FALSE)*V5*SUM(V6:$V$14),0)</f>
        <v>87653.571774438838</v>
      </c>
      <c r="AC5" s="45">
        <f t="shared" ref="AC5:AC14" si="7">SUMSQ(X5,Z5)^0.5</f>
        <v>136.24662142354632</v>
      </c>
      <c r="AD5" s="101">
        <f t="shared" ref="AD5:AD14" si="8">IFERROR(AC5/W5, "")</f>
        <v>5.1322494868418403E-2</v>
      </c>
    </row>
    <row r="6" spans="2:30">
      <c r="B6" s="39">
        <f>B5+1</f>
        <v>1</v>
      </c>
      <c r="C6" s="16">
        <v>31963.048289999999</v>
      </c>
      <c r="D6" s="16">
        <v>68069.343499999988</v>
      </c>
      <c r="E6" s="16">
        <v>81510.676609999995</v>
      </c>
      <c r="F6" s="16">
        <v>87378.911242000002</v>
      </c>
      <c r="G6" s="16">
        <v>90260.883564999996</v>
      </c>
      <c r="H6" s="16">
        <v>92682.871461000002</v>
      </c>
      <c r="I6" s="16">
        <v>93600.875500099995</v>
      </c>
      <c r="J6" s="16">
        <v>94676.853840099997</v>
      </c>
      <c r="K6" s="16">
        <v>95410.594865599996</v>
      </c>
      <c r="L6" s="16">
        <v>95868.750931999995</v>
      </c>
      <c r="M6" s="16">
        <v>96325.02158249999</v>
      </c>
      <c r="N6" s="16" t="s">
        <v>14</v>
      </c>
      <c r="T6" s="39">
        <f t="shared" si="4"/>
        <v>3</v>
      </c>
      <c r="U6" s="40">
        <f>K8</f>
        <v>114674.41313589999</v>
      </c>
      <c r="V6" s="41">
        <f t="shared" si="0"/>
        <v>118351.45932970554</v>
      </c>
      <c r="W6" s="42">
        <f t="shared" si="1"/>
        <v>3677.0461938055523</v>
      </c>
      <c r="X6" s="43">
        <f t="shared" si="5"/>
        <v>328.80966062344646</v>
      </c>
      <c r="Y6" s="44">
        <f t="shared" si="2"/>
        <v>8.9422227324031933E-2</v>
      </c>
      <c r="Z6" s="43">
        <f t="shared" si="6"/>
        <v>217.95676900896802</v>
      </c>
      <c r="AA6" s="44">
        <f t="shared" si="3"/>
        <v>5.9274960803088E-2</v>
      </c>
      <c r="AB6" s="41">
        <f>IF(T6&lt;11,HLOOKUP(11-T6,$C$92:$M$94,3,FALSE)*V6*SUM(V7:$V$14),0)</f>
        <v>471576.93129331543</v>
      </c>
      <c r="AC6" s="45">
        <f t="shared" si="7"/>
        <v>394.48820777829934</v>
      </c>
      <c r="AD6" s="101">
        <f t="shared" si="8"/>
        <v>0.10728399562748611</v>
      </c>
    </row>
    <row r="7" spans="2:30">
      <c r="B7" s="39">
        <f t="shared" ref="B7:B16" si="9">B6+1</f>
        <v>2</v>
      </c>
      <c r="C7" s="16">
        <v>37774.740230000003</v>
      </c>
      <c r="D7" s="16">
        <v>77900.131010000012</v>
      </c>
      <c r="E7" s="16">
        <v>90851.307410000009</v>
      </c>
      <c r="F7" s="16">
        <v>96885.06287400001</v>
      </c>
      <c r="G7" s="16">
        <v>99894.718730000008</v>
      </c>
      <c r="H7" s="16">
        <v>101159.11499700001</v>
      </c>
      <c r="I7" s="16">
        <v>102409.06751400001</v>
      </c>
      <c r="J7" s="16">
        <v>103543.77365700001</v>
      </c>
      <c r="K7" s="16">
        <v>104448.14482240002</v>
      </c>
      <c r="L7" s="16">
        <v>105007.48487610002</v>
      </c>
      <c r="M7" s="16" t="s">
        <v>14</v>
      </c>
      <c r="N7" s="16" t="s">
        <v>14</v>
      </c>
      <c r="T7" s="39">
        <f t="shared" si="4"/>
        <v>4</v>
      </c>
      <c r="U7" s="40">
        <f>J9</f>
        <v>118289.46107000002</v>
      </c>
      <c r="V7" s="41">
        <f t="shared" si="0"/>
        <v>123149.4257342979</v>
      </c>
      <c r="W7" s="42">
        <f t="shared" si="1"/>
        <v>4859.9646642978769</v>
      </c>
      <c r="X7" s="43">
        <f t="shared" si="5"/>
        <v>381.55064250659308</v>
      </c>
      <c r="Y7" s="44">
        <f t="shared" si="2"/>
        <v>7.850893347219759E-2</v>
      </c>
      <c r="Z7" s="43">
        <f t="shared" si="6"/>
        <v>247.67372774027325</v>
      </c>
      <c r="AA7" s="44">
        <f t="shared" si="3"/>
        <v>5.0962042905317063E-2</v>
      </c>
      <c r="AB7" s="41">
        <f>IF(T7&lt;11,HLOOKUP(11-T7,$C$92:$M$94,3,FALSE)*V7*SUM(V8:$V$14),0)</f>
        <v>523869.33975343953</v>
      </c>
      <c r="AC7" s="45">
        <f t="shared" si="7"/>
        <v>454.88808316986825</v>
      </c>
      <c r="AD7" s="101">
        <f t="shared" si="8"/>
        <v>9.359905155515906E-2</v>
      </c>
    </row>
    <row r="8" spans="2:30">
      <c r="B8" s="39">
        <f t="shared" si="9"/>
        <v>3</v>
      </c>
      <c r="C8" s="16">
        <v>40417.57213</v>
      </c>
      <c r="D8" s="16">
        <v>84916.51436999999</v>
      </c>
      <c r="E8" s="16">
        <v>100286.93799999999</v>
      </c>
      <c r="F8" s="16">
        <v>105880.79154599999</v>
      </c>
      <c r="G8" s="16">
        <v>108496.307886</v>
      </c>
      <c r="H8" s="16">
        <v>110480.61967799999</v>
      </c>
      <c r="I8" s="16">
        <v>112617.42437699999</v>
      </c>
      <c r="J8" s="16">
        <v>113801.77980499998</v>
      </c>
      <c r="K8" s="16">
        <v>114674.41313589999</v>
      </c>
      <c r="L8" s="16"/>
      <c r="M8" s="16" t="s">
        <v>14</v>
      </c>
      <c r="N8" s="16" t="s">
        <v>14</v>
      </c>
      <c r="T8" s="39">
        <f t="shared" si="4"/>
        <v>5</v>
      </c>
      <c r="U8" s="40">
        <f>I10</f>
        <v>132138.57105614999</v>
      </c>
      <c r="V8" s="41">
        <f t="shared" si="0"/>
        <v>139128.23843179303</v>
      </c>
      <c r="W8" s="42">
        <f t="shared" si="1"/>
        <v>6989.6673756430391</v>
      </c>
      <c r="X8" s="43">
        <f t="shared" si="5"/>
        <v>472.06329566207683</v>
      </c>
      <c r="Y8" s="44">
        <f t="shared" si="2"/>
        <v>6.7537304751736874E-2</v>
      </c>
      <c r="Z8" s="43">
        <f t="shared" si="6"/>
        <v>305.76422058878222</v>
      </c>
      <c r="AA8" s="44">
        <f t="shared" si="3"/>
        <v>4.3745174720943338E-2</v>
      </c>
      <c r="AB8" s="41">
        <f>IF(T8&lt;11,HLOOKUP(11-T8,$C$92:$M$94,3,FALSE)*V8*SUM(V9:$V$14),0)</f>
        <v>613238.25191398128</v>
      </c>
      <c r="AC8" s="45">
        <f t="shared" si="7"/>
        <v>562.43711977749729</v>
      </c>
      <c r="AD8" s="101">
        <f t="shared" si="8"/>
        <v>8.0466936343412745E-2</v>
      </c>
    </row>
    <row r="9" spans="2:30">
      <c r="B9" s="39">
        <f t="shared" si="9"/>
        <v>4</v>
      </c>
      <c r="C9" s="16">
        <v>44116.085709999999</v>
      </c>
      <c r="D9" s="16">
        <v>89606.275280000002</v>
      </c>
      <c r="E9" s="16">
        <v>104945.70165</v>
      </c>
      <c r="F9" s="16">
        <v>110423.77840700001</v>
      </c>
      <c r="G9" s="16">
        <v>112964.41806500001</v>
      </c>
      <c r="H9" s="16">
        <v>115870.78669200001</v>
      </c>
      <c r="I9" s="16">
        <v>117165.12471500001</v>
      </c>
      <c r="J9" s="16">
        <v>118289.46107000002</v>
      </c>
      <c r="K9" s="16"/>
      <c r="L9" s="16"/>
      <c r="M9" s="16" t="s">
        <v>14</v>
      </c>
      <c r="N9" s="16" t="s">
        <v>14</v>
      </c>
      <c r="T9" s="39">
        <f t="shared" si="4"/>
        <v>6</v>
      </c>
      <c r="U9" s="40">
        <f>H11</f>
        <v>138291.0141644</v>
      </c>
      <c r="V9" s="41">
        <f t="shared" si="0"/>
        <v>147730.79127024303</v>
      </c>
      <c r="W9" s="42">
        <f t="shared" si="1"/>
        <v>9439.7771058430371</v>
      </c>
      <c r="X9" s="43">
        <f t="shared" si="5"/>
        <v>689.19770710613034</v>
      </c>
      <c r="Y9" s="44">
        <f t="shared" si="2"/>
        <v>7.3009955571888496E-2</v>
      </c>
      <c r="Z9" s="43">
        <f t="shared" si="6"/>
        <v>397.11140545529355</v>
      </c>
      <c r="AA9" s="44">
        <f t="shared" si="3"/>
        <v>4.2067879463964182E-2</v>
      </c>
      <c r="AB9" s="41">
        <f>IF(T9&lt;11,HLOOKUP(11-T9,$C$92:$M$94,3,FALSE)*V9*SUM(V10:$V$14),0)</f>
        <v>816450.41592571209</v>
      </c>
      <c r="AC9" s="45">
        <f t="shared" si="7"/>
        <v>795.41872483807299</v>
      </c>
      <c r="AD9" s="101">
        <f t="shared" si="8"/>
        <v>8.4262447716665301E-2</v>
      </c>
    </row>
    <row r="10" spans="2:30">
      <c r="B10" s="39">
        <f t="shared" si="9"/>
        <v>5</v>
      </c>
      <c r="C10" s="16">
        <v>50294.259669999999</v>
      </c>
      <c r="D10" s="16">
        <v>98334.581229999996</v>
      </c>
      <c r="E10" s="16">
        <v>116177.48298999999</v>
      </c>
      <c r="F10" s="16">
        <v>123212.68218399999</v>
      </c>
      <c r="G10" s="16">
        <v>127146.28824699999</v>
      </c>
      <c r="H10" s="16">
        <v>129871.97118299999</v>
      </c>
      <c r="I10" s="16">
        <v>132138.57105614999</v>
      </c>
      <c r="J10" s="16"/>
      <c r="K10" s="16"/>
      <c r="L10" s="16"/>
      <c r="M10" s="16" t="s">
        <v>14</v>
      </c>
      <c r="N10" s="16" t="s">
        <v>14</v>
      </c>
      <c r="T10" s="39">
        <f t="shared" si="4"/>
        <v>7</v>
      </c>
      <c r="U10" s="40">
        <f>G12</f>
        <v>129900.41042400002</v>
      </c>
      <c r="V10" s="41">
        <f t="shared" si="0"/>
        <v>141900.76720480141</v>
      </c>
      <c r="W10" s="42">
        <f t="shared" si="1"/>
        <v>12000.35678080139</v>
      </c>
      <c r="X10" s="43">
        <f t="shared" si="5"/>
        <v>972.90569875580002</v>
      </c>
      <c r="Y10" s="44">
        <f t="shared" si="2"/>
        <v>8.1073064453574428E-2</v>
      </c>
      <c r="Z10" s="43">
        <f t="shared" si="6"/>
        <v>479.80805922764995</v>
      </c>
      <c r="AA10" s="44">
        <f t="shared" si="3"/>
        <v>3.9982816177204367E-2</v>
      </c>
      <c r="AB10" s="41">
        <f>IF(T10&lt;11,HLOOKUP(11-T10,$C$92:$M$94,3,FALSE)*V10*SUM(V11:$V$14),0)</f>
        <v>1010654.6998700991</v>
      </c>
      <c r="AC10" s="45">
        <f t="shared" si="7"/>
        <v>1084.7862795829028</v>
      </c>
      <c r="AD10" s="101">
        <f t="shared" si="8"/>
        <v>9.0396168997107118E-2</v>
      </c>
    </row>
    <row r="11" spans="2:30">
      <c r="B11" s="39">
        <f t="shared" si="9"/>
        <v>6</v>
      </c>
      <c r="C11" s="16">
        <v>49619.804179999999</v>
      </c>
      <c r="D11" s="16">
        <v>99611.161829999997</v>
      </c>
      <c r="E11" s="16">
        <v>119181.36549</v>
      </c>
      <c r="F11" s="16">
        <v>129228.43264</v>
      </c>
      <c r="G11" s="16">
        <v>134978.322697</v>
      </c>
      <c r="H11" s="16">
        <v>138291.0141644</v>
      </c>
      <c r="I11" s="16"/>
      <c r="J11" s="16"/>
      <c r="K11" s="16"/>
      <c r="L11" s="16"/>
      <c r="M11" s="16" t="s">
        <v>14</v>
      </c>
      <c r="N11" s="16" t="s">
        <v>14</v>
      </c>
      <c r="P11" s="17"/>
      <c r="T11" s="39">
        <f t="shared" si="4"/>
        <v>8</v>
      </c>
      <c r="U11" s="40">
        <f>F13</f>
        <v>124786.08131000001</v>
      </c>
      <c r="V11" s="41">
        <f t="shared" si="0"/>
        <v>140813.42524903908</v>
      </c>
      <c r="W11" s="42">
        <f t="shared" si="1"/>
        <v>16027.34393903907</v>
      </c>
      <c r="X11" s="43">
        <f t="shared" si="5"/>
        <v>1333.0766030912625</v>
      </c>
      <c r="Y11" s="44">
        <f t="shared" si="2"/>
        <v>8.3175141692952773E-2</v>
      </c>
      <c r="Z11" s="43">
        <f t="shared" si="6"/>
        <v>590.92446641887477</v>
      </c>
      <c r="AA11" s="44">
        <f t="shared" si="3"/>
        <v>3.6869768856679572E-2</v>
      </c>
      <c r="AB11" s="41">
        <f>IF(T11&lt;11,HLOOKUP(11-T11,$C$92:$M$94,3,FALSE)*V11*SUM(V12:$V$14),0)</f>
        <v>1195608.5828688904</v>
      </c>
      <c r="AC11" s="45">
        <f t="shared" si="7"/>
        <v>1458.1786429384333</v>
      </c>
      <c r="AD11" s="101">
        <f t="shared" si="8"/>
        <v>9.0980679548944607E-2</v>
      </c>
    </row>
    <row r="12" spans="2:30">
      <c r="B12" s="39">
        <f t="shared" si="9"/>
        <v>7</v>
      </c>
      <c r="C12" s="16">
        <v>46409.720990000002</v>
      </c>
      <c r="D12" s="16">
        <v>96104.015979999996</v>
      </c>
      <c r="E12" s="16">
        <v>116984.68296000001</v>
      </c>
      <c r="F12" s="16">
        <v>125186.24217400001</v>
      </c>
      <c r="G12" s="16">
        <v>129900.41042400002</v>
      </c>
      <c r="H12" s="16"/>
      <c r="I12" s="16"/>
      <c r="J12" s="16"/>
      <c r="K12" s="16"/>
      <c r="L12" s="16"/>
      <c r="M12" s="16" t="s">
        <v>14</v>
      </c>
      <c r="N12" s="16" t="s">
        <v>14</v>
      </c>
      <c r="P12" s="17"/>
      <c r="T12" s="39">
        <f t="shared" si="4"/>
        <v>9</v>
      </c>
      <c r="U12" s="40">
        <f>E14</f>
        <v>121799.75327999999</v>
      </c>
      <c r="V12" s="41">
        <f t="shared" si="0"/>
        <v>146781.26170555825</v>
      </c>
      <c r="W12" s="42">
        <f t="shared" si="1"/>
        <v>24981.508425558262</v>
      </c>
      <c r="X12" s="43">
        <f t="shared" si="5"/>
        <v>1902.1443645298461</v>
      </c>
      <c r="Y12" s="44">
        <f t="shared" si="2"/>
        <v>7.6142094069219082E-2</v>
      </c>
      <c r="Z12" s="43">
        <f t="shared" si="6"/>
        <v>783.7049532644279</v>
      </c>
      <c r="AA12" s="44">
        <f t="shared" si="3"/>
        <v>3.1371402395486629E-2</v>
      </c>
      <c r="AB12" s="41">
        <f>IF(T12&lt;11,HLOOKUP(11-T12,$C$92:$M$94,3,FALSE)*V12*SUM(V13:$V$14),0)</f>
        <v>1403260.866608307</v>
      </c>
      <c r="AC12" s="45">
        <f t="shared" si="7"/>
        <v>2057.2667880670829</v>
      </c>
      <c r="AD12" s="101">
        <f t="shared" si="8"/>
        <v>8.2351583940476522E-2</v>
      </c>
    </row>
    <row r="13" spans="2:30">
      <c r="B13" s="39">
        <f t="shared" si="9"/>
        <v>8</v>
      </c>
      <c r="C13" s="16">
        <v>48294.757790000003</v>
      </c>
      <c r="D13" s="16">
        <v>97648.34739000001</v>
      </c>
      <c r="E13" s="16">
        <v>115952.59353000001</v>
      </c>
      <c r="F13" s="16">
        <v>124786.08131000001</v>
      </c>
      <c r="G13" s="16"/>
      <c r="H13" s="16"/>
      <c r="I13" s="16"/>
      <c r="J13" s="16"/>
      <c r="K13" s="16"/>
      <c r="L13" s="16"/>
      <c r="M13" s="16" t="s">
        <v>14</v>
      </c>
      <c r="N13" s="16" t="s">
        <v>14</v>
      </c>
      <c r="T13" s="39">
        <f t="shared" si="4"/>
        <v>10</v>
      </c>
      <c r="U13" s="40">
        <f>D15</f>
        <v>112342</v>
      </c>
      <c r="V13" s="41">
        <f t="shared" si="0"/>
        <v>160933.25674865756</v>
      </c>
      <c r="W13" s="42">
        <f t="shared" si="1"/>
        <v>48591.256748657557</v>
      </c>
      <c r="X13" s="43">
        <f t="shared" si="5"/>
        <v>2811.3667598180295</v>
      </c>
      <c r="Y13" s="44">
        <f t="shared" si="2"/>
        <v>5.7857461361002969E-2</v>
      </c>
      <c r="Z13" s="43">
        <f t="shared" si="6"/>
        <v>1115.7485805789477</v>
      </c>
      <c r="AA13" s="44">
        <f t="shared" si="3"/>
        <v>2.2961920625972958E-2</v>
      </c>
      <c r="AB13" s="41">
        <f>IF(T13&lt;11,HLOOKUP(11-T13,$C$92:$M$94,3,FALSE)*V13*SUM(V14:$V$14),0)</f>
        <v>1349229.1140425073</v>
      </c>
      <c r="AC13" s="45">
        <f t="shared" si="7"/>
        <v>3024.6781569736745</v>
      </c>
      <c r="AD13" s="101">
        <f t="shared" si="8"/>
        <v>6.2247374514700901E-2</v>
      </c>
    </row>
    <row r="14" spans="2:30">
      <c r="B14" s="39">
        <f t="shared" si="9"/>
        <v>9</v>
      </c>
      <c r="C14" s="16">
        <v>52590.220249999998</v>
      </c>
      <c r="D14" s="16">
        <v>103196.04024999999</v>
      </c>
      <c r="E14" s="16">
        <v>121799.75327999999</v>
      </c>
      <c r="F14" s="16"/>
      <c r="G14" s="16"/>
      <c r="H14" s="16"/>
      <c r="I14" s="16"/>
      <c r="J14" s="16"/>
      <c r="K14" s="16"/>
      <c r="L14" s="16"/>
      <c r="M14" s="16" t="s">
        <v>14</v>
      </c>
      <c r="N14" s="16" t="s">
        <v>14</v>
      </c>
      <c r="P14" s="17"/>
      <c r="T14" s="39">
        <f t="shared" si="4"/>
        <v>11</v>
      </c>
      <c r="U14" s="40">
        <f>C16</f>
        <v>60361.276160000001</v>
      </c>
      <c r="V14" s="41">
        <f t="shared" si="0"/>
        <v>174421.01842004477</v>
      </c>
      <c r="W14" s="42">
        <f t="shared" si="1"/>
        <v>114059.74226004476</v>
      </c>
      <c r="X14" s="43">
        <f t="shared" si="5"/>
        <v>5615.5760032770704</v>
      </c>
      <c r="Y14" s="44">
        <f t="shared" si="2"/>
        <v>4.9233637495639089E-2</v>
      </c>
      <c r="Z14" s="43">
        <f t="shared" si="6"/>
        <v>2073.7047648776938</v>
      </c>
      <c r="AA14" s="44">
        <f t="shared" si="3"/>
        <v>1.8180864902796773E-2</v>
      </c>
      <c r="AB14" s="41">
        <f>IF(T14&lt;11,HLOOKUP(11-T14,$C$92:$M$94,3,FALSE)*V14*SUM(V$14:$V15),0)</f>
        <v>0</v>
      </c>
      <c r="AC14" s="45">
        <f t="shared" si="7"/>
        <v>5986.2296398031485</v>
      </c>
      <c r="AD14" s="101">
        <f t="shared" si="8"/>
        <v>5.2483282192196667E-2</v>
      </c>
    </row>
    <row r="15" spans="2:30">
      <c r="B15" s="39">
        <f t="shared" si="9"/>
        <v>10</v>
      </c>
      <c r="C15" s="16">
        <v>58599</v>
      </c>
      <c r="D15" s="16">
        <v>112342</v>
      </c>
      <c r="E15" s="16"/>
      <c r="F15" s="16"/>
      <c r="G15" s="16"/>
      <c r="H15" s="16"/>
      <c r="I15" s="16"/>
      <c r="J15" s="16"/>
      <c r="K15" s="16"/>
      <c r="L15" s="16"/>
      <c r="M15" s="16" t="s">
        <v>14</v>
      </c>
      <c r="N15" s="16" t="s">
        <v>14</v>
      </c>
      <c r="P15" s="17"/>
      <c r="AC15" s="46"/>
      <c r="AD15" s="28"/>
    </row>
    <row r="16" spans="2:30">
      <c r="B16" s="39">
        <f t="shared" si="9"/>
        <v>11</v>
      </c>
      <c r="C16" s="16">
        <v>60361.276160000001</v>
      </c>
      <c r="D16" s="16"/>
      <c r="E16" s="16"/>
      <c r="F16" s="16"/>
      <c r="G16" s="16"/>
      <c r="H16" s="16"/>
      <c r="I16" s="16"/>
      <c r="J16" s="16"/>
      <c r="K16" s="16"/>
      <c r="L16" s="16"/>
      <c r="M16" s="16" t="s">
        <v>14</v>
      </c>
      <c r="N16" s="16" t="s">
        <v>14</v>
      </c>
      <c r="T16" s="39" t="s">
        <v>9</v>
      </c>
      <c r="U16" s="103">
        <f>SUM(U3:U14)</f>
        <v>1340758.1883513499</v>
      </c>
      <c r="V16" s="104">
        <f>SUM(V3:V14)</f>
        <v>1586072.8504274632</v>
      </c>
      <c r="W16" s="105">
        <f>SUM(W3:W14)</f>
        <v>245314.66207611284</v>
      </c>
      <c r="X16" s="106">
        <f>+SUMSQ(X3:X14)^0.5</f>
        <v>6836.9661944176241</v>
      </c>
      <c r="Y16" s="44">
        <f>X16/W16</f>
        <v>2.7870189806658782E-2</v>
      </c>
      <c r="Z16" s="106">
        <f>+SUMSQ(Z3:Z14)^0.5</f>
        <v>2665.9439497713183</v>
      </c>
      <c r="AA16" s="44">
        <f>Z16/W16</f>
        <v>1.0867446434751488E-2</v>
      </c>
      <c r="AB16" s="9" t="s">
        <v>60</v>
      </c>
      <c r="AC16" s="45">
        <f>SQRT(X16^2+Z16^2)</f>
        <v>7338.3488529049719</v>
      </c>
      <c r="AD16" s="102">
        <f>AC16/W16</f>
        <v>2.9914024668562741E-2</v>
      </c>
    </row>
    <row r="17" spans="2:30">
      <c r="B17" s="18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Y17" s="9" t="s">
        <v>57</v>
      </c>
      <c r="Z17" s="47">
        <f>SQRT(Z16^2+AB17*2)</f>
        <v>4699.3441170874912</v>
      </c>
      <c r="AA17" s="44">
        <f>Z17/W16</f>
        <v>1.9156393169966514E-2</v>
      </c>
      <c r="AB17" s="41">
        <f>SUM(AB3:AB14)</f>
        <v>7488288.9937412571</v>
      </c>
      <c r="AC17" s="107">
        <f>(Z16^2+X16^2+2*AB17)^0.5</f>
        <v>8296.2607163959237</v>
      </c>
      <c r="AD17" s="101">
        <f>AC17/W16</f>
        <v>3.3818853900472831E-2</v>
      </c>
    </row>
    <row r="18" spans="2:30">
      <c r="AB18" s="9" t="s">
        <v>61</v>
      </c>
      <c r="AC18" s="47">
        <f>(X16^2+SUM(Z4:Z14)^2)^0.5</f>
        <v>9318.7848520287025</v>
      </c>
      <c r="AD18" s="102">
        <f>AC18/W16</f>
        <v>3.7987068417204506E-2</v>
      </c>
    </row>
    <row r="19" spans="2:30">
      <c r="X19" s="47"/>
      <c r="Z19" s="47"/>
      <c r="AB19" s="9" t="s">
        <v>62</v>
      </c>
      <c r="AC19" s="47">
        <f>SQRT(SUM(X4:X14)^2+SUM(Z4:Z14)^2)</f>
        <v>15955.350196261157</v>
      </c>
      <c r="AD19" s="102">
        <f>AC19/W16</f>
        <v>6.5040344760602817E-2</v>
      </c>
    </row>
    <row r="20" spans="2:30">
      <c r="U20" s="29"/>
      <c r="V20" s="29"/>
      <c r="W20" s="29"/>
      <c r="X20" s="29"/>
      <c r="Y20" s="102"/>
      <c r="Z20" s="102"/>
      <c r="AA20" s="102"/>
      <c r="AC20" s="102"/>
      <c r="AD20" s="102"/>
    </row>
    <row r="21" spans="2:30">
      <c r="B21" s="10"/>
      <c r="C21" s="10"/>
      <c r="D21" s="10" t="s">
        <v>14</v>
      </c>
      <c r="E21" s="11" t="s">
        <v>44</v>
      </c>
      <c r="F21" s="10"/>
      <c r="G21" s="10"/>
      <c r="H21" s="10"/>
      <c r="I21" s="10"/>
      <c r="J21" s="10"/>
      <c r="K21" s="10"/>
      <c r="L21" s="10"/>
      <c r="M21" s="10"/>
      <c r="N21" s="10"/>
      <c r="U21" s="47"/>
      <c r="V21" s="47"/>
      <c r="W21" s="47"/>
      <c r="X21" s="47"/>
      <c r="Y21" s="47"/>
      <c r="Z21" s="47"/>
      <c r="AA21" s="47"/>
      <c r="AC21" s="47"/>
      <c r="AD21" s="47"/>
    </row>
    <row r="22" spans="2:30">
      <c r="B22" s="10"/>
      <c r="C22" s="12" t="s">
        <v>12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2:30">
      <c r="B23" s="14" t="s">
        <v>46</v>
      </c>
      <c r="C23" s="20">
        <v>0</v>
      </c>
      <c r="D23" s="20">
        <v>1</v>
      </c>
      <c r="E23" s="20">
        <v>2</v>
      </c>
      <c r="F23" s="20">
        <v>3</v>
      </c>
      <c r="G23" s="20">
        <v>4</v>
      </c>
      <c r="H23" s="20">
        <v>5</v>
      </c>
      <c r="I23" s="20">
        <v>6</v>
      </c>
      <c r="J23" s="20">
        <v>7</v>
      </c>
      <c r="K23" s="20">
        <v>8</v>
      </c>
      <c r="L23" s="20">
        <v>9</v>
      </c>
      <c r="M23" s="20">
        <v>10</v>
      </c>
      <c r="N23" s="20">
        <v>11</v>
      </c>
    </row>
    <row r="24" spans="2:30">
      <c r="B24" s="39">
        <v>0</v>
      </c>
      <c r="C24" s="21">
        <f>D5/C5</f>
        <v>2.0282974196169148</v>
      </c>
      <c r="D24" s="21">
        <f t="shared" ref="D24:M24" si="10">E5/D5</f>
        <v>1.2160231996475825</v>
      </c>
      <c r="E24" s="21">
        <f t="shared" si="10"/>
        <v>1.073317866507391</v>
      </c>
      <c r="F24" s="21">
        <f t="shared" si="10"/>
        <v>1.0362118012321537</v>
      </c>
      <c r="G24" s="21">
        <f t="shared" si="10"/>
        <v>1.0302356584560437</v>
      </c>
      <c r="H24" s="21">
        <f t="shared" si="10"/>
        <v>1.0165919400082364</v>
      </c>
      <c r="I24" s="21">
        <f t="shared" si="10"/>
        <v>1.0151535009515595</v>
      </c>
      <c r="J24" s="21">
        <f t="shared" si="10"/>
        <v>1.0113475648940662</v>
      </c>
      <c r="K24" s="21">
        <f t="shared" si="10"/>
        <v>1.0102503829512732</v>
      </c>
      <c r="L24" s="21">
        <f t="shared" si="10"/>
        <v>1.0033252837701321</v>
      </c>
      <c r="M24" s="21">
        <f t="shared" si="10"/>
        <v>1.0211085663148023</v>
      </c>
      <c r="N24" s="21"/>
    </row>
    <row r="25" spans="2:30">
      <c r="B25" s="39">
        <f>B24+1</f>
        <v>1</v>
      </c>
      <c r="C25" s="21">
        <f t="shared" ref="C25:D34" si="11">D6/C6</f>
        <v>2.1296261508729835</v>
      </c>
      <c r="D25" s="21">
        <f t="shared" si="11"/>
        <v>1.1974652966940986</v>
      </c>
      <c r="E25" s="21">
        <f t="shared" ref="E25:F25" si="12">F6/E6</f>
        <v>1.0719934476814301</v>
      </c>
      <c r="F25" s="21">
        <f t="shared" si="12"/>
        <v>1.0329824700495323</v>
      </c>
      <c r="G25" s="21">
        <f t="shared" ref="G25:H25" si="13">H6/G6</f>
        <v>1.0268331950712166</v>
      </c>
      <c r="H25" s="21">
        <f t="shared" si="13"/>
        <v>1.009904786338933</v>
      </c>
      <c r="I25" s="21">
        <f t="shared" ref="I25:J25" si="14">J6/I6</f>
        <v>1.0114953875618273</v>
      </c>
      <c r="J25" s="21">
        <f t="shared" si="14"/>
        <v>1.0077499515007038</v>
      </c>
      <c r="K25" s="21">
        <f t="shared" ref="K25:L25" si="15">L6/K6</f>
        <v>1.0048019411999829</v>
      </c>
      <c r="L25" s="21">
        <f t="shared" si="15"/>
        <v>1.0047593261210175</v>
      </c>
      <c r="M25" s="21" t="str">
        <f t="shared" ref="M25:M35" si="16">IFERROR(IF(N6&lt;&gt;"",IF($B25+M$23 &lt;= LatestYear,N6/M6,""),""),"")</f>
        <v/>
      </c>
      <c r="N25" s="21" t="str">
        <f>IFERROR(IF(#REF!&lt;&gt;"",IF($B25+N$23 &lt;= LatestYear,#REF!/N6,""),""),"")</f>
        <v/>
      </c>
    </row>
    <row r="26" spans="2:30">
      <c r="B26" s="39">
        <f t="shared" ref="B26" si="17">B25+1</f>
        <v>2</v>
      </c>
      <c r="C26" s="21">
        <f t="shared" si="11"/>
        <v>2.0622281062870993</v>
      </c>
      <c r="D26" s="21">
        <f t="shared" si="11"/>
        <v>1.1662535894623522</v>
      </c>
      <c r="E26" s="21">
        <f t="shared" ref="E26:F26" si="18">F7/E7</f>
        <v>1.0664135237676928</v>
      </c>
      <c r="F26" s="21">
        <f t="shared" si="18"/>
        <v>1.0310641885004925</v>
      </c>
      <c r="G26" s="21">
        <f t="shared" ref="G26:H26" si="19">H7/G7</f>
        <v>1.0126572884240004</v>
      </c>
      <c r="H26" s="21">
        <f t="shared" si="19"/>
        <v>1.0123563014270842</v>
      </c>
      <c r="I26" s="21">
        <f t="shared" ref="I26:J26" si="20">J7/I7</f>
        <v>1.0110801335325594</v>
      </c>
      <c r="J26" s="21">
        <f t="shared" si="20"/>
        <v>1.0087341916704313</v>
      </c>
      <c r="K26" s="21">
        <f t="shared" ref="K26" si="21">L7/K7</f>
        <v>1.0053551937629057</v>
      </c>
      <c r="L26" s="21" t="str">
        <f t="shared" ref="L26:L35" si="22">IFERROR(IF(M7&lt;&gt;"",IF($B26+L$23 &lt;= LatestYear,M7/L7,""),""),"")</f>
        <v/>
      </c>
      <c r="M26" s="21" t="str">
        <f t="shared" si="16"/>
        <v/>
      </c>
      <c r="N26" s="21" t="str">
        <f>IFERROR(IF(#REF!&lt;&gt;"",IF($B26+N$23 &lt;= LatestYear,#REF!/N7,""),""),"")</f>
        <v/>
      </c>
    </row>
    <row r="27" spans="2:30">
      <c r="B27" s="39">
        <f t="shared" ref="B27" si="23">B26+1</f>
        <v>3</v>
      </c>
      <c r="C27" s="21">
        <f t="shared" si="11"/>
        <v>2.1009800909582736</v>
      </c>
      <c r="D27" s="21">
        <f t="shared" si="11"/>
        <v>1.1810062947594349</v>
      </c>
      <c r="E27" s="21">
        <f t="shared" ref="E27:F27" si="24">F8/E8</f>
        <v>1.0557784857884482</v>
      </c>
      <c r="F27" s="21">
        <f t="shared" si="24"/>
        <v>1.0247024630417849</v>
      </c>
      <c r="G27" s="21">
        <f t="shared" ref="G27:H27" si="25">H8/G8</f>
        <v>1.0182892103027594</v>
      </c>
      <c r="H27" s="21">
        <f t="shared" si="25"/>
        <v>1.0193409912546454</v>
      </c>
      <c r="I27" s="21">
        <f t="shared" ref="I27:J27" si="26">J8/I8</f>
        <v>1.0105166268412891</v>
      </c>
      <c r="J27" s="21">
        <f t="shared" si="26"/>
        <v>1.0076680112771106</v>
      </c>
      <c r="K27" s="21" t="str">
        <f t="shared" ref="K27:K35" si="27">IFERROR(IF(L8&lt;&gt;"",IF($B27+K$23 &lt;= LatestYear,L8/K8,""),""),"")</f>
        <v/>
      </c>
      <c r="L27" s="21" t="str">
        <f t="shared" si="22"/>
        <v/>
      </c>
      <c r="M27" s="21" t="str">
        <f t="shared" si="16"/>
        <v/>
      </c>
      <c r="N27" s="21" t="str">
        <f>IFERROR(IF(#REF!&lt;&gt;"",IF($B27+N$23 &lt;= LatestYear,#REF!/N8,""),""),"")</f>
        <v/>
      </c>
    </row>
    <row r="28" spans="2:30">
      <c r="B28" s="39">
        <f t="shared" ref="B28" si="28">B27+1</f>
        <v>4</v>
      </c>
      <c r="C28" s="21">
        <f t="shared" si="11"/>
        <v>2.0311474564863432</v>
      </c>
      <c r="D28" s="21">
        <f t="shared" si="11"/>
        <v>1.1711869656680589</v>
      </c>
      <c r="E28" s="21">
        <f t="shared" ref="E28:F28" si="29">F9/E9</f>
        <v>1.0521991531894246</v>
      </c>
      <c r="F28" s="21">
        <f t="shared" si="29"/>
        <v>1.0230080848043046</v>
      </c>
      <c r="G28" s="21">
        <f t="shared" ref="G28:H28" si="30">H9/G9</f>
        <v>1.0257281777464446</v>
      </c>
      <c r="H28" s="21">
        <f t="shared" si="30"/>
        <v>1.0111705293452484</v>
      </c>
      <c r="I28" s="21">
        <f t="shared" ref="I28" si="31">J9/I9</f>
        <v>1.0095961691479005</v>
      </c>
      <c r="J28" s="21" t="str">
        <f t="shared" ref="J28:J35" si="32">IFERROR(IF(K9&lt;&gt;"",IF($B28+J$23 &lt;= LatestYear,K9/J9,""),""),"")</f>
        <v/>
      </c>
      <c r="K28" s="21" t="str">
        <f t="shared" si="27"/>
        <v/>
      </c>
      <c r="L28" s="21" t="str">
        <f t="shared" si="22"/>
        <v/>
      </c>
      <c r="M28" s="21" t="str">
        <f t="shared" si="16"/>
        <v/>
      </c>
      <c r="N28" s="21" t="str">
        <f>IFERROR(IF(#REF!&lt;&gt;"",IF($B28+N$23 &lt;= LatestYear,#REF!/N9,""),""),"")</f>
        <v/>
      </c>
    </row>
    <row r="29" spans="2:30">
      <c r="B29" s="39">
        <f t="shared" ref="B29" si="33">B28+1</f>
        <v>5</v>
      </c>
      <c r="C29" s="21">
        <f t="shared" si="11"/>
        <v>1.955184982843192</v>
      </c>
      <c r="D29" s="21">
        <f t="shared" si="11"/>
        <v>1.1814509355388039</v>
      </c>
      <c r="E29" s="21">
        <f t="shared" ref="E29:F29" si="34">F10/E10</f>
        <v>1.0605556172585144</v>
      </c>
      <c r="F29" s="21">
        <f t="shared" si="34"/>
        <v>1.0319253342535448</v>
      </c>
      <c r="G29" s="21">
        <f t="shared" ref="G29:H29" si="35">H10/G10</f>
        <v>1.021437377162792</v>
      </c>
      <c r="H29" s="21">
        <f t="shared" si="35"/>
        <v>1.017452571578791</v>
      </c>
      <c r="I29" s="21" t="str">
        <f t="shared" ref="I29:I35" si="36">IFERROR(IF(J10&lt;&gt;"",IF($B29+I$23 &lt;= LatestYear,J10/I10,""),""),"")</f>
        <v/>
      </c>
      <c r="J29" s="21" t="str">
        <f t="shared" si="32"/>
        <v/>
      </c>
      <c r="K29" s="21" t="str">
        <f t="shared" si="27"/>
        <v/>
      </c>
      <c r="L29" s="21" t="str">
        <f t="shared" si="22"/>
        <v/>
      </c>
      <c r="M29" s="21" t="str">
        <f t="shared" si="16"/>
        <v/>
      </c>
      <c r="N29" s="21" t="str">
        <f>IFERROR(IF(#REF!&lt;&gt;"",IF($B29+N$23 &lt;= LatestYear,#REF!/N10,""),""),"")</f>
        <v/>
      </c>
    </row>
    <row r="30" spans="2:30">
      <c r="B30" s="39">
        <f t="shared" ref="B30" si="37">B29+1</f>
        <v>6</v>
      </c>
      <c r="C30" s="21">
        <f t="shared" si="11"/>
        <v>2.0074880075836687</v>
      </c>
      <c r="D30" s="21">
        <f t="shared" si="11"/>
        <v>1.1964659712874268</v>
      </c>
      <c r="E30" s="21">
        <f t="shared" ref="E30:F30" si="38">F11/E11</f>
        <v>1.0843006547935803</v>
      </c>
      <c r="F30" s="21">
        <f t="shared" si="38"/>
        <v>1.0444940013550876</v>
      </c>
      <c r="G30" s="21">
        <f t="shared" ref="G30" si="39">H11/G11</f>
        <v>1.0245423961507978</v>
      </c>
      <c r="H30" s="21" t="str">
        <f t="shared" ref="H30:H35" si="40">IFERROR(IF(I11&lt;&gt;"",IF($B30+H$23 &lt;= LatestYear,I11/H11,""),""),"")</f>
        <v/>
      </c>
      <c r="I30" s="21" t="str">
        <f t="shared" si="36"/>
        <v/>
      </c>
      <c r="J30" s="21" t="str">
        <f t="shared" si="32"/>
        <v/>
      </c>
      <c r="K30" s="21" t="str">
        <f t="shared" si="27"/>
        <v/>
      </c>
      <c r="L30" s="21" t="str">
        <f t="shared" si="22"/>
        <v/>
      </c>
      <c r="M30" s="21" t="str">
        <f t="shared" si="16"/>
        <v/>
      </c>
      <c r="N30" s="21" t="str">
        <f>IFERROR(IF(#REF!&lt;&gt;"",IF($B30+N$23 &lt;= LatestYear,#REF!/N11,""),""),"")</f>
        <v/>
      </c>
    </row>
    <row r="31" spans="2:30">
      <c r="B31" s="39">
        <f t="shared" ref="B31" si="41">B30+1</f>
        <v>7</v>
      </c>
      <c r="C31" s="21">
        <f t="shared" si="11"/>
        <v>2.0707734054403759</v>
      </c>
      <c r="D31" s="21">
        <f t="shared" si="11"/>
        <v>1.217271534046459</v>
      </c>
      <c r="E31" s="21">
        <f t="shared" ref="E31:F31" si="42">F12/E12</f>
        <v>1.0701079748773976</v>
      </c>
      <c r="F31" s="21">
        <f t="shared" si="42"/>
        <v>1.037657239071428</v>
      </c>
      <c r="G31" s="21" t="str">
        <f>IFERROR(IF(H12&lt;&gt;"",IF($B31+G$23 &lt;= LatestYear,H12/G12,""),""),"")</f>
        <v/>
      </c>
      <c r="H31" s="21" t="str">
        <f t="shared" si="40"/>
        <v/>
      </c>
      <c r="I31" s="21" t="str">
        <f t="shared" si="36"/>
        <v/>
      </c>
      <c r="J31" s="21" t="str">
        <f t="shared" si="32"/>
        <v/>
      </c>
      <c r="K31" s="21" t="str">
        <f t="shared" si="27"/>
        <v/>
      </c>
      <c r="L31" s="21" t="str">
        <f t="shared" si="22"/>
        <v/>
      </c>
      <c r="M31" s="21" t="str">
        <f t="shared" si="16"/>
        <v/>
      </c>
      <c r="N31" s="21" t="str">
        <f>IFERROR(IF(#REF!&lt;&gt;"",IF($B31+N$23 &lt;= LatestYear,#REF!/N12,""),""),"")</f>
        <v/>
      </c>
    </row>
    <row r="32" spans="2:30">
      <c r="B32" s="39">
        <f t="shared" ref="B32" si="43">B31+1</f>
        <v>8</v>
      </c>
      <c r="C32" s="21">
        <f t="shared" si="11"/>
        <v>2.0219243631908066</v>
      </c>
      <c r="D32" s="21">
        <f t="shared" si="11"/>
        <v>1.1874506494912223</v>
      </c>
      <c r="E32" s="21">
        <f t="shared" ref="E32" si="44">F13/E13</f>
        <v>1.0761818904698714</v>
      </c>
      <c r="F32" s="21" t="str">
        <f>IFERROR(IF(G13&lt;&gt;"",IF($B32+F$23 &lt;= LatestYear,G13/F13,""),""),"")</f>
        <v/>
      </c>
      <c r="G32" s="21" t="str">
        <f>IFERROR(IF(H13&lt;&gt;"",IF($B32+G$23 &lt;= LatestYear,H13/G13,""),""),"")</f>
        <v/>
      </c>
      <c r="H32" s="21" t="str">
        <f t="shared" si="40"/>
        <v/>
      </c>
      <c r="I32" s="21" t="str">
        <f t="shared" si="36"/>
        <v/>
      </c>
      <c r="J32" s="21" t="str">
        <f t="shared" si="32"/>
        <v/>
      </c>
      <c r="K32" s="21" t="str">
        <f t="shared" si="27"/>
        <v/>
      </c>
      <c r="L32" s="21" t="str">
        <f t="shared" si="22"/>
        <v/>
      </c>
      <c r="M32" s="21" t="str">
        <f t="shared" si="16"/>
        <v/>
      </c>
      <c r="N32" s="21" t="str">
        <f>IFERROR(IF(#REF!&lt;&gt;"",IF($B32+N$23 &lt;= LatestYear,#REF!/N13,""),""),"")</f>
        <v/>
      </c>
    </row>
    <row r="33" spans="2:16">
      <c r="B33" s="39">
        <f t="shared" ref="B33" si="45">B32+1</f>
        <v>9</v>
      </c>
      <c r="C33" s="21">
        <f t="shared" si="11"/>
        <v>1.9622667438819101</v>
      </c>
      <c r="D33" s="21">
        <f t="shared" si="11"/>
        <v>1.1802754542221885</v>
      </c>
      <c r="E33" s="21" t="str">
        <f>IFERROR(IF(F14&lt;&gt;"",IF($B33+E$23 &lt;= LatestYear,F14/E14,""),""),"")</f>
        <v/>
      </c>
      <c r="F33" s="21" t="str">
        <f>IFERROR(IF(G14&lt;&gt;"",IF($B33+F$23 &lt;= LatestYear,G14/F14,""),""),"")</f>
        <v/>
      </c>
      <c r="G33" s="21" t="str">
        <f>IFERROR(IF(H14&lt;&gt;"",IF($B33+G$23 &lt;= LatestYear,H14/G14,""),""),"")</f>
        <v/>
      </c>
      <c r="H33" s="21" t="str">
        <f t="shared" si="40"/>
        <v/>
      </c>
      <c r="I33" s="21" t="str">
        <f t="shared" si="36"/>
        <v/>
      </c>
      <c r="J33" s="21" t="str">
        <f t="shared" si="32"/>
        <v/>
      </c>
      <c r="K33" s="21" t="str">
        <f t="shared" si="27"/>
        <v/>
      </c>
      <c r="L33" s="21" t="str">
        <f t="shared" si="22"/>
        <v/>
      </c>
      <c r="M33" s="21" t="str">
        <f t="shared" si="16"/>
        <v/>
      </c>
      <c r="N33" s="21" t="str">
        <f>IFERROR(IF(#REF!&lt;&gt;"",IF($B33+N$23 &lt;= LatestYear,#REF!/N14,""),""),"")</f>
        <v/>
      </c>
    </row>
    <row r="34" spans="2:16">
      <c r="B34" s="39">
        <f t="shared" ref="B34" si="46">B33+1</f>
        <v>10</v>
      </c>
      <c r="C34" s="21">
        <f t="shared" si="11"/>
        <v>1.9171316916670933</v>
      </c>
      <c r="D34" s="21" t="str">
        <f>IFERROR(IF(E15&lt;&gt;"",IF($B34+D$23 &lt;= LatestYear,E15/D15,""),""),"")</f>
        <v/>
      </c>
      <c r="E34" s="21" t="str">
        <f>IFERROR(IF(F15&lt;&gt;"",IF($B34+E$23 &lt;= LatestYear,F15/E15,""),""),"")</f>
        <v/>
      </c>
      <c r="F34" s="21" t="str">
        <f>IFERROR(IF(G15&lt;&gt;"",IF($B34+F$23 &lt;= LatestYear,G15/F15,""),""),"")</f>
        <v/>
      </c>
      <c r="G34" s="21" t="str">
        <f>IFERROR(IF(H15&lt;&gt;"",IF($B34+G$23 &lt;= LatestYear,H15/G15,""),""),"")</f>
        <v/>
      </c>
      <c r="H34" s="21" t="str">
        <f t="shared" si="40"/>
        <v/>
      </c>
      <c r="I34" s="21" t="str">
        <f t="shared" si="36"/>
        <v/>
      </c>
      <c r="J34" s="21" t="str">
        <f t="shared" si="32"/>
        <v/>
      </c>
      <c r="K34" s="21" t="str">
        <f t="shared" si="27"/>
        <v/>
      </c>
      <c r="L34" s="21" t="str">
        <f t="shared" si="22"/>
        <v/>
      </c>
      <c r="M34" s="21" t="str">
        <f t="shared" si="16"/>
        <v/>
      </c>
      <c r="N34" s="21" t="str">
        <f>IFERROR(IF(#REF!&lt;&gt;"",IF($B34+N$23 &lt;= LatestYear,#REF!/N15,""),""),"")</f>
        <v/>
      </c>
    </row>
    <row r="35" spans="2:16">
      <c r="B35" s="39">
        <f t="shared" ref="B35" si="47">B34+1</f>
        <v>11</v>
      </c>
      <c r="C35" s="21" t="str">
        <f>IFERROR(IF(D16&lt;&gt;"",IF($B35+C$23 &lt;= LatestYear,D16/C16,""),""),"")</f>
        <v/>
      </c>
      <c r="D35" s="21" t="str">
        <f>IFERROR(IF(E16&lt;&gt;"",IF($B35+D$23 &lt;= LatestYear,E16/D16,""),""),"")</f>
        <v/>
      </c>
      <c r="E35" s="21" t="str">
        <f>IFERROR(IF(F16&lt;&gt;"",IF($B35+E$23 &lt;= LatestYear,F16/E16,""),""),"")</f>
        <v/>
      </c>
      <c r="F35" s="21" t="str">
        <f>IFERROR(IF(G16&lt;&gt;"",IF($B35+F$23 &lt;= LatestYear,G16/F16,""),""),"")</f>
        <v/>
      </c>
      <c r="G35" s="21" t="str">
        <f>IFERROR(IF(H16&lt;&gt;"",IF($B35+G$23 &lt;= LatestYear,H16/G16,""),""),"")</f>
        <v/>
      </c>
      <c r="H35" s="21" t="str">
        <f t="shared" si="40"/>
        <v/>
      </c>
      <c r="I35" s="21" t="str">
        <f t="shared" si="36"/>
        <v/>
      </c>
      <c r="J35" s="21" t="str">
        <f t="shared" si="32"/>
        <v/>
      </c>
      <c r="K35" s="21" t="str">
        <f t="shared" si="27"/>
        <v/>
      </c>
      <c r="L35" s="21" t="str">
        <f t="shared" si="22"/>
        <v/>
      </c>
      <c r="M35" s="21" t="str">
        <f t="shared" si="16"/>
        <v/>
      </c>
      <c r="N35" s="21" t="str">
        <f>IFERROR(IF(#REF!&lt;&gt;"",IF($B35+N$23 &lt;= LatestYear,#REF!/N16,""),""),"")</f>
        <v/>
      </c>
    </row>
    <row r="36" spans="2:16"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1"/>
    </row>
    <row r="37" spans="2:16">
      <c r="B37" s="23" t="s">
        <v>43</v>
      </c>
      <c r="C37" s="24">
        <v>0</v>
      </c>
      <c r="D37" s="24">
        <v>1</v>
      </c>
      <c r="E37" s="24">
        <f>D37+1</f>
        <v>2</v>
      </c>
      <c r="F37" s="24">
        <f t="shared" ref="F37:M37" si="48">E37+1</f>
        <v>3</v>
      </c>
      <c r="G37" s="24">
        <f t="shared" si="48"/>
        <v>4</v>
      </c>
      <c r="H37" s="24">
        <f t="shared" si="48"/>
        <v>5</v>
      </c>
      <c r="I37" s="24">
        <f t="shared" si="48"/>
        <v>6</v>
      </c>
      <c r="J37" s="24">
        <f t="shared" si="48"/>
        <v>7</v>
      </c>
      <c r="K37" s="24">
        <f t="shared" si="48"/>
        <v>8</v>
      </c>
      <c r="L37" s="24">
        <f t="shared" si="48"/>
        <v>9</v>
      </c>
      <c r="M37" s="24">
        <f t="shared" si="48"/>
        <v>10</v>
      </c>
      <c r="N37" s="24"/>
      <c r="O37" s="25"/>
      <c r="P37" s="26"/>
    </row>
    <row r="38" spans="2:16">
      <c r="B38" s="23" t="s">
        <v>47</v>
      </c>
      <c r="C38" s="27">
        <f>SUM(D5:D16)/(SUM(C5:C16)-VLOOKUP(11-C37,$B5:C16,C37+2,FALSE))</f>
        <v>2.0171433188244361</v>
      </c>
      <c r="D38" s="27">
        <f>SUM(E5:E16)/(SUM(D5:D16)-VLOOKUP(11-D37,$B5:D16,D37+2,FALSE))</f>
        <v>1.188719647365996</v>
      </c>
      <c r="E38" s="27">
        <f>SUM(F5:F16)/(SUM(E5:E16)-VLOOKUP(11-E37,$B5:E16,E37+2,FALSE))</f>
        <v>1.0679386190747573</v>
      </c>
      <c r="F38" s="27">
        <f>SUM(G5:G16)/(SUM(F5:F16)-VLOOKUP(11-F37,$B5:F16,F37+2,FALSE))</f>
        <v>1.0330080258939325</v>
      </c>
      <c r="G38" s="27">
        <f>SUM(H5:H16)/(SUM(G5:G16)-VLOOKUP(11-G37,$B5:G16,G37+2,FALSE))</f>
        <v>1.0225796785638588</v>
      </c>
      <c r="H38" s="27">
        <f>SUM(I5:I16)/(SUM(H5:H16)-VLOOKUP(11-H37,$B5:H16,H37+2,FALSE))</f>
        <v>1.0145918797043163</v>
      </c>
      <c r="I38" s="27">
        <f>SUM(J5:J16)/(SUM(I5:I16)-VLOOKUP(11-I37,$B5:I16,I37+2,FALSE))</f>
        <v>1.0113450250708893</v>
      </c>
      <c r="J38" s="27">
        <f>SUM(K5:K16)/(SUM(J5:J16)-VLOOKUP(11-J37,$B5:J16,J37+2,FALSE))</f>
        <v>1.0087400099976809</v>
      </c>
      <c r="K38" s="27">
        <f>SUM(L5:L16)/(SUM(K5:K16)-VLOOKUP(11-K37,$B5:K16,K37+2,FALSE))</f>
        <v>1.0066166186595176</v>
      </c>
      <c r="L38" s="27">
        <f>SUM(M5:M16)/(SUM(L5:L16)-VLOOKUP(11-L37,$B5:L16,L37+2,FALSE))</f>
        <v>1.0040863784742426</v>
      </c>
      <c r="M38" s="27">
        <f>SUM(N5:N16)/(SUM(M5:M16)-VLOOKUP(11-M37,$B5:M16,M37+2,FALSE))</f>
        <v>1.0211085663148023</v>
      </c>
      <c r="N38" s="27"/>
      <c r="O38" s="25"/>
      <c r="P38" s="26"/>
    </row>
    <row r="39" spans="2:16">
      <c r="B39" s="23" t="s">
        <v>1</v>
      </c>
      <c r="C39" s="27">
        <f>PRODUCT(C$38:$M$38)</f>
        <v>2.8896178065835776</v>
      </c>
      <c r="D39" s="27">
        <f>PRODUCT(D$38:$M$38)</f>
        <v>1.4325297462094104</v>
      </c>
      <c r="E39" s="27">
        <f>PRODUCT(E$38:$M$38)</f>
        <v>1.2051031118932518</v>
      </c>
      <c r="F39" s="27">
        <f>PRODUCT(F$38:$M$38)</f>
        <v>1.1284385547713702</v>
      </c>
      <c r="G39" s="27">
        <f>PRODUCT(G$38:$M$38)</f>
        <v>1.0923812075853476</v>
      </c>
      <c r="H39" s="27">
        <f>PRODUCT(H$38:$M$38)</f>
        <v>1.0682602348596641</v>
      </c>
      <c r="I39" s="27">
        <f>PRODUCT(I$38:$M$38)</f>
        <v>1.0528964958511084</v>
      </c>
      <c r="J39" s="27">
        <f>PRODUCT(J$38:$M$38)</f>
        <v>1.0410853563820186</v>
      </c>
      <c r="K39" s="27">
        <f>PRODUCT(K$38:$M$38)</f>
        <v>1.0320650971149763</v>
      </c>
      <c r="L39" s="27">
        <f>PRODUCT(L$38:$M$38)</f>
        <v>1.0252812023800559</v>
      </c>
      <c r="M39" s="27">
        <f>PRODUCT(M$38:$M$38)</f>
        <v>1.0211085663148023</v>
      </c>
      <c r="N39" s="24"/>
      <c r="O39" s="25"/>
      <c r="P39" s="26"/>
    </row>
    <row r="41" spans="2:16">
      <c r="B41" s="28" t="s">
        <v>49</v>
      </c>
      <c r="C41" s="28"/>
    </row>
    <row r="42" spans="2:16">
      <c r="B42" s="14" t="s">
        <v>46</v>
      </c>
      <c r="C42" s="24">
        <v>0</v>
      </c>
      <c r="D42" s="24">
        <v>1</v>
      </c>
      <c r="E42" s="24">
        <f>D42+1</f>
        <v>2</v>
      </c>
      <c r="F42" s="24">
        <f t="shared" ref="F42:M42" si="49">E42+1</f>
        <v>3</v>
      </c>
      <c r="G42" s="24">
        <f t="shared" si="49"/>
        <v>4</v>
      </c>
      <c r="H42" s="24">
        <f t="shared" si="49"/>
        <v>5</v>
      </c>
      <c r="I42" s="24">
        <f t="shared" si="49"/>
        <v>6</v>
      </c>
      <c r="J42" s="24">
        <f t="shared" si="49"/>
        <v>7</v>
      </c>
      <c r="K42" s="24">
        <f t="shared" si="49"/>
        <v>8</v>
      </c>
      <c r="L42" s="24">
        <f t="shared" si="49"/>
        <v>9</v>
      </c>
      <c r="M42" s="24">
        <f t="shared" si="49"/>
        <v>10</v>
      </c>
      <c r="N42" s="9">
        <v>11</v>
      </c>
    </row>
    <row r="43" spans="2:16">
      <c r="B43" s="39">
        <v>0</v>
      </c>
      <c r="C43" s="29">
        <f>C5</f>
        <v>28446.238239999999</v>
      </c>
      <c r="D43" s="29">
        <f t="shared" ref="C43:D53" si="50">D5</f>
        <v>57697.431620000003</v>
      </c>
      <c r="E43" s="29">
        <f t="shared" ref="E43:F43" si="51">E5</f>
        <v>70161.415410000001</v>
      </c>
      <c r="F43" s="29">
        <f t="shared" si="51"/>
        <v>75305.500698999997</v>
      </c>
      <c r="G43" s="29">
        <f t="shared" ref="G43:H43" si="52">G5</f>
        <v>78032.448521999991</v>
      </c>
      <c r="H43" s="29">
        <f t="shared" si="52"/>
        <v>80391.810983999996</v>
      </c>
      <c r="I43" s="29">
        <f t="shared" ref="I43:J43" si="53">I5</f>
        <v>81725.667088999995</v>
      </c>
      <c r="J43" s="29">
        <f t="shared" si="53"/>
        <v>82964.097062999994</v>
      </c>
      <c r="K43" s="29">
        <f t="shared" ref="K43:L43" si="54">K5</f>
        <v>83905.537538299992</v>
      </c>
      <c r="L43" s="29">
        <f t="shared" si="54"/>
        <v>84765.601429799994</v>
      </c>
      <c r="M43" s="29">
        <f t="shared" ref="M43:N43" si="55">M5</f>
        <v>85047.471108499987</v>
      </c>
      <c r="N43" s="29">
        <f t="shared" si="55"/>
        <v>86842.7012923</v>
      </c>
    </row>
    <row r="44" spans="2:16">
      <c r="B44" s="39">
        <f>B43+1</f>
        <v>1</v>
      </c>
      <c r="C44" s="29">
        <f t="shared" si="50"/>
        <v>31963.048289999999</v>
      </c>
      <c r="D44" s="29">
        <f t="shared" si="50"/>
        <v>68069.343499999988</v>
      </c>
      <c r="E44" s="29">
        <f t="shared" ref="E44:F44" si="56">E6</f>
        <v>81510.676609999995</v>
      </c>
      <c r="F44" s="29">
        <f t="shared" si="56"/>
        <v>87378.911242000002</v>
      </c>
      <c r="G44" s="29">
        <f t="shared" ref="G44:H44" si="57">G6</f>
        <v>90260.883564999996</v>
      </c>
      <c r="H44" s="29">
        <f t="shared" si="57"/>
        <v>92682.871461000002</v>
      </c>
      <c r="I44" s="29">
        <f t="shared" ref="I44:J44" si="58">I6</f>
        <v>93600.875500099995</v>
      </c>
      <c r="J44" s="29">
        <f t="shared" si="58"/>
        <v>94676.853840099997</v>
      </c>
      <c r="K44" s="29">
        <f t="shared" ref="K44:L44" si="59">K6</f>
        <v>95410.594865599996</v>
      </c>
      <c r="L44" s="29">
        <f t="shared" si="59"/>
        <v>95868.750931999995</v>
      </c>
      <c r="M44" s="29">
        <f t="shared" ref="M44" si="60">M6</f>
        <v>96325.02158249999</v>
      </c>
      <c r="N44" s="30">
        <f t="shared" ref="E44:N54" si="61">M44*M$38</f>
        <v>98358.304688348959</v>
      </c>
    </row>
    <row r="45" spans="2:16">
      <c r="B45" s="39">
        <f t="shared" ref="B45" si="62">B44+1</f>
        <v>2</v>
      </c>
      <c r="C45" s="29">
        <f t="shared" si="50"/>
        <v>37774.740230000003</v>
      </c>
      <c r="D45" s="29">
        <f t="shared" si="50"/>
        <v>77900.131010000012</v>
      </c>
      <c r="E45" s="29">
        <f t="shared" ref="E45:F45" si="63">E7</f>
        <v>90851.307410000009</v>
      </c>
      <c r="F45" s="29">
        <f t="shared" si="63"/>
        <v>96885.06287400001</v>
      </c>
      <c r="G45" s="29">
        <f t="shared" ref="G45:H45" si="64">G7</f>
        <v>99894.718730000008</v>
      </c>
      <c r="H45" s="29">
        <f t="shared" si="64"/>
        <v>101159.11499700001</v>
      </c>
      <c r="I45" s="29">
        <f t="shared" ref="I45:J45" si="65">I7</f>
        <v>102409.06751400001</v>
      </c>
      <c r="J45" s="29">
        <f t="shared" si="65"/>
        <v>103543.77365700001</v>
      </c>
      <c r="K45" s="29">
        <f t="shared" ref="K45:L45" si="66">K7</f>
        <v>104448.14482240002</v>
      </c>
      <c r="L45" s="29">
        <f t="shared" si="66"/>
        <v>105007.48487610002</v>
      </c>
      <c r="M45" s="30">
        <f t="shared" si="61"/>
        <v>105436.58520193207</v>
      </c>
      <c r="N45" s="30">
        <f t="shared" si="61"/>
        <v>107662.20035267336</v>
      </c>
    </row>
    <row r="46" spans="2:16">
      <c r="B46" s="39">
        <f t="shared" ref="B46" si="67">B45+1</f>
        <v>3</v>
      </c>
      <c r="C46" s="29">
        <f t="shared" si="50"/>
        <v>40417.57213</v>
      </c>
      <c r="D46" s="29">
        <f t="shared" si="50"/>
        <v>84916.51436999999</v>
      </c>
      <c r="E46" s="29">
        <f t="shared" ref="E46:F46" si="68">E8</f>
        <v>100286.93799999999</v>
      </c>
      <c r="F46" s="29">
        <f t="shared" si="68"/>
        <v>105880.79154599999</v>
      </c>
      <c r="G46" s="29">
        <f t="shared" ref="G46:H46" si="69">G8</f>
        <v>108496.307886</v>
      </c>
      <c r="H46" s="29">
        <f t="shared" si="69"/>
        <v>110480.61967799999</v>
      </c>
      <c r="I46" s="29">
        <f t="shared" ref="I46:J46" si="70">I8</f>
        <v>112617.42437699999</v>
      </c>
      <c r="J46" s="29">
        <f t="shared" si="70"/>
        <v>113801.77980499998</v>
      </c>
      <c r="K46" s="29">
        <f t="shared" ref="K46" si="71">K8</f>
        <v>114674.41313589999</v>
      </c>
      <c r="L46" s="30">
        <f t="shared" si="61"/>
        <v>115433.16999762421</v>
      </c>
      <c r="M46" s="30">
        <f t="shared" si="61"/>
        <v>115904.8736187161</v>
      </c>
      <c r="N46" s="30">
        <f t="shared" si="61"/>
        <v>118351.45932970554</v>
      </c>
    </row>
    <row r="47" spans="2:16">
      <c r="B47" s="39">
        <f t="shared" ref="B47" si="72">B46+1</f>
        <v>4</v>
      </c>
      <c r="C47" s="29">
        <f t="shared" si="50"/>
        <v>44116.085709999999</v>
      </c>
      <c r="D47" s="29">
        <f t="shared" si="50"/>
        <v>89606.275280000002</v>
      </c>
      <c r="E47" s="29">
        <f t="shared" ref="E47:F47" si="73">E9</f>
        <v>104945.70165</v>
      </c>
      <c r="F47" s="29">
        <f t="shared" si="73"/>
        <v>110423.77840700001</v>
      </c>
      <c r="G47" s="29">
        <f t="shared" ref="G47:H47" si="74">G9</f>
        <v>112964.41806500001</v>
      </c>
      <c r="H47" s="29">
        <f t="shared" si="74"/>
        <v>115870.78669200001</v>
      </c>
      <c r="I47" s="29">
        <f t="shared" ref="I47:J47" si="75">I9</f>
        <v>117165.12471500001</v>
      </c>
      <c r="J47" s="29">
        <f t="shared" si="75"/>
        <v>118289.46107000002</v>
      </c>
      <c r="K47" s="30">
        <f t="shared" si="61"/>
        <v>119323.3121423721</v>
      </c>
      <c r="L47" s="30">
        <f t="shared" si="61"/>
        <v>120112.82899600876</v>
      </c>
      <c r="M47" s="30">
        <f t="shared" si="61"/>
        <v>120603.65547489843</v>
      </c>
      <c r="N47" s="30">
        <f t="shared" si="61"/>
        <v>123149.4257342979</v>
      </c>
    </row>
    <row r="48" spans="2:16">
      <c r="B48" s="39">
        <f t="shared" ref="B48" si="76">B47+1</f>
        <v>5</v>
      </c>
      <c r="C48" s="29">
        <f t="shared" si="50"/>
        <v>50294.259669999999</v>
      </c>
      <c r="D48" s="29">
        <f t="shared" si="50"/>
        <v>98334.581229999996</v>
      </c>
      <c r="E48" s="29">
        <f t="shared" ref="E48:F48" si="77">E10</f>
        <v>116177.48298999999</v>
      </c>
      <c r="F48" s="29">
        <f t="shared" si="77"/>
        <v>123212.68218399999</v>
      </c>
      <c r="G48" s="29">
        <f t="shared" ref="G48:H48" si="78">G10</f>
        <v>127146.28824699999</v>
      </c>
      <c r="H48" s="29">
        <f t="shared" si="78"/>
        <v>129871.97118299999</v>
      </c>
      <c r="I48" s="29">
        <f t="shared" ref="I48" si="79">I10</f>
        <v>132138.57105614999</v>
      </c>
      <c r="J48" s="30">
        <f t="shared" si="61"/>
        <v>133637.68645761348</v>
      </c>
      <c r="K48" s="30">
        <f t="shared" si="61"/>
        <v>134805.68117331996</v>
      </c>
      <c r="L48" s="30">
        <f t="shared" si="61"/>
        <v>135697.63895878033</v>
      </c>
      <c r="M48" s="30">
        <f t="shared" si="61"/>
        <v>136252.15086962705</v>
      </c>
      <c r="N48" s="30">
        <f t="shared" si="61"/>
        <v>139128.23843179303</v>
      </c>
    </row>
    <row r="49" spans="2:14">
      <c r="B49" s="39">
        <f t="shared" ref="B49" si="80">B48+1</f>
        <v>6</v>
      </c>
      <c r="C49" s="29">
        <f t="shared" si="50"/>
        <v>49619.804179999999</v>
      </c>
      <c r="D49" s="29">
        <f t="shared" si="50"/>
        <v>99611.161829999997</v>
      </c>
      <c r="E49" s="29">
        <f t="shared" ref="E49:F49" si="81">E11</f>
        <v>119181.36549</v>
      </c>
      <c r="F49" s="29">
        <f t="shared" si="81"/>
        <v>129228.43264</v>
      </c>
      <c r="G49" s="29">
        <f t="shared" ref="G49:H49" si="82">G11</f>
        <v>134978.322697</v>
      </c>
      <c r="H49" s="29">
        <f t="shared" si="82"/>
        <v>138291.0141644</v>
      </c>
      <c r="I49" s="30">
        <f t="shared" si="61"/>
        <v>140308.94000727482</v>
      </c>
      <c r="J49" s="30">
        <f t="shared" si="61"/>
        <v>141900.74844932725</v>
      </c>
      <c r="K49" s="30">
        <f t="shared" si="61"/>
        <v>143140.96240945277</v>
      </c>
      <c r="L49" s="30">
        <f t="shared" si="61"/>
        <v>144088.07157227246</v>
      </c>
      <c r="M49" s="30">
        <f t="shared" si="61"/>
        <v>144676.86996634051</v>
      </c>
      <c r="N49" s="30">
        <f t="shared" si="61"/>
        <v>147730.79127024303</v>
      </c>
    </row>
    <row r="50" spans="2:14">
      <c r="B50" s="39">
        <f t="shared" ref="B50" si="83">B49+1</f>
        <v>7</v>
      </c>
      <c r="C50" s="29">
        <f t="shared" si="50"/>
        <v>46409.720990000002</v>
      </c>
      <c r="D50" s="29">
        <f t="shared" si="50"/>
        <v>96104.015979999996</v>
      </c>
      <c r="E50" s="29">
        <f t="shared" ref="E50:F50" si="84">E12</f>
        <v>116984.68296000001</v>
      </c>
      <c r="F50" s="29">
        <f t="shared" si="84"/>
        <v>125186.24217400001</v>
      </c>
      <c r="G50" s="29">
        <f t="shared" ref="G50" si="85">G12</f>
        <v>129900.41042400002</v>
      </c>
      <c r="H50" s="30">
        <f t="shared" si="61"/>
        <v>132833.51993668725</v>
      </c>
      <c r="I50" s="30">
        <f t="shared" si="61"/>
        <v>134771.8106803043</v>
      </c>
      <c r="J50" s="30">
        <f t="shared" si="61"/>
        <v>136300.80025132152</v>
      </c>
      <c r="K50" s="30">
        <f t="shared" si="61"/>
        <v>137492.07060820996</v>
      </c>
      <c r="L50" s="30">
        <f t="shared" si="61"/>
        <v>138401.80320813195</v>
      </c>
      <c r="M50" s="30">
        <f t="shared" si="61"/>
        <v>138967.36535755804</v>
      </c>
      <c r="N50" s="30">
        <f t="shared" si="61"/>
        <v>141900.76720480141</v>
      </c>
    </row>
    <row r="51" spans="2:14">
      <c r="B51" s="39">
        <f t="shared" ref="B51" si="86">B50+1</f>
        <v>8</v>
      </c>
      <c r="C51" s="29">
        <f t="shared" si="50"/>
        <v>48294.757790000003</v>
      </c>
      <c r="D51" s="29">
        <f t="shared" si="50"/>
        <v>97648.34739000001</v>
      </c>
      <c r="E51" s="29">
        <f t="shared" ref="E51:F51" si="87">E13</f>
        <v>115952.59353000001</v>
      </c>
      <c r="F51" s="29">
        <f t="shared" si="87"/>
        <v>124786.08131000001</v>
      </c>
      <c r="G51" s="30">
        <f t="shared" si="61"/>
        <v>128905.02351308285</v>
      </c>
      <c r="H51" s="30">
        <f t="shared" si="61"/>
        <v>131815.65750927493</v>
      </c>
      <c r="I51" s="30">
        <f t="shared" si="61"/>
        <v>133739.09572679561</v>
      </c>
      <c r="J51" s="30">
        <f t="shared" si="61"/>
        <v>135256.36912077418</v>
      </c>
      <c r="K51" s="30">
        <f t="shared" si="61"/>
        <v>136438.51113913977</v>
      </c>
      <c r="L51" s="30">
        <f t="shared" si="61"/>
        <v>137341.27273781979</v>
      </c>
      <c r="M51" s="30">
        <f t="shared" si="61"/>
        <v>137902.50115836071</v>
      </c>
      <c r="N51" s="30">
        <f t="shared" si="61"/>
        <v>140813.42524903908</v>
      </c>
    </row>
    <row r="52" spans="2:14">
      <c r="B52" s="39">
        <f t="shared" ref="B52" si="88">B51+1</f>
        <v>9</v>
      </c>
      <c r="C52" s="29">
        <f t="shared" si="50"/>
        <v>52590.220249999998</v>
      </c>
      <c r="D52" s="29">
        <f t="shared" si="50"/>
        <v>103196.04024999999</v>
      </c>
      <c r="E52" s="29">
        <f t="shared" ref="E52" si="89">E14</f>
        <v>121799.75327999999</v>
      </c>
      <c r="F52" s="30">
        <f t="shared" si="61"/>
        <v>130074.66032148933</v>
      </c>
      <c r="G52" s="30">
        <f t="shared" si="61"/>
        <v>134368.16807752551</v>
      </c>
      <c r="H52" s="30">
        <f t="shared" si="61"/>
        <v>137402.15812193058</v>
      </c>
      <c r="I52" s="30">
        <f t="shared" si="61"/>
        <v>139407.11388435925</v>
      </c>
      <c r="J52" s="30">
        <f t="shared" si="61"/>
        <v>140988.69108643761</v>
      </c>
      <c r="K52" s="30">
        <f t="shared" si="61"/>
        <v>142220.93365609302</v>
      </c>
      <c r="L52" s="30">
        <f t="shared" si="61"/>
        <v>143161.95533949594</v>
      </c>
      <c r="M52" s="30">
        <f t="shared" si="61"/>
        <v>143746.96927212575</v>
      </c>
      <c r="N52" s="30">
        <f t="shared" si="61"/>
        <v>146781.26170555825</v>
      </c>
    </row>
    <row r="53" spans="2:14">
      <c r="B53" s="39">
        <f t="shared" ref="B53" si="90">B52+1</f>
        <v>10</v>
      </c>
      <c r="C53" s="29">
        <f t="shared" si="50"/>
        <v>58599</v>
      </c>
      <c r="D53" s="29">
        <f t="shared" si="50"/>
        <v>112342</v>
      </c>
      <c r="E53" s="30">
        <f t="shared" si="61"/>
        <v>133543.14262439072</v>
      </c>
      <c r="F53" s="30">
        <f t="shared" si="61"/>
        <v>142615.87932119519</v>
      </c>
      <c r="G53" s="30">
        <f t="shared" si="61"/>
        <v>147323.34795871514</v>
      </c>
      <c r="H53" s="30">
        <f t="shared" si="61"/>
        <v>150649.86180057444</v>
      </c>
      <c r="I53" s="30">
        <f t="shared" si="61"/>
        <v>152848.12646144029</v>
      </c>
      <c r="J53" s="30">
        <f t="shared" si="61"/>
        <v>154582.19228818378</v>
      </c>
      <c r="K53" s="30">
        <f t="shared" si="61"/>
        <v>155933.24219424595</v>
      </c>
      <c r="L53" s="30">
        <f t="shared" si="61"/>
        <v>156964.99299418746</v>
      </c>
      <c r="M53" s="30">
        <f t="shared" si="61"/>
        <v>157606.41136276856</v>
      </c>
      <c r="N53" s="30">
        <f t="shared" si="61"/>
        <v>160933.25674865756</v>
      </c>
    </row>
    <row r="54" spans="2:14">
      <c r="B54" s="39">
        <f t="shared" ref="B54" si="91">B53+1</f>
        <v>11</v>
      </c>
      <c r="C54" s="29">
        <f>C16</f>
        <v>60361.276160000001</v>
      </c>
      <c r="D54" s="30">
        <f>C54*C$38</f>
        <v>121757.34492186071</v>
      </c>
      <c r="E54" s="30">
        <f t="shared" si="61"/>
        <v>144735.3481197342</v>
      </c>
      <c r="F54" s="30">
        <f t="shared" si="61"/>
        <v>154568.46780229322</v>
      </c>
      <c r="G54" s="30">
        <f t="shared" si="61"/>
        <v>159670.46778989679</v>
      </c>
      <c r="H54" s="30">
        <f t="shared" si="61"/>
        <v>163275.77562873362</v>
      </c>
      <c r="I54" s="30">
        <f t="shared" si="61"/>
        <v>165658.27610533705</v>
      </c>
      <c r="J54" s="30">
        <f t="shared" si="61"/>
        <v>167537.67340095239</v>
      </c>
      <c r="K54" s="30">
        <f t="shared" si="61"/>
        <v>169001.95434146491</v>
      </c>
      <c r="L54" s="30">
        <f t="shared" si="61"/>
        <v>170120.17582605558</v>
      </c>
      <c r="M54" s="30">
        <f t="shared" si="61"/>
        <v>170815.35125058555</v>
      </c>
      <c r="N54" s="30">
        <f t="shared" si="61"/>
        <v>174421.01842004477</v>
      </c>
    </row>
    <row r="57" spans="2:14">
      <c r="B57" s="10"/>
      <c r="C57" s="10"/>
      <c r="D57" s="10" t="s">
        <v>14</v>
      </c>
      <c r="E57" s="11" t="s">
        <v>30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2:14">
      <c r="B58" s="10"/>
      <c r="C58" s="12" t="s">
        <v>12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</row>
    <row r="59" spans="2:14">
      <c r="B59" s="14" t="s">
        <v>46</v>
      </c>
      <c r="C59" s="15">
        <v>0</v>
      </c>
      <c r="D59" s="15">
        <v>1</v>
      </c>
      <c r="E59" s="15">
        <v>2</v>
      </c>
      <c r="F59" s="15">
        <v>3</v>
      </c>
      <c r="G59" s="15">
        <v>4</v>
      </c>
      <c r="H59" s="15">
        <v>5</v>
      </c>
      <c r="I59" s="15">
        <v>6</v>
      </c>
      <c r="J59" s="15">
        <v>7</v>
      </c>
      <c r="K59" s="15">
        <v>8</v>
      </c>
      <c r="L59" s="15">
        <v>9</v>
      </c>
      <c r="M59" s="15">
        <v>10</v>
      </c>
      <c r="N59" s="15">
        <v>11</v>
      </c>
    </row>
    <row r="60" spans="2:14">
      <c r="B60" s="39">
        <v>0</v>
      </c>
      <c r="C60" s="31">
        <f>C5*(C24-C$38)^2</f>
        <v>3.5391092742305594</v>
      </c>
      <c r="D60" s="31">
        <f>D5*(D24-D$38)^2</f>
        <v>43.012510220943462</v>
      </c>
      <c r="E60" s="31">
        <f>E5*(E24-E$38)^2</f>
        <v>2.0302119711079523</v>
      </c>
      <c r="F60" s="31">
        <f t="shared" ref="F60:M60" si="92">F5*(F24-F$38)^2</f>
        <v>0.77294894440489625</v>
      </c>
      <c r="G60" s="31">
        <f t="shared" si="92"/>
        <v>4.5737961311247224</v>
      </c>
      <c r="H60" s="31">
        <f t="shared" si="92"/>
        <v>0.321586635993729</v>
      </c>
      <c r="I60" s="31">
        <f t="shared" si="92"/>
        <v>1.1853890011970472</v>
      </c>
      <c r="J60" s="31">
        <f t="shared" si="92"/>
        <v>0.5641013142592588</v>
      </c>
      <c r="K60" s="31">
        <f t="shared" si="92"/>
        <v>1.107909100663367</v>
      </c>
      <c r="L60" s="31">
        <f t="shared" si="92"/>
        <v>4.9101758710533232E-2</v>
      </c>
      <c r="M60" s="31">
        <f t="shared" si="92"/>
        <v>0</v>
      </c>
      <c r="N60" s="31"/>
    </row>
    <row r="61" spans="2:14">
      <c r="B61" s="39">
        <f>B60+1</f>
        <v>1</v>
      </c>
      <c r="C61" s="31">
        <f>C6*(C25-C$38)^2</f>
        <v>404.40887282725805</v>
      </c>
      <c r="D61" s="31">
        <f t="shared" ref="C61:D69" si="93">D6*(D25-D$38)^2</f>
        <v>5.2063778210116611</v>
      </c>
      <c r="E61" s="31">
        <f t="shared" ref="E61:F61" si="94">E6*(E25-E$38)^2</f>
        <v>1.3401687958285986</v>
      </c>
      <c r="F61" s="31">
        <f t="shared" si="94"/>
        <v>5.7067270302154168E-5</v>
      </c>
      <c r="G61" s="31">
        <f t="shared" ref="G61:H61" si="95">G6*(G25-G$38)^2</f>
        <v>1.6330362515630512</v>
      </c>
      <c r="H61" s="31">
        <f t="shared" si="95"/>
        <v>2.0361355646016008</v>
      </c>
      <c r="I61" s="31">
        <f t="shared" ref="I61:J61" si="96">I6*(I25-I$38)^2</f>
        <v>2.1162108386254194E-3</v>
      </c>
      <c r="J61" s="31">
        <f t="shared" si="96"/>
        <v>9.2803750625960801E-2</v>
      </c>
      <c r="K61" s="31">
        <f t="shared" ref="K61:L61" si="97">K6*(K25-K$38)^2</f>
        <v>0.31419226798399613</v>
      </c>
      <c r="L61" s="31">
        <f t="shared" si="97"/>
        <v>4.3414982128085741E-2</v>
      </c>
      <c r="M61" s="31"/>
      <c r="N61" s="31"/>
    </row>
    <row r="62" spans="2:14">
      <c r="B62" s="39">
        <f t="shared" ref="B62" si="98">B61+1</f>
        <v>2</v>
      </c>
      <c r="C62" s="31">
        <f t="shared" si="93"/>
        <v>76.78237471901997</v>
      </c>
      <c r="D62" s="31">
        <f t="shared" si="93"/>
        <v>39.318046851016696</v>
      </c>
      <c r="E62" s="31">
        <f t="shared" ref="E62:F62" si="99">E7*(E26-E$38)^2</f>
        <v>0.21131248187342908</v>
      </c>
      <c r="F62" s="31">
        <f t="shared" si="99"/>
        <v>0.36608057940838923</v>
      </c>
      <c r="G62" s="31">
        <f t="shared" ref="G62:H62" si="100">G7*(G26-G$38)^2</f>
        <v>9.8350172649090748</v>
      </c>
      <c r="H62" s="31">
        <f t="shared" si="100"/>
        <v>0.50557406015716133</v>
      </c>
      <c r="I62" s="31">
        <f t="shared" ref="I62:J62" si="101">I7*(I26-I$38)^2</f>
        <v>7.1857910178996674E-3</v>
      </c>
      <c r="J62" s="31">
        <f t="shared" si="101"/>
        <v>3.5052603268605427E-6</v>
      </c>
      <c r="K62" s="31">
        <f t="shared" ref="K62" si="102">K7*(K26-K$38)^2</f>
        <v>0.1661971328596136</v>
      </c>
      <c r="L62" s="31"/>
      <c r="M62" s="31"/>
      <c r="N62" s="31"/>
    </row>
    <row r="63" spans="2:14">
      <c r="B63" s="39">
        <f t="shared" ref="B63" si="103">B62+1</f>
        <v>3</v>
      </c>
      <c r="C63" s="31">
        <f t="shared" si="93"/>
        <v>284.07912376713296</v>
      </c>
      <c r="D63" s="31">
        <f t="shared" si="93"/>
        <v>5.0521766717678016</v>
      </c>
      <c r="E63" s="31">
        <f t="shared" ref="E63:F63" si="104">E8*(E27-E$38)^2</f>
        <v>14.829313343734166</v>
      </c>
      <c r="F63" s="31">
        <f t="shared" si="104"/>
        <v>7.3039083926507216</v>
      </c>
      <c r="G63" s="31">
        <f t="shared" ref="G63:H63" si="105">G8*(G27-G$38)^2</f>
        <v>1.9972128272260408</v>
      </c>
      <c r="H63" s="31">
        <f t="shared" si="105"/>
        <v>2.4917865822251053</v>
      </c>
      <c r="I63" s="31">
        <f t="shared" ref="I63:J63" si="106">I8*(I27-I$38)^2</f>
        <v>7.7282989745888306E-2</v>
      </c>
      <c r="J63" s="31">
        <f t="shared" si="106"/>
        <v>0.13077887235426033</v>
      </c>
      <c r="K63" s="31"/>
      <c r="L63" s="31"/>
      <c r="M63" s="31"/>
      <c r="N63" s="31"/>
    </row>
    <row r="64" spans="2:14">
      <c r="B64" s="39">
        <f t="shared" ref="B64" si="107">B63+1</f>
        <v>4</v>
      </c>
      <c r="C64" s="31">
        <f t="shared" si="93"/>
        <v>8.6518646029635704</v>
      </c>
      <c r="D64" s="31">
        <f t="shared" si="93"/>
        <v>27.544514495138348</v>
      </c>
      <c r="E64" s="31">
        <f t="shared" ref="E64:F64" si="108">E9*(E28-E$38)^2</f>
        <v>25.998281194389651</v>
      </c>
      <c r="F64" s="31">
        <f t="shared" si="108"/>
        <v>11.042247738965665</v>
      </c>
      <c r="G64" s="31">
        <f t="shared" ref="G64:H64" si="109">G9*(G28-G$38)^2</f>
        <v>1.1198215972123926</v>
      </c>
      <c r="H64" s="31">
        <f t="shared" si="109"/>
        <v>1.3563415161769459</v>
      </c>
      <c r="I64" s="31">
        <f t="shared" ref="I64" si="110">I9*(I28-I$38)^2</f>
        <v>0.3583491870585927</v>
      </c>
      <c r="J64" s="31"/>
      <c r="K64" s="31"/>
      <c r="L64" s="31"/>
      <c r="M64" s="31"/>
      <c r="N64" s="31"/>
    </row>
    <row r="65" spans="1:16">
      <c r="B65" s="39">
        <f t="shared" ref="B65" si="111">B64+1</f>
        <v>5</v>
      </c>
      <c r="C65" s="31">
        <f t="shared" si="93"/>
        <v>193.0713843155082</v>
      </c>
      <c r="D65" s="31">
        <f t="shared" si="93"/>
        <v>5.1954261415516649</v>
      </c>
      <c r="E65" s="31">
        <f t="shared" ref="E65:F65" si="112">E10*(E29-E$38)^2</f>
        <v>6.3326854048274006</v>
      </c>
      <c r="F65" s="31">
        <f t="shared" si="112"/>
        <v>0.14443251670676369</v>
      </c>
      <c r="G65" s="31">
        <f t="shared" ref="G65:H65" si="113">G10*(G29-G$38)^2</f>
        <v>0.1659071509251242</v>
      </c>
      <c r="H65" s="31">
        <f t="shared" si="113"/>
        <v>1.0628148088394351</v>
      </c>
      <c r="I65" s="31"/>
      <c r="J65" s="31"/>
      <c r="K65" s="31"/>
      <c r="L65" s="31"/>
      <c r="M65" s="31"/>
      <c r="N65" s="31"/>
    </row>
    <row r="66" spans="1:16">
      <c r="B66" s="39">
        <f t="shared" ref="B66" si="114">B65+1</f>
        <v>6</v>
      </c>
      <c r="C66" s="31">
        <f t="shared" si="93"/>
        <v>4.6258079891187194</v>
      </c>
      <c r="D66" s="31">
        <f t="shared" si="93"/>
        <v>5.9772209874277111</v>
      </c>
      <c r="E66" s="31">
        <f t="shared" ref="E66:F66" si="115">E11*(E30-E$38)^2</f>
        <v>31.906783812947747</v>
      </c>
      <c r="F66" s="31">
        <f t="shared" si="115"/>
        <v>17.048801143293247</v>
      </c>
      <c r="G66" s="31">
        <f t="shared" ref="G66" si="116">G11*(G30-G$38)^2</f>
        <v>0.5199716374064296</v>
      </c>
      <c r="H66" s="31"/>
      <c r="I66" s="31"/>
      <c r="J66" s="31"/>
      <c r="K66" s="31"/>
      <c r="L66" s="31"/>
      <c r="M66" s="31"/>
      <c r="N66" s="31"/>
    </row>
    <row r="67" spans="1:16">
      <c r="B67" s="39">
        <f t="shared" ref="B67" si="117">B66+1</f>
        <v>7</v>
      </c>
      <c r="C67" s="31">
        <f t="shared" si="93"/>
        <v>133.48299861329619</v>
      </c>
      <c r="D67" s="31">
        <f t="shared" si="93"/>
        <v>78.344977260637279</v>
      </c>
      <c r="E67" s="31">
        <f t="shared" ref="E67:F67" si="118">E12*(E31-E$38)^2</f>
        <v>0.55054215442618448</v>
      </c>
      <c r="F67" s="31">
        <f t="shared" si="118"/>
        <v>2.705923554929746</v>
      </c>
      <c r="G67" s="31"/>
      <c r="H67" s="31"/>
      <c r="I67" s="31"/>
      <c r="J67" s="31"/>
      <c r="K67" s="31"/>
      <c r="L67" s="31"/>
      <c r="M67" s="31"/>
      <c r="N67" s="31"/>
    </row>
    <row r="68" spans="1:16">
      <c r="B68" s="39">
        <f t="shared" ref="B68" si="119">B67+1</f>
        <v>8</v>
      </c>
      <c r="C68" s="31">
        <f t="shared" si="93"/>
        <v>1.1039401783080571</v>
      </c>
      <c r="D68" s="31">
        <f t="shared" si="93"/>
        <v>0.15724856365372675</v>
      </c>
      <c r="E68" s="31">
        <f t="shared" ref="E68" si="120">E13*(E32-E$38)^2</f>
        <v>7.8791553601963855</v>
      </c>
      <c r="F68" s="31"/>
      <c r="G68" s="31"/>
      <c r="H68" s="31"/>
      <c r="I68" s="31"/>
      <c r="J68" s="31"/>
      <c r="K68" s="31"/>
      <c r="L68" s="31"/>
      <c r="M68" s="31"/>
      <c r="N68" s="31"/>
    </row>
    <row r="69" spans="1:16">
      <c r="B69" s="39">
        <f t="shared" ref="B69" si="121">B68+1</f>
        <v>9</v>
      </c>
      <c r="C69" s="31">
        <f t="shared" si="93"/>
        <v>158.37221279698275</v>
      </c>
      <c r="D69" s="31">
        <f t="shared" si="93"/>
        <v>7.3583315105229525</v>
      </c>
      <c r="E69" s="31"/>
      <c r="F69" s="31"/>
      <c r="G69" s="31"/>
      <c r="H69" s="31"/>
      <c r="I69" s="31"/>
      <c r="J69" s="31"/>
      <c r="K69" s="31"/>
      <c r="L69" s="31"/>
      <c r="M69" s="31"/>
      <c r="N69" s="31"/>
    </row>
    <row r="70" spans="1:16">
      <c r="B70" s="39">
        <f t="shared" ref="B70" si="122">B69+1</f>
        <v>10</v>
      </c>
      <c r="C70" s="31">
        <f>C15*(C34-C$38)^2</f>
        <v>586.12627588067107</v>
      </c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</row>
    <row r="71" spans="1:16">
      <c r="B71" s="39">
        <f t="shared" ref="B71" si="123">B70+1</f>
        <v>11</v>
      </c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</row>
    <row r="72" spans="1:16">
      <c r="B72" s="18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</row>
    <row r="73" spans="1:16">
      <c r="A73" s="28"/>
      <c r="B73" s="32" t="s">
        <v>29</v>
      </c>
      <c r="C73" s="33">
        <f>SUM(C60:C71)/(11-C$59-1)</f>
        <v>185.42439649644899</v>
      </c>
      <c r="D73" s="33">
        <f>SUM(D60:D71)/(11-D$59-1)</f>
        <v>24.129647835963478</v>
      </c>
      <c r="E73" s="33">
        <f t="shared" ref="E73:L73" si="124">SUM(E60:E71)/(11-E$59-1)</f>
        <v>11.384806814916438</v>
      </c>
      <c r="F73" s="33">
        <f t="shared" si="124"/>
        <v>5.6263428482328184</v>
      </c>
      <c r="G73" s="33">
        <f t="shared" si="124"/>
        <v>3.307460476727806</v>
      </c>
      <c r="H73" s="33">
        <f t="shared" si="124"/>
        <v>1.5548478335987954</v>
      </c>
      <c r="I73" s="33">
        <f t="shared" si="124"/>
        <v>0.40758079496451327</v>
      </c>
      <c r="J73" s="33">
        <f t="shared" si="124"/>
        <v>0.26256248083326894</v>
      </c>
      <c r="K73" s="33">
        <f t="shared" si="124"/>
        <v>0.79414925075348841</v>
      </c>
      <c r="L73" s="33">
        <f t="shared" si="124"/>
        <v>9.2516740838618966E-2</v>
      </c>
      <c r="M73" s="34">
        <f>MIN(L73,K73,L73^2/K73)</f>
        <v>1.0778008450274407E-2</v>
      </c>
      <c r="N73" s="24"/>
      <c r="O73" s="25"/>
      <c r="P73" s="26"/>
    </row>
    <row r="74" spans="1:16" ht="17.75" customHeight="1">
      <c r="A74" s="28"/>
      <c r="B74" s="32" t="s">
        <v>48</v>
      </c>
      <c r="C74" s="34">
        <f>C73/C38^2</f>
        <v>45.571504010707663</v>
      </c>
      <c r="D74" s="34">
        <f>D73/D38^2</f>
        <v>17.076234174270962</v>
      </c>
      <c r="E74" s="34">
        <f t="shared" ref="E74:M74" si="125">E73/E38^2</f>
        <v>9.982356640448657</v>
      </c>
      <c r="F74" s="34">
        <f t="shared" si="125"/>
        <v>5.2725268665551628</v>
      </c>
      <c r="G74" s="34">
        <f t="shared" si="125"/>
        <v>3.163008415905912</v>
      </c>
      <c r="H74" s="34">
        <f t="shared" si="125"/>
        <v>1.5104457399563562</v>
      </c>
      <c r="I74" s="34">
        <f t="shared" si="125"/>
        <v>0.39848779765230197</v>
      </c>
      <c r="J74" s="34">
        <f t="shared" si="125"/>
        <v>0.25803235951179332</v>
      </c>
      <c r="K74" s="34">
        <f t="shared" si="125"/>
        <v>0.78374347533794542</v>
      </c>
      <c r="L74" s="34">
        <f t="shared" si="125"/>
        <v>9.1765233547765904E-2</v>
      </c>
      <c r="M74" s="34">
        <f t="shared" si="125"/>
        <v>1.0337003910127202E-2</v>
      </c>
      <c r="N74" s="24"/>
      <c r="O74" s="25"/>
      <c r="P74" s="26"/>
    </row>
    <row r="75" spans="1:16">
      <c r="A75" s="28"/>
      <c r="B75" s="37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24"/>
      <c r="O75" s="25"/>
      <c r="P75" s="26"/>
    </row>
    <row r="76" spans="1:16">
      <c r="B76" s="28"/>
      <c r="C76" s="32" t="s">
        <v>50</v>
      </c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24"/>
      <c r="O76" s="25"/>
      <c r="P76" s="26"/>
    </row>
    <row r="77" spans="1:16">
      <c r="A77" s="28"/>
      <c r="B77" s="14" t="s">
        <v>46</v>
      </c>
      <c r="C77" s="38">
        <v>0</v>
      </c>
      <c r="D77" s="38">
        <f>D59</f>
        <v>1</v>
      </c>
      <c r="E77" s="38">
        <f t="shared" ref="E77:N77" si="126">E59</f>
        <v>2</v>
      </c>
      <c r="F77" s="38">
        <f t="shared" si="126"/>
        <v>3</v>
      </c>
      <c r="G77" s="38">
        <f t="shared" si="126"/>
        <v>4</v>
      </c>
      <c r="H77" s="38">
        <f t="shared" si="126"/>
        <v>5</v>
      </c>
      <c r="I77" s="38">
        <f t="shared" si="126"/>
        <v>6</v>
      </c>
      <c r="J77" s="38">
        <f t="shared" si="126"/>
        <v>7</v>
      </c>
      <c r="K77" s="38">
        <f t="shared" si="126"/>
        <v>8</v>
      </c>
      <c r="L77" s="38">
        <f t="shared" si="126"/>
        <v>9</v>
      </c>
      <c r="M77" s="38">
        <f t="shared" si="126"/>
        <v>10</v>
      </c>
      <c r="N77" s="38">
        <f t="shared" si="126"/>
        <v>11</v>
      </c>
      <c r="O77" s="25" t="s">
        <v>9</v>
      </c>
      <c r="P77" s="26"/>
    </row>
    <row r="78" spans="1:16">
      <c r="A78" s="28"/>
      <c r="B78" s="39">
        <v>0</v>
      </c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24"/>
      <c r="O78" s="25"/>
      <c r="P78" s="26"/>
    </row>
    <row r="79" spans="1:16">
      <c r="A79" s="28"/>
      <c r="B79" s="39">
        <f>B78+1</f>
        <v>1</v>
      </c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>
        <f t="shared" ref="E79:N88" si="127">M$74/M44</f>
        <v>1.0731379801741144E-7</v>
      </c>
      <c r="O79" s="25">
        <f>SUM(C79:N79)</f>
        <v>1.0731379801741144E-7</v>
      </c>
      <c r="P79" s="26"/>
    </row>
    <row r="80" spans="1:16">
      <c r="A80" s="28"/>
      <c r="B80" s="39">
        <f t="shared" ref="B80" si="128">B79+1</f>
        <v>2</v>
      </c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>
        <f t="shared" si="127"/>
        <v>8.738923102104688E-7</v>
      </c>
      <c r="N80" s="38">
        <f t="shared" si="127"/>
        <v>9.8040010403692216E-8</v>
      </c>
      <c r="O80" s="25">
        <f t="shared" ref="O80:O88" si="129">SUM(C80:N80)</f>
        <v>9.7193232061416103E-7</v>
      </c>
      <c r="P80" s="26"/>
    </row>
    <row r="81" spans="1:16">
      <c r="A81" s="28"/>
      <c r="B81" s="39">
        <f t="shared" ref="B81" si="130">B80+1</f>
        <v>3</v>
      </c>
      <c r="C81" s="38"/>
      <c r="D81" s="38"/>
      <c r="E81" s="38"/>
      <c r="F81" s="38"/>
      <c r="G81" s="38"/>
      <c r="H81" s="38"/>
      <c r="I81" s="38"/>
      <c r="J81" s="38"/>
      <c r="K81" s="38"/>
      <c r="L81" s="38">
        <f t="shared" si="127"/>
        <v>6.8345104536016721E-6</v>
      </c>
      <c r="M81" s="38">
        <f t="shared" si="127"/>
        <v>7.9496416454347194E-7</v>
      </c>
      <c r="N81" s="38">
        <f t="shared" si="127"/>
        <v>8.9185239476056016E-8</v>
      </c>
      <c r="O81" s="25">
        <f t="shared" si="129"/>
        <v>7.7186598576212003E-6</v>
      </c>
      <c r="P81" s="26"/>
    </row>
    <row r="82" spans="1:16">
      <c r="A82" s="28"/>
      <c r="B82" s="39">
        <f t="shared" ref="B82" si="131">B81+1</f>
        <v>4</v>
      </c>
      <c r="C82" s="38"/>
      <c r="D82" s="38"/>
      <c r="E82" s="38"/>
      <c r="F82" s="38"/>
      <c r="G82" s="38"/>
      <c r="H82" s="38"/>
      <c r="I82" s="38"/>
      <c r="J82" s="38"/>
      <c r="K82" s="38">
        <f t="shared" si="127"/>
        <v>2.1813638947860098E-6</v>
      </c>
      <c r="L82" s="38">
        <f t="shared" si="127"/>
        <v>6.5682343312999227E-6</v>
      </c>
      <c r="M82" s="38">
        <f t="shared" si="127"/>
        <v>7.6399194253275959E-7</v>
      </c>
      <c r="N82" s="38">
        <f t="shared" si="127"/>
        <v>8.5710535633629031E-8</v>
      </c>
      <c r="O82" s="25">
        <f t="shared" si="129"/>
        <v>9.5993007042523215E-6</v>
      </c>
      <c r="P82" s="26"/>
    </row>
    <row r="83" spans="1:16">
      <c r="A83" s="28"/>
      <c r="B83" s="39">
        <f t="shared" ref="B83" si="132">B82+1</f>
        <v>5</v>
      </c>
      <c r="C83" s="38"/>
      <c r="D83" s="38"/>
      <c r="E83" s="38"/>
      <c r="F83" s="38"/>
      <c r="G83" s="38"/>
      <c r="H83" s="38"/>
      <c r="I83" s="38"/>
      <c r="J83" s="38">
        <f t="shared" si="127"/>
        <v>3.0156811479592247E-6</v>
      </c>
      <c r="K83" s="38">
        <f t="shared" si="127"/>
        <v>1.9308352782179802E-6</v>
      </c>
      <c r="L83" s="38">
        <f t="shared" si="127"/>
        <v>5.8138757099582825E-6</v>
      </c>
      <c r="M83" s="38">
        <f t="shared" si="127"/>
        <v>6.762478275369302E-7</v>
      </c>
      <c r="N83" s="38">
        <f t="shared" si="127"/>
        <v>7.5866720959276238E-8</v>
      </c>
      <c r="O83" s="25">
        <f t="shared" si="129"/>
        <v>1.1512506684631695E-5</v>
      </c>
      <c r="P83" s="26"/>
    </row>
    <row r="84" spans="1:16">
      <c r="A84" s="28"/>
      <c r="B84" s="39">
        <f t="shared" ref="B84" si="133">B83+1</f>
        <v>6</v>
      </c>
      <c r="C84" s="38"/>
      <c r="D84" s="38"/>
      <c r="E84" s="38"/>
      <c r="F84" s="38"/>
      <c r="G84" s="38"/>
      <c r="H84" s="38"/>
      <c r="I84" s="38">
        <f t="shared" si="127"/>
        <v>1.0922226213199524E-5</v>
      </c>
      <c r="J84" s="38">
        <f t="shared" si="127"/>
        <v>2.840074179390429E-6</v>
      </c>
      <c r="K84" s="38">
        <f t="shared" si="127"/>
        <v>1.8184002715386427E-6</v>
      </c>
      <c r="L84" s="38">
        <f t="shared" si="127"/>
        <v>5.4753262947615087E-6</v>
      </c>
      <c r="M84" s="38">
        <f t="shared" si="127"/>
        <v>6.3686905200711091E-7</v>
      </c>
      <c r="N84" s="38">
        <f t="shared" si="127"/>
        <v>7.1448904807880731E-8</v>
      </c>
      <c r="O84" s="25">
        <f t="shared" si="129"/>
        <v>2.1764344915705094E-5</v>
      </c>
      <c r="P84" s="26"/>
    </row>
    <row r="85" spans="1:16">
      <c r="A85" s="28"/>
      <c r="B85" s="39">
        <f t="shared" ref="B85" si="134">B84+1</f>
        <v>7</v>
      </c>
      <c r="C85" s="38"/>
      <c r="D85" s="38"/>
      <c r="E85" s="38"/>
      <c r="F85" s="38"/>
      <c r="G85" s="38"/>
      <c r="H85" s="38">
        <f t="shared" si="127"/>
        <v>2.4349487469529379E-5</v>
      </c>
      <c r="I85" s="38">
        <f t="shared" si="127"/>
        <v>1.1370968266716741E-5</v>
      </c>
      <c r="J85" s="38">
        <f t="shared" si="127"/>
        <v>2.9567592483977614E-6</v>
      </c>
      <c r="K85" s="38">
        <f t="shared" si="127"/>
        <v>1.8931096445216325E-6</v>
      </c>
      <c r="L85" s="38">
        <f t="shared" si="127"/>
        <v>5.7002812734652807E-6</v>
      </c>
      <c r="M85" s="38">
        <f t="shared" si="127"/>
        <v>6.6303495634205817E-7</v>
      </c>
      <c r="N85" s="38">
        <f t="shared" si="127"/>
        <v>7.4384398693394393E-8</v>
      </c>
      <c r="O85" s="25">
        <f t="shared" si="129"/>
        <v>4.7008025257666253E-5</v>
      </c>
      <c r="P85" s="26"/>
    </row>
    <row r="86" spans="1:16">
      <c r="A86" s="28"/>
      <c r="B86" s="39">
        <f t="shared" ref="B86" si="135">B85+1</f>
        <v>8</v>
      </c>
      <c r="C86" s="38"/>
      <c r="D86" s="38"/>
      <c r="E86" s="38"/>
      <c r="F86" s="38"/>
      <c r="G86" s="38">
        <f t="shared" si="127"/>
        <v>4.2252523768711672E-5</v>
      </c>
      <c r="H86" s="38">
        <f t="shared" si="127"/>
        <v>2.4537510871986237E-5</v>
      </c>
      <c r="I86" s="38">
        <f t="shared" si="127"/>
        <v>1.1458773324026981E-5</v>
      </c>
      <c r="J86" s="38">
        <f t="shared" si="127"/>
        <v>2.9795909377639228E-6</v>
      </c>
      <c r="K86" s="38">
        <f t="shared" si="127"/>
        <v>1.9077279775371541E-6</v>
      </c>
      <c r="L86" s="38">
        <f t="shared" si="127"/>
        <v>5.7442980636067268E-6</v>
      </c>
      <c r="M86" s="38">
        <f t="shared" si="127"/>
        <v>6.6815482133286238E-7</v>
      </c>
      <c r="N86" s="38">
        <f t="shared" si="127"/>
        <v>7.4958784817518826E-8</v>
      </c>
      <c r="O86" s="25">
        <f t="shared" si="129"/>
        <v>8.9623538549783076E-5</v>
      </c>
      <c r="P86" s="26"/>
    </row>
    <row r="87" spans="1:16">
      <c r="A87" s="28"/>
      <c r="B87" s="39">
        <f t="shared" ref="B87" si="136">B86+1</f>
        <v>9</v>
      </c>
      <c r="C87" s="38"/>
      <c r="D87" s="38"/>
      <c r="E87" s="38"/>
      <c r="F87" s="38">
        <f t="shared" si="127"/>
        <v>8.1957117084635351E-5</v>
      </c>
      <c r="G87" s="38">
        <f t="shared" si="127"/>
        <v>4.0534619529458816E-5</v>
      </c>
      <c r="H87" s="38">
        <f t="shared" si="127"/>
        <v>2.3539864099962813E-5</v>
      </c>
      <c r="I87" s="38">
        <f t="shared" si="127"/>
        <v>1.0992882212344785E-5</v>
      </c>
      <c r="J87" s="38">
        <f t="shared" si="127"/>
        <v>2.8584466498808293E-6</v>
      </c>
      <c r="K87" s="38">
        <f t="shared" si="127"/>
        <v>1.8301635225026549E-6</v>
      </c>
      <c r="L87" s="38">
        <f t="shared" si="127"/>
        <v>5.5107462396016155E-6</v>
      </c>
      <c r="M87" s="38">
        <f t="shared" si="127"/>
        <v>6.4098896477177023E-7</v>
      </c>
      <c r="N87" s="38">
        <f t="shared" si="127"/>
        <v>7.1911108543501453E-8</v>
      </c>
      <c r="O87" s="25">
        <f t="shared" si="129"/>
        <v>1.6793673941170213E-4</v>
      </c>
      <c r="P87" s="26"/>
    </row>
    <row r="88" spans="1:16">
      <c r="A88" s="28"/>
      <c r="B88" s="39">
        <f t="shared" ref="B88" si="137">B87+1</f>
        <v>10</v>
      </c>
      <c r="C88" s="38"/>
      <c r="D88" s="38"/>
      <c r="E88" s="38">
        <f t="shared" si="127"/>
        <v>1.5200222689885315E-4</v>
      </c>
      <c r="F88" s="38">
        <f t="shared" si="127"/>
        <v>7.4750050390273281E-5</v>
      </c>
      <c r="G88" s="38">
        <f t="shared" si="127"/>
        <v>3.6970124867235414E-5</v>
      </c>
      <c r="H88" s="38">
        <f t="shared" si="127"/>
        <v>2.1469838010960023E-5</v>
      </c>
      <c r="I88" s="38">
        <f t="shared" si="127"/>
        <v>1.0026200634394454E-5</v>
      </c>
      <c r="J88" s="38">
        <f t="shared" si="127"/>
        <v>2.6070832981576017E-6</v>
      </c>
      <c r="K88" s="38">
        <f t="shared" si="127"/>
        <v>1.6692243504397319E-6</v>
      </c>
      <c r="L88" s="38">
        <f t="shared" si="127"/>
        <v>5.0261474994641398E-6</v>
      </c>
      <c r="M88" s="38">
        <f t="shared" si="127"/>
        <v>5.8462228932258831E-7</v>
      </c>
      <c r="N88" s="38">
        <f t="shared" si="127"/>
        <v>6.5587458154441023E-8</v>
      </c>
      <c r="O88" s="25">
        <f t="shared" si="129"/>
        <v>3.0517110569725485E-4</v>
      </c>
      <c r="P88" s="26"/>
    </row>
    <row r="89" spans="1:16">
      <c r="A89" s="28"/>
      <c r="B89" s="39">
        <f t="shared" ref="B89" si="138">B88+1</f>
        <v>11</v>
      </c>
      <c r="C89" s="38"/>
      <c r="D89" s="38">
        <f>C$74/C54</f>
        <v>7.5497913413743935E-4</v>
      </c>
      <c r="E89" s="38">
        <f>D$74/D54</f>
        <v>1.4024808265349287E-4</v>
      </c>
      <c r="F89" s="38">
        <f>E$74/E54</f>
        <v>6.8969721426935887E-5</v>
      </c>
      <c r="G89" s="38">
        <f>F$74/F54</f>
        <v>3.4111270827237494E-5</v>
      </c>
      <c r="H89" s="38">
        <f t="shared" ref="H89:M89" si="139">G$74/G54</f>
        <v>1.9809601986436044E-5</v>
      </c>
      <c r="I89" s="38">
        <f t="shared" si="139"/>
        <v>9.2508869373917385E-6</v>
      </c>
      <c r="J89" s="38">
        <f t="shared" si="139"/>
        <v>2.4054807705406501E-6</v>
      </c>
      <c r="K89" s="38">
        <f t="shared" si="139"/>
        <v>1.5401452955256718E-6</v>
      </c>
      <c r="L89" s="38">
        <f t="shared" si="139"/>
        <v>4.6374817284917787E-6</v>
      </c>
      <c r="M89" s="38">
        <f t="shared" si="139"/>
        <v>5.3941417061309645E-7</v>
      </c>
      <c r="N89" s="38">
        <f>M$74/M54</f>
        <v>6.0515661118553986E-8</v>
      </c>
      <c r="O89" s="25">
        <f>SUM(C89:N89)</f>
        <v>1.0365517355952229E-3</v>
      </c>
      <c r="P89" s="26"/>
    </row>
    <row r="90" spans="1:16">
      <c r="A90" s="28"/>
      <c r="B90" s="32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24"/>
      <c r="O90" s="25"/>
      <c r="P90" s="26"/>
    </row>
    <row r="91" spans="1:16">
      <c r="A91" s="28"/>
      <c r="B91" s="28"/>
      <c r="C91" s="32" t="s">
        <v>54</v>
      </c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24"/>
      <c r="O91" s="25"/>
      <c r="P91" s="26"/>
    </row>
    <row r="92" spans="1:16">
      <c r="A92" s="28"/>
      <c r="C92" s="38">
        <v>0</v>
      </c>
      <c r="D92" s="38">
        <v>1</v>
      </c>
      <c r="E92" s="38">
        <f>D92+1</f>
        <v>2</v>
      </c>
      <c r="F92" s="38">
        <f t="shared" ref="F92:M92" si="140">E92+1</f>
        <v>3</v>
      </c>
      <c r="G92" s="38">
        <f t="shared" si="140"/>
        <v>4</v>
      </c>
      <c r="H92" s="38">
        <f t="shared" si="140"/>
        <v>5</v>
      </c>
      <c r="I92" s="38">
        <f t="shared" si="140"/>
        <v>6</v>
      </c>
      <c r="J92" s="38">
        <f t="shared" si="140"/>
        <v>7</v>
      </c>
      <c r="K92" s="38">
        <f t="shared" si="140"/>
        <v>8</v>
      </c>
      <c r="L92" s="38">
        <f t="shared" si="140"/>
        <v>9</v>
      </c>
      <c r="M92" s="38">
        <f t="shared" si="140"/>
        <v>10</v>
      </c>
      <c r="N92" s="38"/>
      <c r="O92" s="38"/>
      <c r="P92" s="26"/>
    </row>
    <row r="93" spans="1:16">
      <c r="A93" s="108" t="s">
        <v>55</v>
      </c>
      <c r="B93" s="108"/>
      <c r="C93" s="38">
        <f>C74/(SUM(C5:C16)-VLOOKUP(11-C92,$B5:C16,C92+2,FALSE))</f>
        <v>9.3283787458325483E-5</v>
      </c>
      <c r="D93" s="38">
        <f>D74/(SUM(D5:D16)-VLOOKUP(11-D92,$B5:D16,D92+2,FALSE))</f>
        <v>1.9558527307248049E-5</v>
      </c>
      <c r="E93" s="38">
        <f>E74/(SUM(E5:E16)-VLOOKUP(11-E92,$B5:E16,E92+2,FALSE))</f>
        <v>1.0897148691091133E-5</v>
      </c>
      <c r="F93" s="38">
        <f>F74/(SUM(F5:F16)-VLOOKUP(11-F92,$B5:F16,F92+2,FALSE))</f>
        <v>6.1775257259632516E-6</v>
      </c>
      <c r="G93" s="38">
        <f>G74/(SUM(G5:G16)-VLOOKUP(11-G92,$B5:G16,G92+2,FALSE))</f>
        <v>4.2073960951616474E-6</v>
      </c>
      <c r="H93" s="38">
        <f>H74/(SUM(H5:H16)-VLOOKUP(11-H92,$B5:H16,H92+2,FALSE))</f>
        <v>2.3957943534679181E-6</v>
      </c>
      <c r="I93" s="38">
        <f>I74/(SUM(I5:I16)-VLOOKUP(11-I92,$B5:I16,I92+2,FALSE))</f>
        <v>7.8516953616848877E-7</v>
      </c>
      <c r="J93" s="38">
        <f>J74/(SUM(J5:J16)-VLOOKUP(11-J92,$B5:J16,J92+2,FALSE))</f>
        <v>6.5326879946582901E-7</v>
      </c>
      <c r="K93" s="38">
        <f>K74/(SUM(K5:K16)-VLOOKUP(11-K92,$B5:K16,K92+2,FALSE))</f>
        <v>2.7619525720389236E-6</v>
      </c>
      <c r="L93" s="38">
        <f>L74/(SUM(L5:L16)-VLOOKUP(11-L92,$B5:L16,L92+2,FALSE))</f>
        <v>5.0801651152138299E-7</v>
      </c>
      <c r="M93" s="38">
        <f>M74/(SUM(M5:M16)-VLOOKUP(11-M92,$B5:M16,M92+2,FALSE))</f>
        <v>1.2154393041198939E-7</v>
      </c>
      <c r="N93" s="38"/>
      <c r="O93" s="38"/>
      <c r="P93" s="26"/>
    </row>
    <row r="94" spans="1:16">
      <c r="A94" s="28"/>
      <c r="B94" s="9" t="s">
        <v>56</v>
      </c>
      <c r="C94" s="48">
        <f>SUM(C93:$M93)</f>
        <v>1.4135013098086409E-4</v>
      </c>
      <c r="D94" s="48">
        <f>SUM(D93:$M93)</f>
        <v>4.8066343522538611E-5</v>
      </c>
      <c r="E94" s="48">
        <f>SUM(E93:$M93)</f>
        <v>2.8507816215290566E-5</v>
      </c>
      <c r="F94" s="48">
        <f>SUM(F93:$M93)</f>
        <v>1.7610667524199432E-5</v>
      </c>
      <c r="G94" s="48">
        <f>SUM(G93:$M93)</f>
        <v>1.143314179823618E-5</v>
      </c>
      <c r="H94" s="48">
        <f>SUM(H93:$M93)</f>
        <v>7.2257457030745317E-6</v>
      </c>
      <c r="I94" s="48">
        <f>SUM(I93:$M93)</f>
        <v>4.8299513496066136E-6</v>
      </c>
      <c r="J94" s="48">
        <f>SUM(J93:$M93)</f>
        <v>4.044781813438125E-6</v>
      </c>
      <c r="K94" s="48">
        <f>SUM(K93:$M93)</f>
        <v>3.3915130139722961E-6</v>
      </c>
      <c r="L94" s="48">
        <f>SUM(L93:$M93)</f>
        <v>6.2956044193337233E-7</v>
      </c>
      <c r="M94" s="48">
        <f>SUM(M93:$M93)</f>
        <v>1.2154393041198939E-7</v>
      </c>
      <c r="N94" s="24"/>
      <c r="O94" s="25"/>
      <c r="P94" s="26"/>
    </row>
    <row r="95" spans="1:16">
      <c r="A95" s="2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24"/>
      <c r="O95" s="25"/>
      <c r="P95" s="26"/>
    </row>
    <row r="96" spans="1:16">
      <c r="C96" s="49" t="s">
        <v>8</v>
      </c>
      <c r="E96" s="32" t="s">
        <v>7</v>
      </c>
      <c r="P96" s="26"/>
    </row>
    <row r="97" spans="3:16">
      <c r="C97" s="50" t="s">
        <v>6</v>
      </c>
      <c r="E97" s="32" t="s">
        <v>5</v>
      </c>
      <c r="P97" s="26"/>
    </row>
    <row r="98" spans="3:16">
      <c r="C98" s="51">
        <f>W16</f>
        <v>245314.66207611284</v>
      </c>
      <c r="E98" s="52">
        <f>LN(C98^2/(C98^2+C100+2)^0.5)</f>
        <v>12.41029693153255</v>
      </c>
      <c r="P98" s="26"/>
    </row>
    <row r="99" spans="3:16">
      <c r="C99" s="53" t="s">
        <v>4</v>
      </c>
      <c r="E99" s="32" t="s">
        <v>3</v>
      </c>
      <c r="P99" s="26"/>
    </row>
    <row r="100" spans="3:16">
      <c r="C100" s="51">
        <f>AC17</f>
        <v>8296.2607163959237</v>
      </c>
      <c r="E100" s="52">
        <f>SQRT(LN(C100^2/C98^2+1))</f>
        <v>3.3809190104813175E-2</v>
      </c>
      <c r="P100" s="26"/>
    </row>
    <row r="101" spans="3:16">
      <c r="C101" s="54"/>
      <c r="P101" s="26"/>
    </row>
    <row r="102" spans="3:16">
      <c r="C102" s="54"/>
      <c r="P102" s="26"/>
    </row>
    <row r="103" spans="3:16">
      <c r="C103" s="55" t="s">
        <v>2</v>
      </c>
      <c r="D103" s="55" t="s">
        <v>1</v>
      </c>
      <c r="E103" s="55" t="s">
        <v>0</v>
      </c>
      <c r="P103" s="26"/>
    </row>
    <row r="104" spans="3:16">
      <c r="C104" s="54">
        <f>_xlfn.LOGNORM.INV(D104,$E$98,$E$100)</f>
        <v>220978.0556846711</v>
      </c>
      <c r="D104" s="14">
        <v>1E-3</v>
      </c>
      <c r="E104" s="9">
        <f t="shared" ref="E104:E167" si="141">_xlfn.LOGNORM.DIST(C104,$E$98,$E$100,FALSE)</f>
        <v>4.5068262938162854E-7</v>
      </c>
      <c r="P104" s="26"/>
    </row>
    <row r="105" spans="3:16">
      <c r="C105" s="54">
        <f t="shared" ref="C105:C167" si="142">_xlfn.LOGNORM.INV(D105,$E$98,$E$100)</f>
        <v>223551.40538356002</v>
      </c>
      <c r="D105" s="14">
        <v>3.0000000000000001E-3</v>
      </c>
      <c r="E105" s="9">
        <f t="shared" si="141"/>
        <v>1.2105159845368891E-6</v>
      </c>
      <c r="P105" s="26"/>
    </row>
    <row r="106" spans="3:16">
      <c r="C106" s="54">
        <f t="shared" si="142"/>
        <v>224275.97398324052</v>
      </c>
      <c r="D106" s="14">
        <v>4.0000000000000001E-3</v>
      </c>
      <c r="E106" s="9">
        <f t="shared" si="141"/>
        <v>1.5624028261003467E-6</v>
      </c>
      <c r="P106" s="26"/>
    </row>
    <row r="107" spans="3:16">
      <c r="C107" s="54">
        <f t="shared" si="142"/>
        <v>224854.82010095764</v>
      </c>
      <c r="D107" s="56">
        <v>5.0000000000000001E-3</v>
      </c>
      <c r="E107" s="9">
        <f t="shared" si="141"/>
        <v>1.9020573424606282E-6</v>
      </c>
      <c r="P107" s="26"/>
    </row>
    <row r="108" spans="3:16">
      <c r="C108" s="54">
        <f t="shared" si="142"/>
        <v>226759.43889915929</v>
      </c>
      <c r="D108" s="56">
        <f t="shared" ref="D108:D139" si="143">D107+0.005</f>
        <v>0.01</v>
      </c>
      <c r="E108" s="9">
        <f t="shared" si="141"/>
        <v>3.4764179261038482E-6</v>
      </c>
      <c r="P108" s="26"/>
    </row>
    <row r="109" spans="3:16">
      <c r="C109" s="54">
        <f t="shared" si="142"/>
        <v>227960.56521913916</v>
      </c>
      <c r="D109" s="56">
        <f t="shared" si="143"/>
        <v>1.4999999999999999E-2</v>
      </c>
      <c r="E109" s="9">
        <f t="shared" si="141"/>
        <v>4.9136673858611689E-6</v>
      </c>
    </row>
    <row r="110" spans="3:16">
      <c r="C110" s="54">
        <f t="shared" si="142"/>
        <v>228858.99354773539</v>
      </c>
      <c r="D110" s="56">
        <f t="shared" si="143"/>
        <v>0.02</v>
      </c>
      <c r="E110" s="9">
        <f t="shared" si="141"/>
        <v>6.2575641969471533E-6</v>
      </c>
    </row>
    <row r="111" spans="3:16">
      <c r="C111" s="54">
        <f t="shared" si="142"/>
        <v>229585.80958648844</v>
      </c>
      <c r="D111" s="56">
        <f t="shared" si="143"/>
        <v>2.5000000000000001E-2</v>
      </c>
      <c r="E111" s="9">
        <f t="shared" si="141"/>
        <v>7.529533552621426E-6</v>
      </c>
    </row>
    <row r="112" spans="3:16">
      <c r="C112" s="54">
        <f t="shared" si="142"/>
        <v>230201.16196430335</v>
      </c>
      <c r="D112" s="56">
        <f t="shared" si="143"/>
        <v>3.0000000000000002E-2</v>
      </c>
      <c r="E112" s="9">
        <f t="shared" si="141"/>
        <v>8.7424766623168564E-6</v>
      </c>
    </row>
    <row r="113" spans="3:5">
      <c r="C113" s="54">
        <f t="shared" si="142"/>
        <v>230737.89673522086</v>
      </c>
      <c r="D113" s="56">
        <f t="shared" si="143"/>
        <v>3.5000000000000003E-2</v>
      </c>
      <c r="E113" s="9">
        <f t="shared" si="141"/>
        <v>9.9050705134485966E-6</v>
      </c>
    </row>
    <row r="114" spans="3:5">
      <c r="C114" s="54">
        <f t="shared" si="142"/>
        <v>231216.00827698375</v>
      </c>
      <c r="D114" s="56">
        <f t="shared" si="143"/>
        <v>0.04</v>
      </c>
      <c r="E114" s="9">
        <f t="shared" si="141"/>
        <v>1.1023574635840816E-5</v>
      </c>
    </row>
    <row r="115" spans="3:5">
      <c r="C115" s="54">
        <f t="shared" si="142"/>
        <v>231648.61408803912</v>
      </c>
      <c r="D115" s="56">
        <f t="shared" si="143"/>
        <v>4.4999999999999998E-2</v>
      </c>
      <c r="E115" s="9">
        <f t="shared" si="141"/>
        <v>1.210272986188417E-5</v>
      </c>
    </row>
    <row r="116" spans="3:5">
      <c r="C116" s="54">
        <f t="shared" si="142"/>
        <v>232044.80629066608</v>
      </c>
      <c r="D116" s="56">
        <f t="shared" si="143"/>
        <v>4.9999999999999996E-2</v>
      </c>
      <c r="E116" s="9">
        <f t="shared" si="141"/>
        <v>1.3146257955504355E-5</v>
      </c>
    </row>
    <row r="117" spans="3:5">
      <c r="C117" s="54">
        <f t="shared" si="142"/>
        <v>232411.15822895899</v>
      </c>
      <c r="D117" s="56">
        <f t="shared" si="143"/>
        <v>5.4999999999999993E-2</v>
      </c>
      <c r="E117" s="9">
        <f t="shared" si="141"/>
        <v>1.41571623550578E-5</v>
      </c>
    </row>
    <row r="118" spans="3:5">
      <c r="C118" s="54">
        <f t="shared" si="142"/>
        <v>232752.58362395971</v>
      </c>
      <c r="D118" s="56">
        <f t="shared" si="143"/>
        <v>5.9999999999999991E-2</v>
      </c>
      <c r="E118" s="9">
        <f t="shared" si="141"/>
        <v>1.5137920404607443E-5</v>
      </c>
    </row>
    <row r="119" spans="3:5">
      <c r="C119" s="54">
        <f t="shared" si="142"/>
        <v>233072.85660812256</v>
      </c>
      <c r="D119" s="56">
        <f t="shared" si="143"/>
        <v>6.4999999999999988E-2</v>
      </c>
      <c r="E119" s="9">
        <f t="shared" si="141"/>
        <v>1.6090612149120453E-5</v>
      </c>
    </row>
    <row r="120" spans="3:5">
      <c r="C120" s="54">
        <f t="shared" si="142"/>
        <v>233374.94195073878</v>
      </c>
      <c r="D120" s="56">
        <f t="shared" si="143"/>
        <v>6.9999999999999993E-2</v>
      </c>
      <c r="E120" s="9">
        <f t="shared" si="141"/>
        <v>1.7017009966785172E-5</v>
      </c>
    </row>
    <row r="121" spans="3:5">
      <c r="C121" s="54">
        <f t="shared" si="142"/>
        <v>233661.21318890608</v>
      </c>
      <c r="D121" s="56">
        <f t="shared" si="143"/>
        <v>7.4999999999999997E-2</v>
      </c>
      <c r="E121" s="9">
        <f t="shared" si="141"/>
        <v>1.7918642930187899E-5</v>
      </c>
    </row>
    <row r="122" spans="3:5">
      <c r="C122" s="54">
        <f t="shared" si="142"/>
        <v>233933.60155584029</v>
      </c>
      <c r="D122" s="56">
        <f t="shared" si="143"/>
        <v>0.08</v>
      </c>
      <c r="E122" s="9">
        <f t="shared" si="141"/>
        <v>1.8796844251498888E-5</v>
      </c>
    </row>
    <row r="123" spans="3:5">
      <c r="C123" s="54">
        <f t="shared" si="142"/>
        <v>234193.70056043004</v>
      </c>
      <c r="D123" s="56">
        <f t="shared" si="143"/>
        <v>8.5000000000000006E-2</v>
      </c>
      <c r="E123" s="9">
        <f t="shared" si="141"/>
        <v>1.965278704897138E-5</v>
      </c>
    </row>
    <row r="124" spans="3:5">
      <c r="C124" s="54">
        <f t="shared" si="142"/>
        <v>234442.84122468589</v>
      </c>
      <c r="D124" s="56">
        <f t="shared" si="143"/>
        <v>9.0000000000000011E-2</v>
      </c>
      <c r="E124" s="9">
        <f t="shared" si="141"/>
        <v>2.0487511834617985E-5</v>
      </c>
    </row>
    <row r="125" spans="3:5">
      <c r="C125" s="54">
        <f t="shared" si="142"/>
        <v>234682.14736516378</v>
      </c>
      <c r="D125" s="56">
        <f t="shared" si="143"/>
        <v>9.5000000000000015E-2</v>
      </c>
      <c r="E125" s="9">
        <f t="shared" si="141"/>
        <v>2.1301947997392942E-5</v>
      </c>
    </row>
    <row r="126" spans="3:5">
      <c r="C126" s="54">
        <f t="shared" si="142"/>
        <v>234912.57697122506</v>
      </c>
      <c r="D126" s="56">
        <f t="shared" si="143"/>
        <v>0.10000000000000002</v>
      </c>
      <c r="E126" s="9">
        <f t="shared" si="141"/>
        <v>2.2096930843481603E-5</v>
      </c>
    </row>
    <row r="127" spans="3:5">
      <c r="C127" s="54">
        <f t="shared" si="142"/>
        <v>235134.95368939012</v>
      </c>
      <c r="D127" s="56">
        <f t="shared" si="143"/>
        <v>0.10500000000000002</v>
      </c>
      <c r="E127" s="9">
        <f t="shared" si="141"/>
        <v>2.2873215290708095E-5</v>
      </c>
    </row>
    <row r="128" spans="3:5">
      <c r="C128" s="54">
        <f t="shared" si="142"/>
        <v>235349.99113296389</v>
      </c>
      <c r="D128" s="56">
        <f t="shared" si="143"/>
        <v>0.11000000000000003</v>
      </c>
      <c r="E128" s="9">
        <f t="shared" si="141"/>
        <v>2.3631487003416389E-5</v>
      </c>
    </row>
    <row r="129" spans="3:5">
      <c r="C129" s="54">
        <f t="shared" si="142"/>
        <v>235558.31190037928</v>
      </c>
      <c r="D129" s="56">
        <f t="shared" si="143"/>
        <v>0.11500000000000003</v>
      </c>
      <c r="E129" s="9">
        <f t="shared" si="141"/>
        <v>2.4372371541728857E-5</v>
      </c>
    </row>
    <row r="130" spans="3:5">
      <c r="C130" s="54">
        <f t="shared" si="142"/>
        <v>235760.46263168089</v>
      </c>
      <c r="D130" s="56">
        <f t="shared" si="143"/>
        <v>0.12000000000000004</v>
      </c>
      <c r="E130" s="9">
        <f t="shared" si="141"/>
        <v>2.5096441950866615E-5</v>
      </c>
    </row>
    <row r="131" spans="3:5">
      <c r="C131" s="54">
        <f t="shared" si="142"/>
        <v>235956.92605760045</v>
      </c>
      <c r="D131" s="56">
        <f t="shared" si="143"/>
        <v>0.12500000000000003</v>
      </c>
      <c r="E131" s="9">
        <f t="shared" si="141"/>
        <v>2.5804225110888906E-5</v>
      </c>
    </row>
    <row r="132" spans="3:5">
      <c r="C132" s="54">
        <f t="shared" si="142"/>
        <v>236148.13073709773</v>
      </c>
      <c r="D132" s="56">
        <f t="shared" si="143"/>
        <v>0.13000000000000003</v>
      </c>
      <c r="E132" s="9">
        <f t="shared" si="141"/>
        <v>2.6496207091103941E-5</v>
      </c>
    </row>
    <row r="133" spans="3:5">
      <c r="C133" s="54">
        <f t="shared" si="142"/>
        <v>236334.45899790598</v>
      </c>
      <c r="D133" s="56">
        <f t="shared" si="143"/>
        <v>0.13500000000000004</v>
      </c>
      <c r="E133" s="9">
        <f t="shared" si="141"/>
        <v>2.7172837697725565E-5</v>
      </c>
    </row>
    <row r="134" spans="3:5">
      <c r="C134" s="54">
        <f t="shared" si="142"/>
        <v>236516.25346542354</v>
      </c>
      <c r="D134" s="56">
        <f t="shared" si="143"/>
        <v>0.14000000000000004</v>
      </c>
      <c r="E134" s="9">
        <f t="shared" si="141"/>
        <v>2.7834534361864288E-5</v>
      </c>
    </row>
    <row r="135" spans="3:5">
      <c r="C135" s="54">
        <f t="shared" si="142"/>
        <v>236693.82247196778</v>
      </c>
      <c r="D135" s="56">
        <f t="shared" si="143"/>
        <v>0.14500000000000005</v>
      </c>
      <c r="E135" s="9">
        <f t="shared" si="141"/>
        <v>2.8481685483796127E-5</v>
      </c>
    </row>
    <row r="136" spans="3:5">
      <c r="C136" s="54">
        <f t="shared" si="142"/>
        <v>236867.44457010733</v>
      </c>
      <c r="D136" s="56">
        <f t="shared" si="143"/>
        <v>0.15000000000000005</v>
      </c>
      <c r="E136" s="9">
        <f t="shared" si="141"/>
        <v>2.9114653325792628E-5</v>
      </c>
    </row>
    <row r="137" spans="3:5">
      <c r="C137" s="54">
        <f t="shared" si="142"/>
        <v>237037.37232316437</v>
      </c>
      <c r="D137" s="56">
        <f t="shared" si="143"/>
        <v>0.15500000000000005</v>
      </c>
      <c r="E137" s="9">
        <f t="shared" si="141"/>
        <v>2.9733776527502932E-5</v>
      </c>
    </row>
    <row r="138" spans="3:5">
      <c r="C138" s="54">
        <f t="shared" si="142"/>
        <v>237203.83550808523</v>
      </c>
      <c r="D138" s="56">
        <f t="shared" si="143"/>
        <v>0.16000000000000006</v>
      </c>
      <c r="E138" s="9">
        <f t="shared" si="141"/>
        <v>3.0339372303767489E-5</v>
      </c>
    </row>
    <row r="139" spans="3:5">
      <c r="C139" s="54">
        <f t="shared" si="142"/>
        <v>237367.04383718965</v>
      </c>
      <c r="D139" s="56">
        <f t="shared" si="143"/>
        <v>0.16500000000000006</v>
      </c>
      <c r="E139" s="9">
        <f t="shared" si="141"/>
        <v>3.0931738373671747E-5</v>
      </c>
    </row>
    <row r="140" spans="3:5">
      <c r="C140" s="54">
        <f t="shared" si="142"/>
        <v>237527.18928337569</v>
      </c>
      <c r="D140" s="56">
        <f t="shared" ref="D140:D171" si="144">D139+0.005</f>
        <v>0.17000000000000007</v>
      </c>
      <c r="E140" s="9">
        <f t="shared" si="141"/>
        <v>3.1511154660844729E-5</v>
      </c>
    </row>
    <row r="141" spans="3:5">
      <c r="C141" s="54">
        <f t="shared" si="142"/>
        <v>237684.44807646607</v>
      </c>
      <c r="D141" s="56">
        <f t="shared" si="144"/>
        <v>0.17500000000000007</v>
      </c>
      <c r="E141" s="9">
        <f t="shared" si="141"/>
        <v>3.2077884798077956E-5</v>
      </c>
    </row>
    <row r="142" spans="3:5">
      <c r="C142" s="54">
        <f t="shared" si="142"/>
        <v>237838.98242523358</v>
      </c>
      <c r="D142" s="56">
        <f t="shared" si="144"/>
        <v>0.18000000000000008</v>
      </c>
      <c r="E142" s="9">
        <f t="shared" si="141"/>
        <v>3.2632177463723589E-5</v>
      </c>
    </row>
    <row r="143" spans="3:5">
      <c r="C143" s="54">
        <f t="shared" si="142"/>
        <v>237990.94200934854</v>
      </c>
      <c r="D143" s="56">
        <f t="shared" si="144"/>
        <v>0.18500000000000008</v>
      </c>
      <c r="E143" s="9">
        <f t="shared" si="141"/>
        <v>3.3174267572824531E-5</v>
      </c>
    </row>
    <row r="144" spans="3:5">
      <c r="C144" s="54">
        <f t="shared" si="142"/>
        <v>238140.46527735909</v>
      </c>
      <c r="D144" s="56">
        <f t="shared" si="144"/>
        <v>0.19000000000000009</v>
      </c>
      <c r="E144" s="9">
        <f t="shared" si="141"/>
        <v>3.3704377342252809E-5</v>
      </c>
    </row>
    <row r="145" spans="3:5">
      <c r="C145" s="54">
        <f t="shared" si="142"/>
        <v>238287.68058035601</v>
      </c>
      <c r="D145" s="56">
        <f t="shared" si="144"/>
        <v>0.19500000000000009</v>
      </c>
      <c r="E145" s="9">
        <f t="shared" si="141"/>
        <v>3.422271724613597E-5</v>
      </c>
    </row>
    <row r="146" spans="3:5">
      <c r="C146" s="54">
        <f t="shared" si="142"/>
        <v>238432.70716579791</v>
      </c>
      <c r="D146" s="56">
        <f t="shared" si="144"/>
        <v>0.20000000000000009</v>
      </c>
      <c r="E146" s="9">
        <f t="shared" si="141"/>
        <v>3.4729486875369976E-5</v>
      </c>
    </row>
    <row r="147" spans="3:5">
      <c r="C147" s="54">
        <f t="shared" si="142"/>
        <v>238575.65605181325</v>
      </c>
      <c r="D147" s="56">
        <f t="shared" si="144"/>
        <v>0.2050000000000001</v>
      </c>
      <c r="E147" s="9">
        <f t="shared" si="141"/>
        <v>3.5224875712983289E-5</v>
      </c>
    </row>
    <row r="148" spans="3:5">
      <c r="C148" s="54">
        <f t="shared" si="142"/>
        <v>238716.63079892853</v>
      </c>
      <c r="D148" s="56">
        <f t="shared" si="144"/>
        <v>0.2100000000000001</v>
      </c>
      <c r="E148" s="9">
        <f t="shared" si="141"/>
        <v>3.5709063835436313E-5</v>
      </c>
    </row>
    <row r="149" spans="3:5">
      <c r="C149" s="54">
        <f t="shared" si="142"/>
        <v>238855.72819341204</v>
      </c>
      <c r="D149" s="56">
        <f t="shared" si="144"/>
        <v>0.21500000000000011</v>
      </c>
      <c r="E149" s="9">
        <f t="shared" si="141"/>
        <v>3.6182222548472245E-5</v>
      </c>
    </row>
    <row r="150" spans="3:5">
      <c r="C150" s="54">
        <f t="shared" si="142"/>
        <v>238993.03885419498</v>
      </c>
      <c r="D150" s="56">
        <f t="shared" si="144"/>
        <v>0.22000000000000011</v>
      </c>
      <c r="E150" s="9">
        <f t="shared" si="141"/>
        <v>3.6644514965010532E-5</v>
      </c>
    </row>
    <row r="151" spans="3:5">
      <c r="C151" s="54">
        <f t="shared" si="142"/>
        <v>239128.64777346421</v>
      </c>
      <c r="D151" s="56">
        <f t="shared" si="144"/>
        <v>0.22500000000000012</v>
      </c>
      <c r="E151" s="9">
        <f t="shared" si="141"/>
        <v>3.7096096531514057E-5</v>
      </c>
    </row>
    <row r="152" spans="3:5">
      <c r="C152" s="54">
        <f t="shared" si="142"/>
        <v>239262.63479951085</v>
      </c>
      <c r="D152" s="56">
        <f t="shared" si="144"/>
        <v>0.23000000000000012</v>
      </c>
      <c r="E152" s="9">
        <f t="shared" si="141"/>
        <v>3.7537115508465155E-5</v>
      </c>
    </row>
    <row r="153" spans="3:5">
      <c r="C153" s="54">
        <f t="shared" si="142"/>
        <v>239395.07506912854</v>
      </c>
      <c r="D153" s="56">
        <f t="shared" si="144"/>
        <v>0.23500000000000013</v>
      </c>
      <c r="E153" s="9">
        <f t="shared" si="141"/>
        <v>3.7967713409802151E-5</v>
      </c>
    </row>
    <row r="154" spans="3:5">
      <c r="C154" s="54">
        <f t="shared" si="142"/>
        <v>239526.03939581837</v>
      </c>
      <c r="D154" s="56">
        <f t="shared" si="144"/>
        <v>0.24000000000000013</v>
      </c>
      <c r="E154" s="9">
        <f t="shared" si="141"/>
        <v>3.8388025405619224E-5</v>
      </c>
    </row>
    <row r="155" spans="3:5">
      <c r="C155" s="54">
        <f t="shared" si="142"/>
        <v>239655.59461915592</v>
      </c>
      <c r="D155" s="56">
        <f t="shared" si="144"/>
        <v>0.24500000000000013</v>
      </c>
      <c r="E155" s="9">
        <f t="shared" si="141"/>
        <v>3.879818069185774E-5</v>
      </c>
    </row>
    <row r="156" spans="3:5">
      <c r="C156" s="54">
        <f t="shared" si="142"/>
        <v>239783.80391994122</v>
      </c>
      <c r="D156" s="56">
        <f t="shared" si="144"/>
        <v>0.25000000000000011</v>
      </c>
      <c r="E156" s="9">
        <f t="shared" si="141"/>
        <v>3.9198302830295603E-5</v>
      </c>
    </row>
    <row r="157" spans="3:5">
      <c r="C157" s="54">
        <f t="shared" si="142"/>
        <v>239910.72710511251</v>
      </c>
      <c r="D157" s="56">
        <f t="shared" si="144"/>
        <v>0.25500000000000012</v>
      </c>
      <c r="E157" s="9">
        <f t="shared" si="141"/>
        <v>3.9588510061721552E-5</v>
      </c>
    </row>
    <row r="158" spans="3:5">
      <c r="C158" s="54">
        <f t="shared" si="142"/>
        <v>240036.42086588335</v>
      </c>
      <c r="D158" s="56">
        <f t="shared" si="144"/>
        <v>0.26000000000000012</v>
      </c>
      <c r="E158" s="9">
        <f t="shared" si="141"/>
        <v>3.9968915594873696E-5</v>
      </c>
    </row>
    <row r="159" spans="3:5">
      <c r="C159" s="54">
        <f t="shared" si="142"/>
        <v>240160.93901210735</v>
      </c>
      <c r="D159" s="56">
        <f t="shared" si="144"/>
        <v>0.26500000000000012</v>
      </c>
      <c r="E159" s="9">
        <f t="shared" si="141"/>
        <v>4.0339627873422411E-5</v>
      </c>
    </row>
    <row r="160" spans="3:5">
      <c r="C160" s="54">
        <f t="shared" si="142"/>
        <v>240284.33268547957</v>
      </c>
      <c r="D160" s="56">
        <f t="shared" si="144"/>
        <v>0.27000000000000013</v>
      </c>
      <c r="E160" s="9">
        <f t="shared" si="141"/>
        <v>4.0700750822997816E-5</v>
      </c>
    </row>
    <row r="161" spans="3:5">
      <c r="C161" s="54">
        <f t="shared" si="142"/>
        <v>240406.65055386978</v>
      </c>
      <c r="D161" s="56">
        <f t="shared" si="144"/>
        <v>0.27500000000000013</v>
      </c>
      <c r="E161" s="9">
        <f t="shared" si="141"/>
        <v>4.1052384080084312E-5</v>
      </c>
    </row>
    <row r="162" spans="3:5">
      <c r="C162" s="54">
        <f t="shared" si="142"/>
        <v>240527.93898878782</v>
      </c>
      <c r="D162" s="56">
        <f t="shared" si="144"/>
        <v>0.28000000000000014</v>
      </c>
      <c r="E162" s="9">
        <f t="shared" si="141"/>
        <v>4.1394623204378752E-5</v>
      </c>
    </row>
    <row r="163" spans="3:5">
      <c r="C163" s="54">
        <f t="shared" si="142"/>
        <v>240648.24222773823</v>
      </c>
      <c r="D163" s="56">
        <f t="shared" si="144"/>
        <v>0.28500000000000014</v>
      </c>
      <c r="E163" s="9">
        <f t="shared" si="141"/>
        <v>4.1727559876040252E-5</v>
      </c>
    </row>
    <row r="164" spans="3:5">
      <c r="C164" s="54">
        <f t="shared" si="142"/>
        <v>240767.60252302064</v>
      </c>
      <c r="D164" s="56">
        <f t="shared" si="144"/>
        <v>0.29000000000000015</v>
      </c>
      <c r="E164" s="9">
        <f t="shared" si="141"/>
        <v>4.2051282079136085E-5</v>
      </c>
    </row>
    <row r="165" spans="3:5">
      <c r="C165" s="54">
        <f t="shared" si="142"/>
        <v>240886.06027833905</v>
      </c>
      <c r="D165" s="56">
        <f t="shared" si="144"/>
        <v>0.29500000000000015</v>
      </c>
      <c r="E165" s="9">
        <f t="shared" si="141"/>
        <v>4.2365874272426846E-5</v>
      </c>
    </row>
    <row r="166" spans="3:5">
      <c r="C166" s="54">
        <f t="shared" si="142"/>
        <v>241003.6541744296</v>
      </c>
      <c r="D166" s="56">
        <f t="shared" si="144"/>
        <v>0.30000000000000016</v>
      </c>
      <c r="E166" s="9">
        <f t="shared" si="141"/>
        <v>4.2671417548526149E-5</v>
      </c>
    </row>
    <row r="167" spans="3:5">
      <c r="C167" s="54">
        <f t="shared" si="142"/>
        <v>241120.42128478739</v>
      </c>
      <c r="D167" s="56">
        <f t="shared" si="144"/>
        <v>0.30500000000000016</v>
      </c>
      <c r="E167" s="9">
        <f t="shared" si="141"/>
        <v>4.296798978239327E-5</v>
      </c>
    </row>
    <row r="168" spans="3:5">
      <c r="C168" s="54">
        <f t="shared" ref="C168:C231" si="145">_xlfn.LOGNORM.INV(D168,$E$98,$E$100)</f>
        <v>241236.39718243742</v>
      </c>
      <c r="D168" s="56">
        <f t="shared" si="144"/>
        <v>0.31000000000000016</v>
      </c>
      <c r="E168" s="9">
        <f t="shared" ref="E168:E231" si="146">_xlfn.LOGNORM.DIST(C168,$E$98,$E$100,FALSE)</f>
        <v>4.3255665769978764E-5</v>
      </c>
    </row>
    <row r="169" spans="3:5">
      <c r="C169" s="54">
        <f t="shared" si="145"/>
        <v>241351.61603860054</v>
      </c>
      <c r="D169" s="56">
        <f t="shared" si="144"/>
        <v>0.31500000000000017</v>
      </c>
      <c r="E169" s="9">
        <f t="shared" si="146"/>
        <v>4.3534517357796713E-5</v>
      </c>
    </row>
    <row r="170" spans="3:5">
      <c r="C170" s="54">
        <f t="shared" si="145"/>
        <v>241466.11071402088</v>
      </c>
      <c r="D170" s="56">
        <f t="shared" si="144"/>
        <v>0.32000000000000017</v>
      </c>
      <c r="E170" s="9">
        <f t="shared" si="146"/>
        <v>4.3804613564132982E-5</v>
      </c>
    </row>
    <row r="171" spans="3:5">
      <c r="C171" s="54">
        <f t="shared" si="145"/>
        <v>241579.91284361668</v>
      </c>
      <c r="D171" s="56">
        <f t="shared" si="144"/>
        <v>0.32500000000000018</v>
      </c>
      <c r="E171" s="9">
        <f t="shared" si="146"/>
        <v>4.4066020692483244E-5</v>
      </c>
    </row>
    <row r="172" spans="3:5">
      <c r="C172" s="54">
        <f t="shared" si="145"/>
        <v>241693.05291507731</v>
      </c>
      <c r="D172" s="56">
        <f t="shared" ref="D172:D203" si="147">D171+0.005</f>
        <v>0.33000000000000018</v>
      </c>
      <c r="E172" s="9">
        <f t="shared" si="146"/>
        <v>4.4318802437827731E-5</v>
      </c>
    </row>
    <row r="173" spans="3:5">
      <c r="C173" s="54">
        <f t="shared" si="145"/>
        <v>241805.56034193683</v>
      </c>
      <c r="D173" s="56">
        <f t="shared" si="147"/>
        <v>0.33500000000000019</v>
      </c>
      <c r="E173" s="9">
        <f t="shared" si="146"/>
        <v>4.4563019986229733E-5</v>
      </c>
    </row>
    <row r="174" spans="3:5">
      <c r="C174" s="54">
        <f t="shared" si="145"/>
        <v>241917.46353162633</v>
      </c>
      <c r="D174" s="56">
        <f t="shared" si="147"/>
        <v>0.34000000000000019</v>
      </c>
      <c r="E174" s="9">
        <f t="shared" si="146"/>
        <v>4.479873210825799E-5</v>
      </c>
    </row>
    <row r="175" spans="3:5">
      <c r="C175" s="54">
        <f t="shared" si="145"/>
        <v>242028.78994893498</v>
      </c>
      <c r="D175" s="56">
        <f t="shared" si="147"/>
        <v>0.3450000000000002</v>
      </c>
      <c r="E175" s="9">
        <f t="shared" si="146"/>
        <v>4.5025995246641234E-5</v>
      </c>
    </row>
    <row r="176" spans="3:5">
      <c r="C176" s="54">
        <f t="shared" si="145"/>
        <v>242139.56617528698</v>
      </c>
      <c r="D176" s="56">
        <f t="shared" si="147"/>
        <v>0.3500000000000002</v>
      </c>
      <c r="E176" s="9">
        <f t="shared" si="146"/>
        <v>4.5244863598564773E-5</v>
      </c>
    </row>
    <row r="177" spans="3:5">
      <c r="C177" s="54">
        <f t="shared" si="145"/>
        <v>242249.81796418491</v>
      </c>
      <c r="D177" s="56">
        <f t="shared" si="147"/>
        <v>0.3550000000000002</v>
      </c>
      <c r="E177" s="9">
        <f t="shared" si="146"/>
        <v>4.5455389192955361E-5</v>
      </c>
    </row>
    <row r="178" spans="3:5">
      <c r="C178" s="54">
        <f t="shared" si="145"/>
        <v>242359.57029315672</v>
      </c>
      <c r="D178" s="56">
        <f t="shared" si="147"/>
        <v>0.36000000000000021</v>
      </c>
      <c r="E178" s="9">
        <f t="shared" si="146"/>
        <v>4.5657621963099682E-5</v>
      </c>
    </row>
    <row r="179" spans="3:5">
      <c r="C179" s="54">
        <f t="shared" si="145"/>
        <v>242468.84741248985</v>
      </c>
      <c r="D179" s="56">
        <f t="shared" si="147"/>
        <v>0.36500000000000021</v>
      </c>
      <c r="E179" s="9">
        <f t="shared" si="146"/>
        <v>4.5851609814880049E-5</v>
      </c>
    </row>
    <row r="180" spans="3:5">
      <c r="C180" s="54">
        <f t="shared" si="145"/>
        <v>242577.67289102683</v>
      </c>
      <c r="D180" s="56">
        <f t="shared" si="147"/>
        <v>0.37000000000000022</v>
      </c>
      <c r="E180" s="9">
        <f t="shared" si="146"/>
        <v>4.6037398690911855E-5</v>
      </c>
    </row>
    <row r="181" spans="3:5">
      <c r="C181" s="54">
        <f t="shared" si="145"/>
        <v>242686.06965927168</v>
      </c>
      <c r="D181" s="56">
        <f t="shared" si="147"/>
        <v>0.37500000000000022</v>
      </c>
      <c r="E181" s="9">
        <f t="shared" si="146"/>
        <v>4.621503263084621E-5</v>
      </c>
    </row>
    <row r="182" spans="3:5">
      <c r="C182" s="54">
        <f t="shared" si="145"/>
        <v>242794.06005001857</v>
      </c>
      <c r="D182" s="56">
        <f t="shared" si="147"/>
        <v>0.38000000000000023</v>
      </c>
      <c r="E182" s="9">
        <f t="shared" si="146"/>
        <v>4.6384553828048141E-5</v>
      </c>
    </row>
    <row r="183" spans="3:5">
      <c r="C183" s="54">
        <f t="shared" si="145"/>
        <v>242901.66583671549</v>
      </c>
      <c r="D183" s="56">
        <f t="shared" si="147"/>
        <v>0.38500000000000023</v>
      </c>
      <c r="E183" s="9">
        <f t="shared" si="146"/>
        <v>4.6546002682884044E-5</v>
      </c>
    </row>
    <row r="184" spans="3:5">
      <c r="C184" s="54">
        <f t="shared" si="145"/>
        <v>243008.90826974635</v>
      </c>
      <c r="D184" s="56">
        <f t="shared" si="147"/>
        <v>0.39000000000000024</v>
      </c>
      <c r="E184" s="9">
        <f t="shared" si="146"/>
        <v>4.6699417852806021E-5</v>
      </c>
    </row>
    <row r="185" spans="3:5">
      <c r="C185" s="54">
        <f t="shared" si="145"/>
        <v>243115.80811080424</v>
      </c>
      <c r="D185" s="56">
        <f t="shared" si="147"/>
        <v>0.39500000000000024</v>
      </c>
      <c r="E185" s="9">
        <f t="shared" si="146"/>
        <v>4.684483629941784E-5</v>
      </c>
    </row>
    <row r="186" spans="3:5">
      <c r="C186" s="54">
        <f t="shared" si="145"/>
        <v>243222.38566550589</v>
      </c>
      <c r="D186" s="56">
        <f t="shared" si="147"/>
        <v>0.40000000000000024</v>
      </c>
      <c r="E186" s="9">
        <f t="shared" si="146"/>
        <v>4.6982293332679874E-5</v>
      </c>
    </row>
    <row r="187" spans="3:5">
      <c r="C187" s="54">
        <f t="shared" si="145"/>
        <v>243328.66081440361</v>
      </c>
      <c r="D187" s="56">
        <f t="shared" si="147"/>
        <v>0.40500000000000025</v>
      </c>
      <c r="E187" s="9">
        <f t="shared" si="146"/>
        <v>4.7111822652421902E-5</v>
      </c>
    </row>
    <row r="188" spans="3:5">
      <c r="C188" s="54">
        <f t="shared" si="145"/>
        <v>243434.65304251754</v>
      </c>
      <c r="D188" s="56">
        <f t="shared" si="147"/>
        <v>0.41000000000000025</v>
      </c>
      <c r="E188" s="9">
        <f t="shared" si="146"/>
        <v>4.7233456387290088E-5</v>
      </c>
    </row>
    <row r="189" spans="3:5">
      <c r="C189" s="54">
        <f t="shared" si="145"/>
        <v>243540.38146751645</v>
      </c>
      <c r="D189" s="56">
        <f t="shared" si="147"/>
        <v>0.41500000000000026</v>
      </c>
      <c r="E189" s="9">
        <f t="shared" si="146"/>
        <v>4.7347225131264602E-5</v>
      </c>
    </row>
    <row r="190" spans="3:5">
      <c r="C190" s="54">
        <f t="shared" si="145"/>
        <v>243645.86486665998</v>
      </c>
      <c r="D190" s="56">
        <f t="shared" si="147"/>
        <v>0.42000000000000026</v>
      </c>
      <c r="E190" s="9">
        <f t="shared" si="146"/>
        <v>4.7453157977866169E-5</v>
      </c>
    </row>
    <row r="191" spans="3:5">
      <c r="C191" s="54">
        <f t="shared" si="145"/>
        <v>243751.12170261054</v>
      </c>
      <c r="D191" s="56">
        <f t="shared" si="147"/>
        <v>0.42500000000000027</v>
      </c>
      <c r="E191" s="9">
        <f t="shared" si="146"/>
        <v>4.755128255216435E-5</v>
      </c>
    </row>
    <row r="192" spans="3:5">
      <c r="C192" s="54">
        <f t="shared" si="145"/>
        <v>243856.17014820935</v>
      </c>
      <c r="D192" s="56">
        <f t="shared" si="147"/>
        <v>0.43000000000000027</v>
      </c>
      <c r="E192" s="9">
        <f t="shared" si="146"/>
        <v>4.7641625040681207E-5</v>
      </c>
    </row>
    <row r="193" spans="3:5">
      <c r="C193" s="54">
        <f t="shared" si="145"/>
        <v>243961.02811031224</v>
      </c>
      <c r="D193" s="56">
        <f t="shared" si="147"/>
        <v>0.43500000000000028</v>
      </c>
      <c r="E193" s="9">
        <f t="shared" si="146"/>
        <v>4.7724210219290115E-5</v>
      </c>
    </row>
    <row r="194" spans="3:5">
      <c r="C194" s="54">
        <f t="shared" si="145"/>
        <v>244065.71325277022</v>
      </c>
      <c r="D194" s="56">
        <f t="shared" si="147"/>
        <v>0.44000000000000028</v>
      </c>
      <c r="E194" s="9">
        <f t="shared" si="146"/>
        <v>4.7799061479192567E-5</v>
      </c>
    </row>
    <row r="195" spans="3:5">
      <c r="C195" s="54">
        <f t="shared" si="145"/>
        <v>244170.24301863727</v>
      </c>
      <c r="D195" s="56">
        <f t="shared" si="147"/>
        <v>0.44500000000000028</v>
      </c>
      <c r="E195" s="9">
        <f t="shared" si="146"/>
        <v>4.7866200851049929E-5</v>
      </c>
    </row>
    <row r="196" spans="3:5">
      <c r="C196" s="54">
        <f t="shared" si="145"/>
        <v>244274.6346516776</v>
      </c>
      <c r="D196" s="56">
        <f t="shared" si="147"/>
        <v>0.45000000000000029</v>
      </c>
      <c r="E196" s="9">
        <f t="shared" si="146"/>
        <v>4.792564902734215E-5</v>
      </c>
    </row>
    <row r="197" spans="3:5">
      <c r="C197" s="54">
        <f t="shared" si="145"/>
        <v>244378.90521725017</v>
      </c>
      <c r="D197" s="56">
        <f t="shared" si="147"/>
        <v>0.45500000000000029</v>
      </c>
      <c r="E197" s="9">
        <f t="shared" si="146"/>
        <v>4.7977425383018576E-5</v>
      </c>
    </row>
    <row r="198" spans="3:5">
      <c r="C198" s="54">
        <f t="shared" si="145"/>
        <v>244483.07162263294</v>
      </c>
      <c r="D198" s="56">
        <f t="shared" si="147"/>
        <v>0.4600000000000003</v>
      </c>
      <c r="E198" s="9">
        <f t="shared" si="146"/>
        <v>4.8021547994501122E-5</v>
      </c>
    </row>
    <row r="199" spans="3:5">
      <c r="C199" s="54">
        <f t="shared" si="145"/>
        <v>244587.15063685708</v>
      </c>
      <c r="D199" s="56">
        <f t="shared" si="147"/>
        <v>0.4650000000000003</v>
      </c>
      <c r="E199" s="9">
        <f t="shared" si="146"/>
        <v>4.805803365709126E-5</v>
      </c>
    </row>
    <row r="200" spans="3:5">
      <c r="C200" s="54">
        <f t="shared" si="145"/>
        <v>244691.15891011007</v>
      </c>
      <c r="D200" s="56">
        <f t="shared" si="147"/>
        <v>0.47000000000000031</v>
      </c>
      <c r="E200" s="9">
        <f t="shared" si="146"/>
        <v>4.8086897900831466E-5</v>
      </c>
    </row>
    <row r="201" spans="3:5">
      <c r="C201" s="54">
        <f t="shared" si="145"/>
        <v>244795.11299276908</v>
      </c>
      <c r="D201" s="56">
        <f t="shared" si="147"/>
        <v>0.47500000000000031</v>
      </c>
      <c r="E201" s="9">
        <f t="shared" si="146"/>
        <v>4.8108155004863316E-5</v>
      </c>
    </row>
    <row r="202" spans="3:5">
      <c r="C202" s="54">
        <f t="shared" si="145"/>
        <v>244899.02935411924</v>
      </c>
      <c r="D202" s="56">
        <f t="shared" si="147"/>
        <v>0.48000000000000032</v>
      </c>
      <c r="E202" s="9">
        <f t="shared" si="146"/>
        <v>4.8121818010320717E-5</v>
      </c>
    </row>
    <row r="203" spans="3:5">
      <c r="C203" s="54">
        <f t="shared" si="145"/>
        <v>245002.92440081743</v>
      </c>
      <c r="D203" s="56">
        <f t="shared" si="147"/>
        <v>0.48500000000000032</v>
      </c>
      <c r="E203" s="9">
        <f t="shared" si="146"/>
        <v>4.8127898731795035E-5</v>
      </c>
    </row>
    <row r="204" spans="3:5">
      <c r="C204" s="54">
        <f t="shared" si="145"/>
        <v>245106.81449515314</v>
      </c>
      <c r="D204" s="56">
        <f t="shared" ref="D204:D235" si="148">D203+0.005</f>
        <v>0.49000000000000032</v>
      </c>
      <c r="E204" s="9">
        <f t="shared" si="146"/>
        <v>4.8126407767398446E-5</v>
      </c>
    </row>
    <row r="205" spans="3:5">
      <c r="C205" s="54">
        <f t="shared" si="145"/>
        <v>245210.71597315624</v>
      </c>
      <c r="D205" s="56">
        <f t="shared" si="148"/>
        <v>0.49500000000000033</v>
      </c>
      <c r="E205" s="9">
        <f t="shared" si="146"/>
        <v>4.8117354507453673E-5</v>
      </c>
    </row>
    <row r="206" spans="3:5">
      <c r="C206" s="54">
        <f t="shared" si="145"/>
        <v>245314.64516261133</v>
      </c>
      <c r="D206" s="56">
        <f t="shared" si="148"/>
        <v>0.50000000000000033</v>
      </c>
      <c r="E206" s="9">
        <f t="shared" si="146"/>
        <v>4.8100747141831574E-5</v>
      </c>
    </row>
    <row r="207" spans="3:5">
      <c r="C207" s="54">
        <f t="shared" si="145"/>
        <v>245418.61840102397</v>
      </c>
      <c r="D207" s="56">
        <f t="shared" si="148"/>
        <v>0.50500000000000034</v>
      </c>
      <c r="E207" s="9">
        <f t="shared" si="146"/>
        <v>4.8076592665952615E-5</v>
      </c>
    </row>
    <row r="208" spans="3:5">
      <c r="C208" s="54">
        <f t="shared" si="145"/>
        <v>245522.65205359244</v>
      </c>
      <c r="D208" s="56">
        <f t="shared" si="148"/>
        <v>0.51000000000000034</v>
      </c>
      <c r="E208" s="9">
        <f t="shared" si="146"/>
        <v>4.8044896885469392E-5</v>
      </c>
    </row>
    <row r="209" spans="3:5">
      <c r="C209" s="54">
        <f t="shared" si="145"/>
        <v>245626.76253123581</v>
      </c>
      <c r="D209" s="56">
        <f t="shared" si="148"/>
        <v>0.51500000000000035</v>
      </c>
      <c r="E209" s="9">
        <f t="shared" si="146"/>
        <v>4.8005664419636197E-5</v>
      </c>
    </row>
    <row r="210" spans="3:5">
      <c r="C210" s="54">
        <f t="shared" si="145"/>
        <v>245730.96630873063</v>
      </c>
      <c r="D210" s="56">
        <f t="shared" si="148"/>
        <v>0.52000000000000035</v>
      </c>
      <c r="E210" s="9">
        <f t="shared" si="146"/>
        <v>4.7958898703376018E-5</v>
      </c>
    </row>
    <row r="211" spans="3:5">
      <c r="C211" s="54">
        <f t="shared" si="145"/>
        <v>245835.27994300899</v>
      </c>
      <c r="D211" s="56">
        <f t="shared" si="148"/>
        <v>0.52500000000000036</v>
      </c>
      <c r="E211" s="9">
        <f t="shared" si="146"/>
        <v>4.7904601988043772E-5</v>
      </c>
    </row>
    <row r="212" spans="3:5">
      <c r="C212" s="54">
        <f t="shared" si="145"/>
        <v>245939.7200916663</v>
      </c>
      <c r="D212" s="56">
        <f t="shared" si="148"/>
        <v>0.53000000000000036</v>
      </c>
      <c r="E212" s="9">
        <f t="shared" si="146"/>
        <v>4.7842775340888491E-5</v>
      </c>
    </row>
    <row r="213" spans="3:5">
      <c r="C213" s="54">
        <f t="shared" si="145"/>
        <v>246044.30353173849</v>
      </c>
      <c r="D213" s="56">
        <f t="shared" si="148"/>
        <v>0.53500000000000036</v>
      </c>
      <c r="E213" s="9">
        <f t="shared" si="146"/>
        <v>4.7773418643207372E-5</v>
      </c>
    </row>
    <row r="214" spans="3:5">
      <c r="C214" s="54">
        <f t="shared" si="145"/>
        <v>246149.04717880202</v>
      </c>
      <c r="D214" s="56">
        <f t="shared" si="148"/>
        <v>0.54000000000000037</v>
      </c>
      <c r="E214" s="9">
        <f t="shared" si="146"/>
        <v>4.7696530587181537E-5</v>
      </c>
    </row>
    <row r="215" spans="3:5">
      <c r="C215" s="54">
        <f t="shared" si="145"/>
        <v>246253.96810645008</v>
      </c>
      <c r="D215" s="56">
        <f t="shared" si="148"/>
        <v>0.54500000000000037</v>
      </c>
      <c r="E215" s="9">
        <f t="shared" si="146"/>
        <v>4.7612108671386272E-5</v>
      </c>
    </row>
    <row r="216" spans="3:5">
      <c r="C216" s="54">
        <f t="shared" si="145"/>
        <v>246359.08356620939</v>
      </c>
      <c r="D216" s="56">
        <f t="shared" si="148"/>
        <v>0.55000000000000038</v>
      </c>
      <c r="E216" s="9">
        <f t="shared" si="146"/>
        <v>4.7520149194954492E-5</v>
      </c>
    </row>
    <row r="217" spans="3:5">
      <c r="C217" s="54">
        <f t="shared" si="145"/>
        <v>246464.41100795596</v>
      </c>
      <c r="D217" s="56">
        <f t="shared" si="148"/>
        <v>0.55500000000000038</v>
      </c>
      <c r="E217" s="9">
        <f t="shared" si="146"/>
        <v>4.7420647250375167E-5</v>
      </c>
    </row>
    <row r="218" spans="3:5">
      <c r="C218" s="54">
        <f t="shared" si="145"/>
        <v>246569.9681008957</v>
      </c>
      <c r="D218" s="56">
        <f t="shared" si="148"/>
        <v>0.56000000000000039</v>
      </c>
      <c r="E218" s="9">
        <f t="shared" si="146"/>
        <v>4.7313596714902478E-5</v>
      </c>
    </row>
    <row r="219" spans="3:5">
      <c r="C219" s="54">
        <f t="shared" si="145"/>
        <v>246675.77275517365</v>
      </c>
      <c r="D219" s="56">
        <f t="shared" si="148"/>
        <v>0.56500000000000039</v>
      </c>
      <c r="E219" s="9">
        <f t="shared" si="146"/>
        <v>4.7198990240546413E-5</v>
      </c>
    </row>
    <row r="220" spans="3:5">
      <c r="C220" s="54">
        <f t="shared" si="145"/>
        <v>246781.84314418837</v>
      </c>
      <c r="D220" s="56">
        <f t="shared" si="148"/>
        <v>0.5700000000000004</v>
      </c>
      <c r="E220" s="9">
        <f t="shared" si="146"/>
        <v>4.7076819242611861E-5</v>
      </c>
    </row>
    <row r="221" spans="3:5">
      <c r="C221" s="54">
        <f t="shared" si="145"/>
        <v>246888.19772768</v>
      </c>
      <c r="D221" s="56">
        <f t="shared" si="148"/>
        <v>0.5750000000000004</v>
      </c>
      <c r="E221" s="9">
        <f t="shared" si="146"/>
        <v>4.6947073886749586E-5</v>
      </c>
    </row>
    <row r="222" spans="3:5">
      <c r="C222" s="54">
        <f t="shared" si="145"/>
        <v>246994.85527567728</v>
      </c>
      <c r="D222" s="56">
        <f t="shared" si="148"/>
        <v>0.5800000000000004</v>
      </c>
      <c r="E222" s="9">
        <f t="shared" si="146"/>
        <v>4.6809743074474428E-5</v>
      </c>
    </row>
    <row r="223" spans="3:5">
      <c r="C223" s="54">
        <f t="shared" si="145"/>
        <v>247101.83489338361</v>
      </c>
      <c r="D223" s="56">
        <f t="shared" si="148"/>
        <v>0.58500000000000041</v>
      </c>
      <c r="E223" s="9">
        <f t="shared" si="146"/>
        <v>4.6664814427103691E-5</v>
      </c>
    </row>
    <row r="224" spans="3:5">
      <c r="C224" s="54">
        <f t="shared" si="145"/>
        <v>247209.156047094</v>
      </c>
      <c r="D224" s="56">
        <f t="shared" si="148"/>
        <v>0.59000000000000041</v>
      </c>
      <c r="E224" s="9">
        <f t="shared" si="146"/>
        <v>4.6512274268063106E-5</v>
      </c>
    </row>
    <row r="225" spans="3:5">
      <c r="C225" s="54">
        <f t="shared" si="145"/>
        <v>247316.83859123781</v>
      </c>
      <c r="D225" s="56">
        <f t="shared" si="148"/>
        <v>0.59500000000000042</v>
      </c>
      <c r="E225" s="9">
        <f t="shared" si="146"/>
        <v>4.6352107603504082E-5</v>
      </c>
    </row>
    <row r="226" spans="3:5">
      <c r="C226" s="54">
        <f t="shared" si="145"/>
        <v>247424.90279665327</v>
      </c>
      <c r="D226" s="56">
        <f t="shared" si="148"/>
        <v>0.60000000000000042</v>
      </c>
      <c r="E226" s="9">
        <f t="shared" si="146"/>
        <v>4.6184298101159267E-5</v>
      </c>
    </row>
    <row r="227" spans="3:5">
      <c r="C227" s="54">
        <f t="shared" si="145"/>
        <v>247533.36938020156</v>
      </c>
      <c r="D227" s="56">
        <f t="shared" si="148"/>
        <v>0.60500000000000043</v>
      </c>
      <c r="E227" s="9">
        <f t="shared" si="146"/>
        <v>4.6008828067373321E-5</v>
      </c>
    </row>
    <row r="228" spans="3:5">
      <c r="C228" s="54">
        <f t="shared" si="145"/>
        <v>247642.259535841</v>
      </c>
      <c r="D228" s="56">
        <f t="shared" si="148"/>
        <v>0.61000000000000043</v>
      </c>
      <c r="E228" s="9">
        <f t="shared" si="146"/>
        <v>4.5825678422226866E-5</v>
      </c>
    </row>
    <row r="229" spans="3:5">
      <c r="C229" s="54">
        <f t="shared" si="145"/>
        <v>247751.5949672898</v>
      </c>
      <c r="D229" s="56">
        <f t="shared" si="148"/>
        <v>0.61500000000000044</v>
      </c>
      <c r="E229" s="9">
        <f t="shared" si="146"/>
        <v>4.5634828672669042E-5</v>
      </c>
    </row>
    <row r="230" spans="3:5">
      <c r="C230" s="54">
        <f t="shared" si="145"/>
        <v>247861.39792242131</v>
      </c>
      <c r="D230" s="56">
        <f t="shared" si="148"/>
        <v>0.62000000000000044</v>
      </c>
      <c r="E230" s="9">
        <f t="shared" si="146"/>
        <v>4.5436256883556043E-5</v>
      </c>
    </row>
    <row r="231" spans="3:5">
      <c r="C231" s="54">
        <f t="shared" si="145"/>
        <v>247971.6912295332</v>
      </c>
      <c r="D231" s="56">
        <f t="shared" si="148"/>
        <v>0.62500000000000044</v>
      </c>
      <c r="E231" s="9">
        <f t="shared" si="146"/>
        <v>4.5229939646511042E-5</v>
      </c>
    </row>
    <row r="232" spans="3:5">
      <c r="C232" s="54">
        <f t="shared" ref="C232:C295" si="149">_xlfn.LOGNORM.INV(D232,$E$98,$E$100)</f>
        <v>248082.49833566605</v>
      </c>
      <c r="D232" s="56">
        <f t="shared" si="148"/>
        <v>0.63000000000000045</v>
      </c>
      <c r="E232" s="9">
        <f t="shared" ref="E232:E295" si="150">_xlfn.LOGNORM.DIST(C232,$E$98,$E$100,FALSE)</f>
        <v>4.5015852046473302E-5</v>
      </c>
    </row>
    <row r="233" spans="3:5">
      <c r="C233" s="54">
        <f t="shared" si="149"/>
        <v>248193.84334714332</v>
      </c>
      <c r="D233" s="56">
        <f t="shared" si="148"/>
        <v>0.63500000000000045</v>
      </c>
      <c r="E233" s="9">
        <f t="shared" si="150"/>
        <v>4.4793967625825612E-5</v>
      </c>
    </row>
    <row r="234" spans="3:5">
      <c r="C234" s="54">
        <f t="shared" si="149"/>
        <v>248305.75107252999</v>
      </c>
      <c r="D234" s="56">
        <f t="shared" si="148"/>
        <v>0.64000000000000046</v>
      </c>
      <c r="E234" s="9">
        <f t="shared" si="150"/>
        <v>4.4564258345961508E-5</v>
      </c>
    </row>
    <row r="235" spans="3:5">
      <c r="C235" s="54">
        <f t="shared" si="149"/>
        <v>248418.24706821877</v>
      </c>
      <c r="D235" s="56">
        <f t="shared" si="148"/>
        <v>0.64500000000000046</v>
      </c>
      <c r="E235" s="9">
        <f t="shared" si="150"/>
        <v>4.4326694546156674E-5</v>
      </c>
    </row>
    <row r="236" spans="3:5">
      <c r="C236" s="54">
        <f t="shared" si="149"/>
        <v>248531.35768688752</v>
      </c>
      <c r="D236" s="56">
        <f t="shared" ref="D236:D267" si="151">D235+0.005</f>
        <v>0.65000000000000047</v>
      </c>
      <c r="E236" s="9">
        <f t="shared" si="150"/>
        <v>4.408124489956188E-5</v>
      </c>
    </row>
    <row r="237" spans="3:5">
      <c r="C237" s="54">
        <f t="shared" si="149"/>
        <v>248645.11012906759</v>
      </c>
      <c r="D237" s="56">
        <f t="shared" si="151"/>
        <v>0.65500000000000047</v>
      </c>
      <c r="E237" s="9">
        <f t="shared" si="150"/>
        <v>4.3827876366176343E-5</v>
      </c>
    </row>
    <row r="238" spans="3:5">
      <c r="C238" s="54">
        <f t="shared" si="149"/>
        <v>248759.53249811815</v>
      </c>
      <c r="D238" s="56">
        <f t="shared" si="151"/>
        <v>0.66000000000000048</v>
      </c>
      <c r="E238" s="9">
        <f t="shared" si="150"/>
        <v>4.3566554142581793E-5</v>
      </c>
    </row>
    <row r="239" spans="3:5">
      <c r="C239" s="54">
        <f t="shared" si="149"/>
        <v>248874.65385890423</v>
      </c>
      <c r="D239" s="56">
        <f t="shared" si="151"/>
        <v>0.66500000000000048</v>
      </c>
      <c r="E239" s="9">
        <f t="shared" si="150"/>
        <v>4.3297241608252599E-5</v>
      </c>
    </row>
    <row r="240" spans="3:5">
      <c r="C240" s="54">
        <f t="shared" si="149"/>
        <v>248990.50430052227</v>
      </c>
      <c r="D240" s="56">
        <f t="shared" si="151"/>
        <v>0.67000000000000048</v>
      </c>
      <c r="E240" s="9">
        <f t="shared" si="150"/>
        <v>4.3019900268205879E-5</v>
      </c>
    </row>
    <row r="241" spans="3:5">
      <c r="C241" s="54">
        <f t="shared" si="149"/>
        <v>249107.11500344859</v>
      </c>
      <c r="D241" s="56">
        <f t="shared" si="151"/>
        <v>0.67500000000000049</v>
      </c>
      <c r="E241" s="9">
        <f t="shared" si="150"/>
        <v>4.27344896917446E-5</v>
      </c>
    </row>
    <row r="242" spans="3:5">
      <c r="C242" s="54">
        <f t="shared" si="149"/>
        <v>249224.51831151955</v>
      </c>
      <c r="D242" s="56">
        <f t="shared" si="151"/>
        <v>0.68000000000000049</v>
      </c>
      <c r="E242" s="9">
        <f t="shared" si="150"/>
        <v>4.2440967447033617E-5</v>
      </c>
    </row>
    <row r="243" spans="3:5">
      <c r="C243" s="54">
        <f t="shared" si="149"/>
        <v>249342.74780920937</v>
      </c>
      <c r="D243" s="56">
        <f t="shared" si="151"/>
        <v>0.6850000000000005</v>
      </c>
      <c r="E243" s="9">
        <f t="shared" si="150"/>
        <v>4.2139289031195419E-5</v>
      </c>
    </row>
    <row r="244" spans="3:5">
      <c r="C244" s="54">
        <f t="shared" si="149"/>
        <v>249461.83840470281</v>
      </c>
      <c r="D244" s="56">
        <f t="shared" si="151"/>
        <v>0.6900000000000005</v>
      </c>
      <c r="E244" s="9">
        <f t="shared" si="150"/>
        <v>4.1829407795627963E-5</v>
      </c>
    </row>
    <row r="245" spans="3:5">
      <c r="C245" s="54">
        <f t="shared" si="149"/>
        <v>249581.82641933986</v>
      </c>
      <c r="D245" s="56">
        <f t="shared" si="151"/>
        <v>0.69500000000000051</v>
      </c>
      <c r="E245" s="9">
        <f t="shared" si="150"/>
        <v>4.1511274866158618E-5</v>
      </c>
    </row>
    <row r="246" spans="3:5">
      <c r="C246" s="54">
        <f t="shared" si="149"/>
        <v>249702.7496840457</v>
      </c>
      <c r="D246" s="56">
        <f t="shared" si="151"/>
        <v>0.70000000000000051</v>
      </c>
      <c r="E246" s="9">
        <f t="shared" si="150"/>
        <v>4.1184839057680422E-5</v>
      </c>
    </row>
    <row r="247" spans="3:5">
      <c r="C247" s="54">
        <f t="shared" si="149"/>
        <v>249824.64764346243</v>
      </c>
      <c r="D247" s="56">
        <f t="shared" si="151"/>
        <v>0.70500000000000052</v>
      </c>
      <c r="E247" s="9">
        <f t="shared" si="150"/>
        <v>4.085004678280152E-5</v>
      </c>
    </row>
    <row r="248" spans="3:5">
      <c r="C248" s="54">
        <f t="shared" si="149"/>
        <v>249947.56146854913</v>
      </c>
      <c r="D248" s="56">
        <f t="shared" si="151"/>
        <v>0.71000000000000052</v>
      </c>
      <c r="E248" s="9">
        <f t="shared" si="150"/>
        <v>4.050684195407457E-5</v>
      </c>
    </row>
    <row r="249" spans="3:5">
      <c r="C249" s="54">
        <f t="shared" si="149"/>
        <v>250071.53417853374</v>
      </c>
      <c r="D249" s="56">
        <f t="shared" si="151"/>
        <v>0.71500000000000052</v>
      </c>
      <c r="E249" s="9">
        <f t="shared" si="150"/>
        <v>4.015516587926691E-5</v>
      </c>
    </row>
    <row r="250" spans="3:5">
      <c r="C250" s="54">
        <f t="shared" si="149"/>
        <v>250196.61077320069</v>
      </c>
      <c r="D250" s="56">
        <f t="shared" si="151"/>
        <v>0.72000000000000053</v>
      </c>
      <c r="E250" s="9">
        <f t="shared" si="150"/>
        <v>3.9794957149088414E-5</v>
      </c>
    </row>
    <row r="251" spans="3:5">
      <c r="C251" s="54">
        <f t="shared" si="149"/>
        <v>250322.83837660751</v>
      </c>
      <c r="D251" s="56">
        <f t="shared" si="151"/>
        <v>0.72500000000000053</v>
      </c>
      <c r="E251" s="9">
        <f t="shared" si="150"/>
        <v>3.9426151516770076E-5</v>
      </c>
    </row>
    <row r="252" spans="3:5">
      <c r="C252" s="54">
        <f t="shared" si="149"/>
        <v>250450.26639347989</v>
      </c>
      <c r="D252" s="56">
        <f t="shared" si="151"/>
        <v>0.73000000000000054</v>
      </c>
      <c r="E252" s="9">
        <f t="shared" si="150"/>
        <v>3.9048681768767387E-5</v>
      </c>
    </row>
    <row r="253" spans="3:5">
      <c r="C253" s="54">
        <f t="shared" si="149"/>
        <v>250578.94667968492</v>
      </c>
      <c r="D253" s="56">
        <f t="shared" si="151"/>
        <v>0.73500000000000054</v>
      </c>
      <c r="E253" s="9">
        <f t="shared" si="150"/>
        <v>3.8662477585813633E-5</v>
      </c>
    </row>
    <row r="254" spans="3:5">
      <c r="C254" s="54">
        <f t="shared" si="149"/>
        <v>250708.93372836179</v>
      </c>
      <c r="D254" s="56">
        <f t="shared" si="151"/>
        <v>0.74000000000000055</v>
      </c>
      <c r="E254" s="9">
        <f t="shared" si="150"/>
        <v>3.826746539347089E-5</v>
      </c>
    </row>
    <row r="255" spans="3:5">
      <c r="C255" s="54">
        <f t="shared" si="149"/>
        <v>250840.28487351237</v>
      </c>
      <c r="D255" s="56">
        <f t="shared" si="151"/>
        <v>0.74500000000000055</v>
      </c>
      <c r="E255" s="9">
        <f t="shared" si="150"/>
        <v>3.7863568201196034E-5</v>
      </c>
    </row>
    <row r="256" spans="3:5">
      <c r="C256" s="54">
        <f t="shared" si="149"/>
        <v>250973.06051308831</v>
      </c>
      <c r="D256" s="56">
        <f t="shared" si="151"/>
        <v>0.75000000000000056</v>
      </c>
      <c r="E256" s="9">
        <f t="shared" si="150"/>
        <v>3.7450705428855828E-5</v>
      </c>
    </row>
    <row r="257" spans="3:5">
      <c r="C257" s="54">
        <f t="shared" si="149"/>
        <v>251107.3243538948</v>
      </c>
      <c r="D257" s="56">
        <f t="shared" si="151"/>
        <v>0.75500000000000056</v>
      </c>
      <c r="E257" s="9">
        <f t="shared" si="150"/>
        <v>3.7028792719499992E-5</v>
      </c>
    </row>
    <row r="258" spans="3:5">
      <c r="C258" s="54">
        <f t="shared" si="149"/>
        <v>251243.14368097309</v>
      </c>
      <c r="D258" s="56">
        <f t="shared" si="151"/>
        <v>0.76000000000000056</v>
      </c>
      <c r="E258" s="9">
        <f t="shared" si="150"/>
        <v>3.6597741737021673E-5</v>
      </c>
    </row>
    <row r="259" spans="3:5">
      <c r="C259" s="54">
        <f t="shared" si="149"/>
        <v>251380.58965448782</v>
      </c>
      <c r="D259" s="56">
        <f t="shared" si="151"/>
        <v>0.76500000000000057</v>
      </c>
      <c r="E259" s="9">
        <f t="shared" si="150"/>
        <v>3.6157459947228178E-5</v>
      </c>
    </row>
    <row r="260" spans="3:5">
      <c r="C260" s="54">
        <f t="shared" si="149"/>
        <v>251519.73763761687</v>
      </c>
      <c r="D260" s="56">
        <f t="shared" si="151"/>
        <v>0.77000000000000057</v>
      </c>
      <c r="E260" s="9">
        <f t="shared" si="150"/>
        <v>3.5707850380588723E-5</v>
      </c>
    </row>
    <row r="261" spans="3:5">
      <c r="C261" s="54">
        <f t="shared" si="149"/>
        <v>251660.66755944715</v>
      </c>
      <c r="D261" s="56">
        <f t="shared" si="151"/>
        <v>0.77500000000000058</v>
      </c>
      <c r="E261" s="9">
        <f t="shared" si="150"/>
        <v>3.5248811374782708E-5</v>
      </c>
    </row>
    <row r="262" spans="3:5">
      <c r="C262" s="54">
        <f t="shared" si="149"/>
        <v>251803.4643175198</v>
      </c>
      <c r="D262" s="56">
        <f t="shared" si="151"/>
        <v>0.78000000000000058</v>
      </c>
      <c r="E262" s="9">
        <f t="shared" si="150"/>
        <v>3.4780236294852868E-5</v>
      </c>
    </row>
    <row r="263" spans="3:5">
      <c r="C263" s="54">
        <f t="shared" si="149"/>
        <v>251948.2182253887</v>
      </c>
      <c r="D263" s="56">
        <f t="shared" si="151"/>
        <v>0.78500000000000059</v>
      </c>
      <c r="E263" s="9">
        <f t="shared" si="150"/>
        <v>3.4302013228528351E-5</v>
      </c>
    </row>
    <row r="264" spans="3:5">
      <c r="C264" s="54">
        <f t="shared" si="149"/>
        <v>252095.02551142752</v>
      </c>
      <c r="D264" s="56">
        <f t="shared" si="151"/>
        <v>0.79000000000000059</v>
      </c>
      <c r="E264" s="9">
        <f t="shared" si="150"/>
        <v>3.3814024653940712E-5</v>
      </c>
    </row>
    <row r="265" spans="3:5">
      <c r="C265" s="54">
        <f t="shared" si="149"/>
        <v>252243.98887616734</v>
      </c>
      <c r="D265" s="56">
        <f t="shared" si="151"/>
        <v>0.7950000000000006</v>
      </c>
      <c r="E265" s="9">
        <f t="shared" si="150"/>
        <v>3.3316147076528342E-5</v>
      </c>
    </row>
    <row r="266" spans="3:5">
      <c r="C266" s="54">
        <f t="shared" si="149"/>
        <v>252395.21811666261</v>
      </c>
      <c r="D266" s="56">
        <f t="shared" si="151"/>
        <v>0.8000000000000006</v>
      </c>
      <c r="E266" s="9">
        <f t="shared" si="150"/>
        <v>3.2808250631539355E-5</v>
      </c>
    </row>
    <row r="267" spans="3:5">
      <c r="C267" s="54">
        <f t="shared" si="149"/>
        <v>252548.83082788702</v>
      </c>
      <c r="D267" s="56">
        <f t="shared" si="151"/>
        <v>0.8050000000000006</v>
      </c>
      <c r="E267" s="9">
        <f t="shared" si="150"/>
        <v>3.2290198647946431E-5</v>
      </c>
    </row>
    <row r="268" spans="3:5">
      <c r="C268" s="54">
        <f t="shared" si="149"/>
        <v>252704.95319293128</v>
      </c>
      <c r="D268" s="56">
        <f t="shared" ref="D268:D299" si="152">D267+0.005</f>
        <v>0.81000000000000061</v>
      </c>
      <c r="E268" s="9">
        <f t="shared" si="150"/>
        <v>3.1761847169018133E-5</v>
      </c>
    </row>
    <row r="269" spans="3:5">
      <c r="C269" s="54">
        <f t="shared" si="149"/>
        <v>252863.72087595673</v>
      </c>
      <c r="D269" s="56">
        <f t="shared" si="152"/>
        <v>0.81500000000000061</v>
      </c>
      <c r="E269" s="9">
        <f t="shared" si="150"/>
        <v>3.1223044423995104E-5</v>
      </c>
    </row>
    <row r="270" spans="3:5">
      <c r="C270" s="54">
        <f t="shared" si="149"/>
        <v>253025.28003446912</v>
      </c>
      <c r="D270" s="56">
        <f t="shared" si="152"/>
        <v>0.82000000000000062</v>
      </c>
      <c r="E270" s="9">
        <f t="shared" si="150"/>
        <v>3.0673630244512973E-5</v>
      </c>
    </row>
    <row r="271" spans="3:5">
      <c r="C271" s="54">
        <f t="shared" si="149"/>
        <v>253189.78847071005</v>
      </c>
      <c r="D271" s="56">
        <f t="shared" si="152"/>
        <v>0.82500000000000062</v>
      </c>
      <c r="E271" s="9">
        <f t="shared" si="150"/>
        <v>3.0113435418323123E-5</v>
      </c>
    </row>
    <row r="272" spans="3:5">
      <c r="C272" s="54">
        <f t="shared" si="149"/>
        <v>253357.41694590834</v>
      </c>
      <c r="D272" s="56">
        <f t="shared" si="152"/>
        <v>0.83000000000000063</v>
      </c>
      <c r="E272" s="9">
        <f t="shared" si="150"/>
        <v>2.954228097163693E-5</v>
      </c>
    </row>
    <row r="273" spans="3:5">
      <c r="C273" s="54">
        <f t="shared" si="149"/>
        <v>253528.35068601582</v>
      </c>
      <c r="D273" s="56">
        <f t="shared" si="152"/>
        <v>0.83500000000000063</v>
      </c>
      <c r="E273" s="9">
        <f t="shared" si="150"/>
        <v>2.8959977369934451E-5</v>
      </c>
    </row>
    <row r="274" spans="3:5">
      <c r="C274" s="54">
        <f t="shared" si="149"/>
        <v>253702.79111362286</v>
      </c>
      <c r="D274" s="56">
        <f t="shared" si="152"/>
        <v>0.84000000000000064</v>
      </c>
      <c r="E274" s="9">
        <f t="shared" si="150"/>
        <v>2.8366323625262587E-5</v>
      </c>
    </row>
    <row r="275" spans="3:5">
      <c r="C275" s="54">
        <f t="shared" si="149"/>
        <v>253880.95784833722</v>
      </c>
      <c r="D275" s="56">
        <f t="shared" si="152"/>
        <v>0.84500000000000064</v>
      </c>
      <c r="E275" s="9">
        <f t="shared" si="150"/>
        <v>2.7761106295864079E-5</v>
      </c>
    </row>
    <row r="276" spans="3:5">
      <c r="C276" s="54">
        <f t="shared" si="149"/>
        <v>254063.09102746379</v>
      </c>
      <c r="D276" s="56">
        <f t="shared" si="152"/>
        <v>0.85000000000000064</v>
      </c>
      <c r="E276" s="9">
        <f t="shared" si="150"/>
        <v>2.7144098361298754E-5</v>
      </c>
    </row>
    <row r="277" spans="3:5">
      <c r="C277" s="54">
        <f t="shared" si="149"/>
        <v>254249.45401093044</v>
      </c>
      <c r="D277" s="56">
        <f t="shared" si="152"/>
        <v>0.85500000000000065</v>
      </c>
      <c r="E277" s="9">
        <f t="shared" si="150"/>
        <v>2.6515057952943496E-5</v>
      </c>
    </row>
    <row r="278" spans="3:5">
      <c r="C278" s="54">
        <f t="shared" si="149"/>
        <v>254440.33654987504</v>
      </c>
      <c r="D278" s="56">
        <f t="shared" si="152"/>
        <v>0.86000000000000065</v>
      </c>
      <c r="E278" s="9">
        <f t="shared" si="150"/>
        <v>2.5873726915670396E-5</v>
      </c>
    </row>
    <row r="279" spans="3:5">
      <c r="C279" s="54">
        <f t="shared" si="149"/>
        <v>254636.05851819992</v>
      </c>
      <c r="D279" s="56">
        <f t="shared" si="152"/>
        <v>0.86500000000000066</v>
      </c>
      <c r="E279" s="9">
        <f t="shared" si="150"/>
        <v>2.5219829171487419E-5</v>
      </c>
    </row>
    <row r="280" spans="3:5">
      <c r="C280" s="54">
        <f t="shared" si="149"/>
        <v>254836.9743322471</v>
      </c>
      <c r="D280" s="56">
        <f t="shared" si="152"/>
        <v>0.87000000000000066</v>
      </c>
      <c r="E280" s="9">
        <f t="shared" si="150"/>
        <v>2.4553068849536505E-5</v>
      </c>
    </row>
    <row r="281" spans="3:5">
      <c r="C281" s="54">
        <f t="shared" si="149"/>
        <v>255043.47821757643</v>
      </c>
      <c r="D281" s="56">
        <f t="shared" si="152"/>
        <v>0.87500000000000067</v>
      </c>
      <c r="E281" s="9">
        <f t="shared" si="150"/>
        <v>2.3873128138840155E-5</v>
      </c>
    </row>
    <row r="282" spans="3:5">
      <c r="C282" s="54">
        <f t="shared" si="149"/>
        <v>255256.01052655542</v>
      </c>
      <c r="D282" s="56">
        <f t="shared" si="152"/>
        <v>0.88000000000000067</v>
      </c>
      <c r="E282" s="9">
        <f t="shared" si="150"/>
        <v>2.3179664810008032E-5</v>
      </c>
    </row>
    <row r="283" spans="3:5">
      <c r="C283" s="54">
        <f t="shared" si="149"/>
        <v>255475.06537026176</v>
      </c>
      <c r="D283" s="56">
        <f t="shared" si="152"/>
        <v>0.88500000000000068</v>
      </c>
      <c r="E283" s="9">
        <f t="shared" si="150"/>
        <v>2.2472309338908897E-5</v>
      </c>
    </row>
    <row r="284" spans="3:5">
      <c r="C284" s="54">
        <f t="shared" si="149"/>
        <v>255701.19990894277</v>
      </c>
      <c r="D284" s="56">
        <f t="shared" si="152"/>
        <v>0.89000000000000068</v>
      </c>
      <c r="E284" s="9">
        <f t="shared" si="150"/>
        <v>2.1750661548296812E-5</v>
      </c>
    </row>
    <row r="285" spans="3:5">
      <c r="C285" s="54">
        <f t="shared" si="149"/>
        <v>255935.04575569765</v>
      </c>
      <c r="D285" s="56">
        <f t="shared" si="152"/>
        <v>0.89500000000000068</v>
      </c>
      <c r="E285" s="9">
        <f t="shared" si="150"/>
        <v>2.1014286661006705E-5</v>
      </c>
    </row>
    <row r="286" spans="3:5">
      <c r="C286" s="54">
        <f t="shared" si="149"/>
        <v>256177.32310105045</v>
      </c>
      <c r="D286" s="56">
        <f t="shared" si="152"/>
        <v>0.90000000000000069</v>
      </c>
      <c r="E286" s="9">
        <f t="shared" si="150"/>
        <v>2.0262710628565873E-5</v>
      </c>
    </row>
    <row r="287" spans="3:5">
      <c r="C287" s="54">
        <f t="shared" si="149"/>
        <v>256428.85838103134</v>
      </c>
      <c r="D287" s="56">
        <f t="shared" si="152"/>
        <v>0.90500000000000069</v>
      </c>
      <c r="E287" s="9">
        <f t="shared" si="150"/>
        <v>1.9495414559233667E-5</v>
      </c>
    </row>
    <row r="288" spans="3:5">
      <c r="C288" s="54">
        <f t="shared" si="149"/>
        <v>256690.60661819548</v>
      </c>
      <c r="D288" s="56">
        <f t="shared" si="152"/>
        <v>0.9100000000000007</v>
      </c>
      <c r="E288" s="9">
        <f t="shared" si="150"/>
        <v>1.8711828015103322E-5</v>
      </c>
    </row>
    <row r="289" spans="3:5">
      <c r="C289" s="54">
        <f t="shared" si="149"/>
        <v>256963.68001038348</v>
      </c>
      <c r="D289" s="56">
        <f t="shared" si="152"/>
        <v>0.9150000000000007</v>
      </c>
      <c r="E289" s="9">
        <f t="shared" si="150"/>
        <v>1.7911320872812528E-5</v>
      </c>
    </row>
    <row r="290" spans="3:5">
      <c r="C290" s="54">
        <f t="shared" si="149"/>
        <v>257249.38500078206</v>
      </c>
      <c r="D290" s="56">
        <f t="shared" si="152"/>
        <v>0.92000000000000071</v>
      </c>
      <c r="E290" s="9">
        <f t="shared" si="150"/>
        <v>1.7093193336979056E-5</v>
      </c>
    </row>
    <row r="291" spans="3:5">
      <c r="C291" s="54">
        <f t="shared" si="149"/>
        <v>257549.27105768849</v>
      </c>
      <c r="D291" s="56">
        <f t="shared" si="152"/>
        <v>0.92500000000000071</v>
      </c>
      <c r="E291" s="9">
        <f t="shared" si="150"/>
        <v>1.6256663544695869E-5</v>
      </c>
    </row>
    <row r="292" spans="3:5">
      <c r="C292" s="54">
        <f t="shared" si="149"/>
        <v>257865.19592990691</v>
      </c>
      <c r="D292" s="56">
        <f t="shared" si="152"/>
        <v>0.93000000000000071</v>
      </c>
      <c r="E292" s="9">
        <f t="shared" si="150"/>
        <v>1.5400851979470417E-5</v>
      </c>
    </row>
    <row r="293" spans="3:5">
      <c r="C293" s="54">
        <f t="shared" si="149"/>
        <v>258199.41458236999</v>
      </c>
      <c r="D293" s="56">
        <f t="shared" si="152"/>
        <v>0.93500000000000072</v>
      </c>
      <c r="E293" s="9">
        <f t="shared" si="150"/>
        <v>1.452476158489686E-5</v>
      </c>
    </row>
    <row r="294" spans="3:5">
      <c r="C294" s="54">
        <f t="shared" si="149"/>
        <v>258554.7029994945</v>
      </c>
      <c r="D294" s="56">
        <f t="shared" si="152"/>
        <v>0.94000000000000072</v>
      </c>
      <c r="E294" s="9">
        <f t="shared" si="150"/>
        <v>1.3627251966378382E-5</v>
      </c>
    </row>
    <row r="295" spans="3:5">
      <c r="C295" s="54">
        <f t="shared" si="149"/>
        <v>258934.53476950759</v>
      </c>
      <c r="D295" s="56">
        <f t="shared" si="152"/>
        <v>0.94500000000000073</v>
      </c>
      <c r="E295" s="9">
        <f t="shared" si="150"/>
        <v>1.2707005278779318E-5</v>
      </c>
    </row>
    <row r="296" spans="3:5">
      <c r="C296" s="54">
        <f t="shared" ref="C296:C306" si="153">_xlfn.LOGNORM.INV(D296,$E$98,$E$100)</f>
        <v>259343.340164553</v>
      </c>
      <c r="D296" s="56">
        <f t="shared" si="152"/>
        <v>0.95000000000000073</v>
      </c>
      <c r="E296" s="9">
        <f t="shared" ref="E296:E306" si="154">_xlfn.LOGNORM.DIST(C296,$E$98,$E$100,FALSE)</f>
        <v>1.1762480111485867E-5</v>
      </c>
    </row>
    <row r="297" spans="3:5">
      <c r="C297" s="54">
        <f t="shared" si="153"/>
        <v>259786.89908494984</v>
      </c>
      <c r="D297" s="56">
        <f t="shared" si="152"/>
        <v>0.95500000000000074</v>
      </c>
      <c r="E297" s="9">
        <f t="shared" si="154"/>
        <v>1.0791847506792974E-5</v>
      </c>
    </row>
    <row r="298" spans="3:5">
      <c r="C298" s="54">
        <f t="shared" si="153"/>
        <v>260272.96111420853</v>
      </c>
      <c r="D298" s="56">
        <f t="shared" si="152"/>
        <v>0.96000000000000074</v>
      </c>
      <c r="E298" s="9">
        <f t="shared" si="154"/>
        <v>9.7928993981210584E-6</v>
      </c>
    </row>
    <row r="299" spans="3:5">
      <c r="C299" s="54">
        <f t="shared" si="153"/>
        <v>260812.27220474996</v>
      </c>
      <c r="D299" s="56">
        <f t="shared" si="152"/>
        <v>0.96500000000000075</v>
      </c>
      <c r="E299" s="9">
        <f t="shared" si="154"/>
        <v>8.7629125652989875E-6</v>
      </c>
    </row>
    <row r="300" spans="3:5">
      <c r="C300" s="54">
        <f t="shared" si="153"/>
        <v>261420.37954000357</v>
      </c>
      <c r="D300" s="56">
        <f t="shared" ref="D300:D305" si="155">D299+0.005</f>
        <v>0.97000000000000075</v>
      </c>
      <c r="E300" s="9">
        <f t="shared" si="154"/>
        <v>7.6984368611666652E-6</v>
      </c>
    </row>
    <row r="301" spans="3:5">
      <c r="C301" s="54">
        <f t="shared" si="153"/>
        <v>262121.05721885859</v>
      </c>
      <c r="D301" s="56">
        <f t="shared" si="155"/>
        <v>0.97500000000000075</v>
      </c>
      <c r="E301" s="9">
        <f t="shared" si="154"/>
        <v>6.5949453845055191E-6</v>
      </c>
    </row>
    <row r="302" spans="3:5">
      <c r="C302" s="54">
        <f t="shared" si="153"/>
        <v>262953.50774015236</v>
      </c>
      <c r="D302" s="56">
        <f t="shared" si="155"/>
        <v>0.98000000000000076</v>
      </c>
      <c r="E302" s="9">
        <f t="shared" si="154"/>
        <v>5.4462093184505188E-6</v>
      </c>
    </row>
    <row r="303" spans="3:5">
      <c r="C303" s="54">
        <f t="shared" si="153"/>
        <v>263989.84874163434</v>
      </c>
      <c r="D303" s="56">
        <f t="shared" si="155"/>
        <v>0.98500000000000076</v>
      </c>
      <c r="E303" s="9">
        <f t="shared" si="154"/>
        <v>4.24305101093449E-6</v>
      </c>
    </row>
    <row r="304" spans="3:5">
      <c r="C304" s="54">
        <f t="shared" si="153"/>
        <v>265388.18151697685</v>
      </c>
      <c r="D304" s="56">
        <f t="shared" si="155"/>
        <v>0.99000000000000077</v>
      </c>
      <c r="E304" s="9">
        <f t="shared" si="154"/>
        <v>2.9704057422461349E-6</v>
      </c>
    </row>
    <row r="305" spans="3:5">
      <c r="C305" s="54">
        <f t="shared" si="153"/>
        <v>267636.13563737751</v>
      </c>
      <c r="D305" s="56">
        <f t="shared" si="155"/>
        <v>0.99500000000000077</v>
      </c>
      <c r="E305" s="9">
        <f t="shared" si="154"/>
        <v>1.5980157557651671E-6</v>
      </c>
    </row>
    <row r="306" spans="3:5">
      <c r="C306" s="54">
        <f t="shared" si="153"/>
        <v>272331.45365860168</v>
      </c>
      <c r="D306" s="56">
        <v>0.999</v>
      </c>
      <c r="E306" s="9">
        <f t="shared" si="154"/>
        <v>3.6569764466669373E-7</v>
      </c>
    </row>
  </sheetData>
  <mergeCells count="1">
    <mergeCell ref="A93:B93"/>
  </mergeCells>
  <conditionalFormatting sqref="C5:N16">
    <cfRule type="expression" dxfId="6" priority="4">
      <formula>C5&lt;&gt;""</formula>
    </cfRule>
  </conditionalFormatting>
  <conditionalFormatting sqref="C24:N35">
    <cfRule type="expression" dxfId="5" priority="3">
      <formula>C24&lt;&gt;""</formula>
    </cfRule>
  </conditionalFormatting>
  <conditionalFormatting sqref="C60:N71">
    <cfRule type="expression" dxfId="4" priority="1">
      <formula>C60&lt;&gt;""</formula>
    </cfRule>
  </conditionalFormatting>
  <conditionalFormatting sqref="N36">
    <cfRule type="expression" dxfId="3" priority="2">
      <formula>N36&lt;&gt;""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E7750-2792-4F51-8B9B-E04A57EF1FEC}">
  <sheetPr>
    <tabColor theme="5" tint="0.79998168889431442"/>
  </sheetPr>
  <dimension ref="A2:AE298"/>
  <sheetViews>
    <sheetView tabSelected="1" topLeftCell="A54" zoomScale="55" zoomScaleNormal="100" workbookViewId="0">
      <selection activeCell="Q65" sqref="Q65"/>
    </sheetView>
  </sheetViews>
  <sheetFormatPr defaultRowHeight="13.15"/>
  <cols>
    <col min="1" max="1" width="7.83203125" style="58" customWidth="1"/>
    <col min="2" max="2" width="6.5" style="58" customWidth="1"/>
    <col min="3" max="3" width="14.1640625" style="58" bestFit="1" customWidth="1"/>
    <col min="4" max="4" width="8.75" style="58" bestFit="1" customWidth="1"/>
    <col min="5" max="5" width="20.2890625" style="58" bestFit="1" customWidth="1"/>
    <col min="6" max="14" width="9.75" style="58" bestFit="1" customWidth="1"/>
    <col min="15" max="15" width="7.125" style="58" customWidth="1"/>
    <col min="16" max="16" width="8.625" style="58" bestFit="1" customWidth="1"/>
    <col min="17" max="21" width="8.6640625" style="58"/>
    <col min="22" max="22" width="7.7890625" style="58" bestFit="1" customWidth="1"/>
    <col min="23" max="23" width="11.25" style="58" bestFit="1" customWidth="1"/>
    <col min="24" max="24" width="7.625" style="58" bestFit="1" customWidth="1"/>
    <col min="25" max="25" width="10.25" style="58" bestFit="1" customWidth="1"/>
    <col min="26" max="26" width="8.6640625" style="58"/>
    <col min="27" max="27" width="10.25" style="58" bestFit="1" customWidth="1"/>
    <col min="28" max="28" width="8.6640625" style="58"/>
    <col min="29" max="29" width="12.25" style="58" bestFit="1" customWidth="1"/>
    <col min="30" max="30" width="8.75" style="58" bestFit="1" customWidth="1"/>
    <col min="31" max="31" width="7.625" style="58" customWidth="1"/>
    <col min="32" max="16384" width="8.6640625" style="58"/>
  </cols>
  <sheetData>
    <row r="2" spans="2:18">
      <c r="B2" s="57"/>
      <c r="C2" s="57"/>
      <c r="D2" s="57" t="s">
        <v>14</v>
      </c>
      <c r="E2" s="5" t="s">
        <v>45</v>
      </c>
      <c r="F2" s="57"/>
      <c r="G2" s="57"/>
      <c r="H2" s="57"/>
      <c r="I2" s="57"/>
      <c r="J2" s="57"/>
      <c r="K2" s="57"/>
      <c r="L2" s="57"/>
      <c r="M2" s="57"/>
      <c r="N2" s="57"/>
      <c r="R2" s="57"/>
    </row>
    <row r="3" spans="2:18">
      <c r="B3" s="57"/>
      <c r="C3" s="59" t="s">
        <v>12</v>
      </c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</row>
    <row r="4" spans="2:18">
      <c r="B4" s="60" t="s">
        <v>11</v>
      </c>
      <c r="C4" s="4">
        <v>0</v>
      </c>
      <c r="D4" s="4">
        <v>1</v>
      </c>
      <c r="E4" s="4">
        <v>2</v>
      </c>
      <c r="F4" s="4">
        <v>3</v>
      </c>
      <c r="G4" s="4">
        <v>4</v>
      </c>
      <c r="H4" s="4">
        <v>5</v>
      </c>
      <c r="I4" s="4">
        <v>6</v>
      </c>
      <c r="J4" s="4">
        <v>7</v>
      </c>
      <c r="K4" s="4">
        <v>8</v>
      </c>
      <c r="L4" s="4">
        <v>9</v>
      </c>
      <c r="M4" s="4">
        <v>10</v>
      </c>
      <c r="N4" s="4">
        <v>11</v>
      </c>
    </row>
    <row r="5" spans="2:18">
      <c r="B5" s="1">
        <v>2009</v>
      </c>
      <c r="C5" s="61">
        <f>Mack_Metodo1!C5</f>
        <v>28446.238239999999</v>
      </c>
      <c r="D5" s="61">
        <f>Mack_Metodo1!D5</f>
        <v>57697.431620000003</v>
      </c>
      <c r="E5" s="61">
        <f>Mack_Metodo1!E5</f>
        <v>70161.415410000001</v>
      </c>
      <c r="F5" s="61">
        <f>Mack_Metodo1!F5</f>
        <v>75305.500698999997</v>
      </c>
      <c r="G5" s="61">
        <f>Mack_Metodo1!G5</f>
        <v>78032.448521999991</v>
      </c>
      <c r="H5" s="61">
        <f>Mack_Metodo1!H5</f>
        <v>80391.810983999996</v>
      </c>
      <c r="I5" s="61">
        <f>Mack_Metodo1!I5</f>
        <v>81725.667088999995</v>
      </c>
      <c r="J5" s="61">
        <f>Mack_Metodo1!J5</f>
        <v>82964.097062999994</v>
      </c>
      <c r="K5" s="61">
        <f>Mack_Metodo1!K5</f>
        <v>83905.537538299992</v>
      </c>
      <c r="L5" s="61">
        <f>Mack_Metodo1!L5</f>
        <v>84765.601429799994</v>
      </c>
      <c r="M5" s="61">
        <f>Mack_Metodo1!M5</f>
        <v>85047.471108499987</v>
      </c>
      <c r="N5" s="61">
        <f>Mack_Metodo1!N5</f>
        <v>86842.7012923</v>
      </c>
    </row>
    <row r="6" spans="2:18">
      <c r="B6" s="1">
        <v>2010</v>
      </c>
      <c r="C6" s="61">
        <f>Mack_Metodo1!C6</f>
        <v>31963.048289999999</v>
      </c>
      <c r="D6" s="61">
        <f>Mack_Metodo1!D6</f>
        <v>68069.343499999988</v>
      </c>
      <c r="E6" s="61">
        <f>Mack_Metodo1!E6</f>
        <v>81510.676609999995</v>
      </c>
      <c r="F6" s="61">
        <f>Mack_Metodo1!F6</f>
        <v>87378.911242000002</v>
      </c>
      <c r="G6" s="61">
        <f>Mack_Metodo1!G6</f>
        <v>90260.883564999996</v>
      </c>
      <c r="H6" s="61">
        <f>Mack_Metodo1!H6</f>
        <v>92682.871461000002</v>
      </c>
      <c r="I6" s="61">
        <f>Mack_Metodo1!I6</f>
        <v>93600.875500099995</v>
      </c>
      <c r="J6" s="61">
        <f>Mack_Metodo1!J6</f>
        <v>94676.853840099997</v>
      </c>
      <c r="K6" s="61">
        <f>Mack_Metodo1!K6</f>
        <v>95410.594865599996</v>
      </c>
      <c r="L6" s="61">
        <f>Mack_Metodo1!L6</f>
        <v>95868.750931999995</v>
      </c>
      <c r="M6" s="61">
        <f>Mack_Metodo1!M6</f>
        <v>96325.02158249999</v>
      </c>
      <c r="N6" s="61" t="s">
        <v>14</v>
      </c>
    </row>
    <row r="7" spans="2:18">
      <c r="B7" s="1">
        <v>2011</v>
      </c>
      <c r="C7" s="61">
        <f>Mack_Metodo1!C7</f>
        <v>37774.740230000003</v>
      </c>
      <c r="D7" s="61">
        <f>Mack_Metodo1!D7</f>
        <v>77900.131010000012</v>
      </c>
      <c r="E7" s="61">
        <f>Mack_Metodo1!E7</f>
        <v>90851.307410000009</v>
      </c>
      <c r="F7" s="61">
        <f>Mack_Metodo1!F7</f>
        <v>96885.06287400001</v>
      </c>
      <c r="G7" s="61">
        <f>Mack_Metodo1!G7</f>
        <v>99894.718730000008</v>
      </c>
      <c r="H7" s="61">
        <f>Mack_Metodo1!H7</f>
        <v>101159.11499700001</v>
      </c>
      <c r="I7" s="61">
        <f>Mack_Metodo1!I7</f>
        <v>102409.06751400001</v>
      </c>
      <c r="J7" s="61">
        <f>Mack_Metodo1!J7</f>
        <v>103543.77365700001</v>
      </c>
      <c r="K7" s="61">
        <f>Mack_Metodo1!K7</f>
        <v>104448.14482240002</v>
      </c>
      <c r="L7" s="61">
        <f>Mack_Metodo1!L7</f>
        <v>105007.48487610002</v>
      </c>
      <c r="M7" s="61" t="s">
        <v>14</v>
      </c>
      <c r="N7" s="61" t="s">
        <v>14</v>
      </c>
    </row>
    <row r="8" spans="2:18">
      <c r="B8" s="1">
        <v>2012</v>
      </c>
      <c r="C8" s="61">
        <f>Mack_Metodo1!C8</f>
        <v>40417.57213</v>
      </c>
      <c r="D8" s="61">
        <f>Mack_Metodo1!D8</f>
        <v>84916.51436999999</v>
      </c>
      <c r="E8" s="61">
        <f>Mack_Metodo1!E8</f>
        <v>100286.93799999999</v>
      </c>
      <c r="F8" s="61">
        <f>Mack_Metodo1!F8</f>
        <v>105880.79154599999</v>
      </c>
      <c r="G8" s="61">
        <f>Mack_Metodo1!G8</f>
        <v>108496.307886</v>
      </c>
      <c r="H8" s="61">
        <f>Mack_Metodo1!H8</f>
        <v>110480.61967799999</v>
      </c>
      <c r="I8" s="61">
        <f>Mack_Metodo1!I8</f>
        <v>112617.42437699999</v>
      </c>
      <c r="J8" s="61">
        <f>Mack_Metodo1!J8</f>
        <v>113801.77980499998</v>
      </c>
      <c r="K8" s="61">
        <f>Mack_Metodo1!K8</f>
        <v>114674.41313589999</v>
      </c>
      <c r="L8" s="61" t="s">
        <v>14</v>
      </c>
      <c r="M8" s="61" t="s">
        <v>14</v>
      </c>
      <c r="N8" s="61" t="s">
        <v>14</v>
      </c>
    </row>
    <row r="9" spans="2:18">
      <c r="B9" s="1">
        <v>2013</v>
      </c>
      <c r="C9" s="61">
        <f>Mack_Metodo1!C9</f>
        <v>44116.085709999999</v>
      </c>
      <c r="D9" s="61">
        <f>Mack_Metodo1!D9</f>
        <v>89606.275280000002</v>
      </c>
      <c r="E9" s="61">
        <f>Mack_Metodo1!E9</f>
        <v>104945.70165</v>
      </c>
      <c r="F9" s="61">
        <f>Mack_Metodo1!F9</f>
        <v>110423.77840700001</v>
      </c>
      <c r="G9" s="61">
        <f>Mack_Metodo1!G9</f>
        <v>112964.41806500001</v>
      </c>
      <c r="H9" s="61">
        <f>Mack_Metodo1!H9</f>
        <v>115870.78669200001</v>
      </c>
      <c r="I9" s="61">
        <f>Mack_Metodo1!I9</f>
        <v>117165.12471500001</v>
      </c>
      <c r="J9" s="61">
        <f>Mack_Metodo1!J9</f>
        <v>118289.46107000002</v>
      </c>
      <c r="K9" s="61" t="s">
        <v>14</v>
      </c>
      <c r="L9" s="61" t="s">
        <v>14</v>
      </c>
      <c r="M9" s="61" t="s">
        <v>14</v>
      </c>
      <c r="N9" s="61" t="s">
        <v>14</v>
      </c>
    </row>
    <row r="10" spans="2:18">
      <c r="B10" s="1">
        <v>2014</v>
      </c>
      <c r="C10" s="61">
        <f>Mack_Metodo1!C10</f>
        <v>50294.259669999999</v>
      </c>
      <c r="D10" s="61">
        <f>Mack_Metodo1!D10</f>
        <v>98334.581229999996</v>
      </c>
      <c r="E10" s="61">
        <f>Mack_Metodo1!E10</f>
        <v>116177.48298999999</v>
      </c>
      <c r="F10" s="61">
        <f>Mack_Metodo1!F10</f>
        <v>123212.68218399999</v>
      </c>
      <c r="G10" s="61">
        <f>Mack_Metodo1!G10</f>
        <v>127146.28824699999</v>
      </c>
      <c r="H10" s="61">
        <f>Mack_Metodo1!H10</f>
        <v>129871.97118299999</v>
      </c>
      <c r="I10" s="61">
        <f>Mack_Metodo1!I10</f>
        <v>132138.57105614999</v>
      </c>
      <c r="J10" s="61" t="s">
        <v>14</v>
      </c>
      <c r="K10" s="61" t="s">
        <v>14</v>
      </c>
      <c r="L10" s="61" t="s">
        <v>14</v>
      </c>
      <c r="M10" s="61" t="s">
        <v>14</v>
      </c>
      <c r="N10" s="61" t="s">
        <v>14</v>
      </c>
    </row>
    <row r="11" spans="2:18">
      <c r="B11" s="1">
        <v>2015</v>
      </c>
      <c r="C11" s="61">
        <f>Mack_Metodo1!C11</f>
        <v>49619.804179999999</v>
      </c>
      <c r="D11" s="61">
        <f>Mack_Metodo1!D11</f>
        <v>99611.161829999997</v>
      </c>
      <c r="E11" s="61">
        <f>Mack_Metodo1!E11</f>
        <v>119181.36549</v>
      </c>
      <c r="F11" s="61">
        <f>Mack_Metodo1!F11</f>
        <v>129228.43264</v>
      </c>
      <c r="G11" s="61">
        <f>Mack_Metodo1!G11</f>
        <v>134978.322697</v>
      </c>
      <c r="H11" s="61">
        <f>Mack_Metodo1!H11</f>
        <v>138291.0141644</v>
      </c>
      <c r="I11" s="61" t="s">
        <v>14</v>
      </c>
      <c r="J11" s="61" t="s">
        <v>14</v>
      </c>
      <c r="K11" s="61" t="s">
        <v>14</v>
      </c>
      <c r="L11" s="61" t="s">
        <v>14</v>
      </c>
      <c r="M11" s="61" t="s">
        <v>14</v>
      </c>
      <c r="N11" s="61" t="s">
        <v>14</v>
      </c>
      <c r="P11" s="62"/>
    </row>
    <row r="12" spans="2:18">
      <c r="B12" s="1">
        <v>2016</v>
      </c>
      <c r="C12" s="61">
        <f>Mack_Metodo1!C12</f>
        <v>46409.720990000002</v>
      </c>
      <c r="D12" s="61">
        <f>Mack_Metodo1!D12</f>
        <v>96104.015979999996</v>
      </c>
      <c r="E12" s="61">
        <f>Mack_Metodo1!E12</f>
        <v>116984.68296000001</v>
      </c>
      <c r="F12" s="61">
        <f>Mack_Metodo1!F12</f>
        <v>125186.24217400001</v>
      </c>
      <c r="G12" s="61">
        <f>Mack_Metodo1!G12</f>
        <v>129900.41042400002</v>
      </c>
      <c r="H12" s="61" t="s">
        <v>14</v>
      </c>
      <c r="I12" s="61" t="s">
        <v>14</v>
      </c>
      <c r="J12" s="61" t="s">
        <v>14</v>
      </c>
      <c r="K12" s="61" t="s">
        <v>14</v>
      </c>
      <c r="L12" s="61" t="s">
        <v>14</v>
      </c>
      <c r="M12" s="61" t="s">
        <v>14</v>
      </c>
      <c r="N12" s="61" t="s">
        <v>14</v>
      </c>
      <c r="P12" s="62"/>
    </row>
    <row r="13" spans="2:18">
      <c r="B13" s="1">
        <v>2017</v>
      </c>
      <c r="C13" s="61">
        <f>Mack_Metodo1!C13</f>
        <v>48294.757790000003</v>
      </c>
      <c r="D13" s="61">
        <f>Mack_Metodo1!D13</f>
        <v>97648.34739000001</v>
      </c>
      <c r="E13" s="61">
        <f>Mack_Metodo1!E13</f>
        <v>115952.59353000001</v>
      </c>
      <c r="F13" s="61">
        <f>Mack_Metodo1!F13</f>
        <v>124786.08131000001</v>
      </c>
      <c r="G13" s="61" t="s">
        <v>14</v>
      </c>
      <c r="H13" s="61" t="s">
        <v>14</v>
      </c>
      <c r="I13" s="61" t="s">
        <v>14</v>
      </c>
      <c r="J13" s="61" t="s">
        <v>14</v>
      </c>
      <c r="K13" s="61" t="s">
        <v>14</v>
      </c>
      <c r="L13" s="61" t="s">
        <v>14</v>
      </c>
      <c r="M13" s="61" t="s">
        <v>14</v>
      </c>
      <c r="N13" s="61" t="s">
        <v>14</v>
      </c>
    </row>
    <row r="14" spans="2:18">
      <c r="B14" s="1">
        <v>2018</v>
      </c>
      <c r="C14" s="61">
        <f>Mack_Metodo1!C14</f>
        <v>52590.220249999998</v>
      </c>
      <c r="D14" s="61">
        <f>Mack_Metodo1!D14</f>
        <v>103196.04024999999</v>
      </c>
      <c r="E14" s="61">
        <f>Mack_Metodo1!E14</f>
        <v>121799.75327999999</v>
      </c>
      <c r="F14" s="61" t="s">
        <v>14</v>
      </c>
      <c r="G14" s="61" t="s">
        <v>14</v>
      </c>
      <c r="H14" s="61" t="s">
        <v>14</v>
      </c>
      <c r="I14" s="61" t="s">
        <v>14</v>
      </c>
      <c r="J14" s="61" t="s">
        <v>14</v>
      </c>
      <c r="K14" s="61" t="s">
        <v>14</v>
      </c>
      <c r="L14" s="61" t="s">
        <v>14</v>
      </c>
      <c r="M14" s="61" t="s">
        <v>14</v>
      </c>
      <c r="N14" s="61" t="s">
        <v>14</v>
      </c>
      <c r="P14" s="62"/>
    </row>
    <row r="15" spans="2:18">
      <c r="B15" s="1">
        <v>2019</v>
      </c>
      <c r="C15" s="61">
        <f>Mack_Metodo1!C15</f>
        <v>58599</v>
      </c>
      <c r="D15" s="61">
        <f>Mack_Metodo1!D15</f>
        <v>112342</v>
      </c>
      <c r="E15" s="61" t="s">
        <v>14</v>
      </c>
      <c r="F15" s="61" t="s">
        <v>14</v>
      </c>
      <c r="G15" s="61" t="s">
        <v>14</v>
      </c>
      <c r="H15" s="61" t="s">
        <v>14</v>
      </c>
      <c r="I15" s="61" t="s">
        <v>14</v>
      </c>
      <c r="J15" s="61" t="s">
        <v>14</v>
      </c>
      <c r="K15" s="61" t="s">
        <v>14</v>
      </c>
      <c r="L15" s="61" t="s">
        <v>14</v>
      </c>
      <c r="M15" s="61" t="s">
        <v>14</v>
      </c>
      <c r="N15" s="61" t="s">
        <v>14</v>
      </c>
      <c r="P15" s="62"/>
    </row>
    <row r="16" spans="2:18">
      <c r="B16" s="1">
        <v>2020</v>
      </c>
      <c r="C16" s="61">
        <f>Mack_Metodo1!C16</f>
        <v>60361.276160000001</v>
      </c>
      <c r="D16" s="61" t="s">
        <v>14</v>
      </c>
      <c r="E16" s="61" t="s">
        <v>14</v>
      </c>
      <c r="F16" s="61" t="s">
        <v>14</v>
      </c>
      <c r="G16" s="61" t="s">
        <v>14</v>
      </c>
      <c r="H16" s="61" t="s">
        <v>14</v>
      </c>
      <c r="I16" s="61" t="s">
        <v>14</v>
      </c>
      <c r="J16" s="61" t="s">
        <v>14</v>
      </c>
      <c r="K16" s="61" t="s">
        <v>14</v>
      </c>
      <c r="L16" s="61" t="s">
        <v>14</v>
      </c>
      <c r="M16" s="61" t="s">
        <v>14</v>
      </c>
      <c r="N16" s="61" t="s">
        <v>14</v>
      </c>
    </row>
    <row r="17" spans="2:14">
      <c r="B17" s="6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</row>
    <row r="21" spans="2:14">
      <c r="B21" s="57"/>
      <c r="C21" s="57"/>
      <c r="D21" s="57" t="s">
        <v>14</v>
      </c>
      <c r="E21" s="5" t="s">
        <v>44</v>
      </c>
      <c r="F21" s="57"/>
      <c r="G21" s="57"/>
      <c r="H21" s="57"/>
      <c r="I21" s="57"/>
      <c r="J21" s="57"/>
      <c r="K21" s="57"/>
      <c r="L21" s="57"/>
      <c r="M21" s="57"/>
      <c r="N21" s="57"/>
    </row>
    <row r="22" spans="2:14">
      <c r="B22" s="57"/>
      <c r="C22" s="59" t="s">
        <v>12</v>
      </c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</row>
    <row r="23" spans="2:14">
      <c r="B23" s="60" t="s">
        <v>11</v>
      </c>
      <c r="C23" s="8">
        <v>0</v>
      </c>
      <c r="D23" s="8">
        <v>1</v>
      </c>
      <c r="E23" s="8">
        <v>2</v>
      </c>
      <c r="F23" s="8">
        <v>3</v>
      </c>
      <c r="G23" s="8">
        <v>4</v>
      </c>
      <c r="H23" s="8">
        <v>5</v>
      </c>
      <c r="I23" s="8">
        <v>6</v>
      </c>
      <c r="J23" s="8">
        <v>7</v>
      </c>
      <c r="K23" s="8">
        <v>8</v>
      </c>
      <c r="L23" s="8">
        <v>9</v>
      </c>
      <c r="M23" s="8">
        <v>10</v>
      </c>
      <c r="N23" s="8">
        <v>11</v>
      </c>
    </row>
    <row r="24" spans="2:14">
      <c r="B24" s="1">
        <v>2009</v>
      </c>
      <c r="C24" s="64">
        <f t="shared" ref="C24:N24" si="0">IFERROR(IF(D5&lt;&gt;"",IF($B24+C$23 &lt;= LatestYear,D5/C5,""),""),"")</f>
        <v>2.0282974196169148</v>
      </c>
      <c r="D24" s="64">
        <f t="shared" si="0"/>
        <v>1.2160231996475825</v>
      </c>
      <c r="E24" s="64">
        <f t="shared" si="0"/>
        <v>1.073317866507391</v>
      </c>
      <c r="F24" s="64">
        <f t="shared" si="0"/>
        <v>1.0362118012321537</v>
      </c>
      <c r="G24" s="64">
        <f t="shared" si="0"/>
        <v>1.0302356584560437</v>
      </c>
      <c r="H24" s="64">
        <f t="shared" si="0"/>
        <v>1.0165919400082364</v>
      </c>
      <c r="I24" s="64">
        <f t="shared" si="0"/>
        <v>1.0151535009515595</v>
      </c>
      <c r="J24" s="64">
        <f t="shared" si="0"/>
        <v>1.0113475648940662</v>
      </c>
      <c r="K24" s="64">
        <f t="shared" si="0"/>
        <v>1.0102503829512732</v>
      </c>
      <c r="L24" s="64">
        <f t="shared" si="0"/>
        <v>1.0033252837701321</v>
      </c>
      <c r="M24" s="64">
        <f t="shared" si="0"/>
        <v>1.0211085663148023</v>
      </c>
      <c r="N24" s="64" t="str">
        <f t="shared" si="0"/>
        <v/>
      </c>
    </row>
    <row r="25" spans="2:14">
      <c r="B25" s="1">
        <v>2010</v>
      </c>
      <c r="C25" s="64">
        <f t="shared" ref="C25:N25" si="1">IFERROR(IF(D6&lt;&gt;"",IF($B25+C$23 &lt;= LatestYear,D6/C6,""),""),"")</f>
        <v>2.1296261508729835</v>
      </c>
      <c r="D25" s="64">
        <f t="shared" si="1"/>
        <v>1.1974652966940986</v>
      </c>
      <c r="E25" s="64">
        <f t="shared" si="1"/>
        <v>1.0719934476814301</v>
      </c>
      <c r="F25" s="64">
        <f t="shared" si="1"/>
        <v>1.0329824700495323</v>
      </c>
      <c r="G25" s="64">
        <f t="shared" si="1"/>
        <v>1.0268331950712166</v>
      </c>
      <c r="H25" s="64">
        <f t="shared" si="1"/>
        <v>1.009904786338933</v>
      </c>
      <c r="I25" s="64">
        <f t="shared" si="1"/>
        <v>1.0114953875618273</v>
      </c>
      <c r="J25" s="64">
        <f t="shared" si="1"/>
        <v>1.0077499515007038</v>
      </c>
      <c r="K25" s="64">
        <f t="shared" si="1"/>
        <v>1.0048019411999829</v>
      </c>
      <c r="L25" s="64">
        <f t="shared" si="1"/>
        <v>1.0047593261210175</v>
      </c>
      <c r="M25" s="64" t="str">
        <f t="shared" si="1"/>
        <v/>
      </c>
      <c r="N25" s="64" t="str">
        <f t="shared" si="1"/>
        <v/>
      </c>
    </row>
    <row r="26" spans="2:14">
      <c r="B26" s="1">
        <v>2011</v>
      </c>
      <c r="C26" s="64">
        <f t="shared" ref="C26:N26" si="2">IFERROR(IF(D7&lt;&gt;"",IF($B26+C$23 &lt;= LatestYear,D7/C7,""),""),"")</f>
        <v>2.0622281062870993</v>
      </c>
      <c r="D26" s="64">
        <f t="shared" si="2"/>
        <v>1.1662535894623522</v>
      </c>
      <c r="E26" s="64">
        <f t="shared" si="2"/>
        <v>1.0664135237676928</v>
      </c>
      <c r="F26" s="64">
        <f t="shared" si="2"/>
        <v>1.0310641885004925</v>
      </c>
      <c r="G26" s="64">
        <f t="shared" si="2"/>
        <v>1.0126572884240004</v>
      </c>
      <c r="H26" s="64">
        <f t="shared" si="2"/>
        <v>1.0123563014270842</v>
      </c>
      <c r="I26" s="64">
        <f t="shared" si="2"/>
        <v>1.0110801335325594</v>
      </c>
      <c r="J26" s="64">
        <f t="shared" si="2"/>
        <v>1.0087341916704313</v>
      </c>
      <c r="K26" s="64">
        <f t="shared" si="2"/>
        <v>1.0053551937629057</v>
      </c>
      <c r="L26" s="64" t="str">
        <f t="shared" si="2"/>
        <v/>
      </c>
      <c r="M26" s="64" t="str">
        <f t="shared" si="2"/>
        <v/>
      </c>
      <c r="N26" s="64" t="str">
        <f t="shared" si="2"/>
        <v/>
      </c>
    </row>
    <row r="27" spans="2:14">
      <c r="B27" s="1">
        <v>2012</v>
      </c>
      <c r="C27" s="64">
        <f t="shared" ref="C27:N27" si="3">IFERROR(IF(D8&lt;&gt;"",IF($B27+C$23 &lt;= LatestYear,D8/C8,""),""),"")</f>
        <v>2.1009800909582736</v>
      </c>
      <c r="D27" s="64">
        <f t="shared" si="3"/>
        <v>1.1810062947594349</v>
      </c>
      <c r="E27" s="64">
        <f t="shared" si="3"/>
        <v>1.0557784857884482</v>
      </c>
      <c r="F27" s="64">
        <f t="shared" si="3"/>
        <v>1.0247024630417849</v>
      </c>
      <c r="G27" s="64">
        <f t="shared" si="3"/>
        <v>1.0182892103027594</v>
      </c>
      <c r="H27" s="64">
        <f t="shared" si="3"/>
        <v>1.0193409912546454</v>
      </c>
      <c r="I27" s="64">
        <f t="shared" si="3"/>
        <v>1.0105166268412891</v>
      </c>
      <c r="J27" s="64">
        <f t="shared" si="3"/>
        <v>1.0076680112771106</v>
      </c>
      <c r="K27" s="64" t="str">
        <f t="shared" si="3"/>
        <v/>
      </c>
      <c r="L27" s="64" t="str">
        <f t="shared" si="3"/>
        <v/>
      </c>
      <c r="M27" s="64" t="str">
        <f t="shared" si="3"/>
        <v/>
      </c>
      <c r="N27" s="64" t="str">
        <f t="shared" si="3"/>
        <v/>
      </c>
    </row>
    <row r="28" spans="2:14">
      <c r="B28" s="1">
        <v>2013</v>
      </c>
      <c r="C28" s="64">
        <f t="shared" ref="C28:N28" si="4">IFERROR(IF(D9&lt;&gt;"",IF($B28+C$23 &lt;= LatestYear,D9/C9,""),""),"")</f>
        <v>2.0311474564863432</v>
      </c>
      <c r="D28" s="64">
        <f t="shared" si="4"/>
        <v>1.1711869656680589</v>
      </c>
      <c r="E28" s="64">
        <f t="shared" si="4"/>
        <v>1.0521991531894246</v>
      </c>
      <c r="F28" s="64">
        <f t="shared" si="4"/>
        <v>1.0230080848043046</v>
      </c>
      <c r="G28" s="64">
        <f t="shared" si="4"/>
        <v>1.0257281777464446</v>
      </c>
      <c r="H28" s="64">
        <f t="shared" si="4"/>
        <v>1.0111705293452484</v>
      </c>
      <c r="I28" s="64">
        <f t="shared" si="4"/>
        <v>1.0095961691479005</v>
      </c>
      <c r="J28" s="64" t="str">
        <f t="shared" si="4"/>
        <v/>
      </c>
      <c r="K28" s="64" t="str">
        <f t="shared" si="4"/>
        <v/>
      </c>
      <c r="L28" s="64" t="str">
        <f t="shared" si="4"/>
        <v/>
      </c>
      <c r="M28" s="64" t="str">
        <f t="shared" si="4"/>
        <v/>
      </c>
      <c r="N28" s="64" t="str">
        <f t="shared" si="4"/>
        <v/>
      </c>
    </row>
    <row r="29" spans="2:14">
      <c r="B29" s="1">
        <v>2014</v>
      </c>
      <c r="C29" s="64">
        <f t="shared" ref="C29:N29" si="5">IFERROR(IF(D10&lt;&gt;"",IF($B29+C$23 &lt;= LatestYear,D10/C10,""),""),"")</f>
        <v>1.955184982843192</v>
      </c>
      <c r="D29" s="64">
        <f t="shared" si="5"/>
        <v>1.1814509355388039</v>
      </c>
      <c r="E29" s="64">
        <f t="shared" si="5"/>
        <v>1.0605556172585144</v>
      </c>
      <c r="F29" s="64">
        <f t="shared" si="5"/>
        <v>1.0319253342535448</v>
      </c>
      <c r="G29" s="64">
        <f t="shared" si="5"/>
        <v>1.021437377162792</v>
      </c>
      <c r="H29" s="64">
        <f t="shared" si="5"/>
        <v>1.017452571578791</v>
      </c>
      <c r="I29" s="64" t="str">
        <f t="shared" si="5"/>
        <v/>
      </c>
      <c r="J29" s="64" t="str">
        <f t="shared" si="5"/>
        <v/>
      </c>
      <c r="K29" s="64" t="str">
        <f t="shared" si="5"/>
        <v/>
      </c>
      <c r="L29" s="64" t="str">
        <f t="shared" si="5"/>
        <v/>
      </c>
      <c r="M29" s="64" t="str">
        <f t="shared" si="5"/>
        <v/>
      </c>
      <c r="N29" s="64" t="str">
        <f t="shared" si="5"/>
        <v/>
      </c>
    </row>
    <row r="30" spans="2:14">
      <c r="B30" s="1">
        <v>2015</v>
      </c>
      <c r="C30" s="64">
        <f t="shared" ref="C30:N30" si="6">IFERROR(IF(D11&lt;&gt;"",IF($B30+C$23 &lt;= LatestYear,D11/C11,""),""),"")</f>
        <v>2.0074880075836687</v>
      </c>
      <c r="D30" s="64">
        <f t="shared" si="6"/>
        <v>1.1964659712874268</v>
      </c>
      <c r="E30" s="64">
        <f t="shared" si="6"/>
        <v>1.0843006547935803</v>
      </c>
      <c r="F30" s="64">
        <f t="shared" si="6"/>
        <v>1.0444940013550876</v>
      </c>
      <c r="G30" s="64">
        <f t="shared" si="6"/>
        <v>1.0245423961507978</v>
      </c>
      <c r="H30" s="64" t="str">
        <f t="shared" si="6"/>
        <v/>
      </c>
      <c r="I30" s="64" t="str">
        <f t="shared" si="6"/>
        <v/>
      </c>
      <c r="J30" s="64" t="str">
        <f t="shared" si="6"/>
        <v/>
      </c>
      <c r="K30" s="64" t="str">
        <f t="shared" si="6"/>
        <v/>
      </c>
      <c r="L30" s="64" t="str">
        <f t="shared" si="6"/>
        <v/>
      </c>
      <c r="M30" s="64" t="str">
        <f t="shared" si="6"/>
        <v/>
      </c>
      <c r="N30" s="64" t="str">
        <f t="shared" si="6"/>
        <v/>
      </c>
    </row>
    <row r="31" spans="2:14">
      <c r="B31" s="1">
        <v>2016</v>
      </c>
      <c r="C31" s="64">
        <f t="shared" ref="C31:N31" si="7">IFERROR(IF(D12&lt;&gt;"",IF($B31+C$23 &lt;= LatestYear,D12/C12,""),""),"")</f>
        <v>2.0707734054403759</v>
      </c>
      <c r="D31" s="64">
        <f t="shared" si="7"/>
        <v>1.217271534046459</v>
      </c>
      <c r="E31" s="64">
        <f t="shared" si="7"/>
        <v>1.0701079748773976</v>
      </c>
      <c r="F31" s="64">
        <f t="shared" si="7"/>
        <v>1.037657239071428</v>
      </c>
      <c r="G31" s="64" t="str">
        <f t="shared" si="7"/>
        <v/>
      </c>
      <c r="H31" s="64" t="str">
        <f t="shared" si="7"/>
        <v/>
      </c>
      <c r="I31" s="64" t="str">
        <f t="shared" si="7"/>
        <v/>
      </c>
      <c r="J31" s="64" t="str">
        <f t="shared" si="7"/>
        <v/>
      </c>
      <c r="K31" s="64" t="str">
        <f t="shared" si="7"/>
        <v/>
      </c>
      <c r="L31" s="64" t="str">
        <f t="shared" si="7"/>
        <v/>
      </c>
      <c r="M31" s="64" t="str">
        <f t="shared" si="7"/>
        <v/>
      </c>
      <c r="N31" s="64" t="str">
        <f t="shared" si="7"/>
        <v/>
      </c>
    </row>
    <row r="32" spans="2:14">
      <c r="B32" s="1">
        <v>2017</v>
      </c>
      <c r="C32" s="64">
        <f t="shared" ref="C32:N32" si="8">IFERROR(IF(D13&lt;&gt;"",IF($B32+C$23 &lt;= LatestYear,D13/C13,""),""),"")</f>
        <v>2.0219243631908066</v>
      </c>
      <c r="D32" s="64">
        <f t="shared" si="8"/>
        <v>1.1874506494912223</v>
      </c>
      <c r="E32" s="64">
        <f t="shared" si="8"/>
        <v>1.0761818904698714</v>
      </c>
      <c r="F32" s="64" t="str">
        <f t="shared" si="8"/>
        <v/>
      </c>
      <c r="G32" s="64" t="str">
        <f t="shared" si="8"/>
        <v/>
      </c>
      <c r="H32" s="64" t="str">
        <f t="shared" si="8"/>
        <v/>
      </c>
      <c r="I32" s="64" t="str">
        <f t="shared" si="8"/>
        <v/>
      </c>
      <c r="J32" s="64" t="str">
        <f t="shared" si="8"/>
        <v/>
      </c>
      <c r="K32" s="64" t="str">
        <f t="shared" si="8"/>
        <v/>
      </c>
      <c r="L32" s="64" t="str">
        <f t="shared" si="8"/>
        <v/>
      </c>
      <c r="M32" s="64" t="str">
        <f t="shared" si="8"/>
        <v/>
      </c>
      <c r="N32" s="64" t="str">
        <f t="shared" si="8"/>
        <v/>
      </c>
    </row>
    <row r="33" spans="2:16">
      <c r="B33" s="1">
        <v>2018</v>
      </c>
      <c r="C33" s="64">
        <f t="shared" ref="C33:N33" si="9">IFERROR(IF(D14&lt;&gt;"",IF($B33+C$23 &lt;= LatestYear,D14/C14,""),""),"")</f>
        <v>1.9622667438819101</v>
      </c>
      <c r="D33" s="64">
        <f t="shared" si="9"/>
        <v>1.1802754542221885</v>
      </c>
      <c r="E33" s="64" t="str">
        <f t="shared" si="9"/>
        <v/>
      </c>
      <c r="F33" s="64" t="str">
        <f t="shared" si="9"/>
        <v/>
      </c>
      <c r="G33" s="64" t="str">
        <f t="shared" si="9"/>
        <v/>
      </c>
      <c r="H33" s="64" t="str">
        <f t="shared" si="9"/>
        <v/>
      </c>
      <c r="I33" s="64" t="str">
        <f t="shared" si="9"/>
        <v/>
      </c>
      <c r="J33" s="64" t="str">
        <f t="shared" si="9"/>
        <v/>
      </c>
      <c r="K33" s="64" t="str">
        <f t="shared" si="9"/>
        <v/>
      </c>
      <c r="L33" s="64" t="str">
        <f t="shared" si="9"/>
        <v/>
      </c>
      <c r="M33" s="64" t="str">
        <f t="shared" si="9"/>
        <v/>
      </c>
      <c r="N33" s="64" t="str">
        <f t="shared" si="9"/>
        <v/>
      </c>
    </row>
    <row r="34" spans="2:16">
      <c r="B34" s="1">
        <v>2019</v>
      </c>
      <c r="C34" s="64">
        <f t="shared" ref="C34:N34" si="10">IFERROR(IF(D15&lt;&gt;"",IF($B34+C$23 &lt;= LatestYear,D15/C15,""),""),"")</f>
        <v>1.9171316916670933</v>
      </c>
      <c r="D34" s="64" t="str">
        <f t="shared" si="10"/>
        <v/>
      </c>
      <c r="E34" s="64" t="str">
        <f t="shared" si="10"/>
        <v/>
      </c>
      <c r="F34" s="64" t="str">
        <f t="shared" si="10"/>
        <v/>
      </c>
      <c r="G34" s="64" t="str">
        <f t="shared" si="10"/>
        <v/>
      </c>
      <c r="H34" s="64" t="str">
        <f t="shared" si="10"/>
        <v/>
      </c>
      <c r="I34" s="64" t="str">
        <f t="shared" si="10"/>
        <v/>
      </c>
      <c r="J34" s="64" t="str">
        <f t="shared" si="10"/>
        <v/>
      </c>
      <c r="K34" s="64" t="str">
        <f t="shared" si="10"/>
        <v/>
      </c>
      <c r="L34" s="64" t="str">
        <f t="shared" si="10"/>
        <v/>
      </c>
      <c r="M34" s="64" t="str">
        <f t="shared" si="10"/>
        <v/>
      </c>
      <c r="N34" s="64" t="str">
        <f t="shared" si="10"/>
        <v/>
      </c>
    </row>
    <row r="35" spans="2:16">
      <c r="B35" s="1">
        <v>2020</v>
      </c>
      <c r="C35" s="64" t="str">
        <f t="shared" ref="C35:N35" si="11">IFERROR(IF(D16&lt;&gt;"",IF($B35+C$23 &lt;= LatestYear,D16/C16,""),""),"")</f>
        <v/>
      </c>
      <c r="D35" s="64" t="str">
        <f t="shared" si="11"/>
        <v/>
      </c>
      <c r="E35" s="64" t="str">
        <f t="shared" si="11"/>
        <v/>
      </c>
      <c r="F35" s="64" t="str">
        <f t="shared" si="11"/>
        <v/>
      </c>
      <c r="G35" s="64" t="str">
        <f t="shared" si="11"/>
        <v/>
      </c>
      <c r="H35" s="64" t="str">
        <f t="shared" si="11"/>
        <v/>
      </c>
      <c r="I35" s="64" t="str">
        <f t="shared" si="11"/>
        <v/>
      </c>
      <c r="J35" s="64" t="str">
        <f t="shared" si="11"/>
        <v/>
      </c>
      <c r="K35" s="64" t="str">
        <f t="shared" si="11"/>
        <v/>
      </c>
      <c r="L35" s="64" t="str">
        <f t="shared" si="11"/>
        <v/>
      </c>
      <c r="M35" s="64" t="str">
        <f t="shared" si="11"/>
        <v/>
      </c>
      <c r="N35" s="64" t="str">
        <f t="shared" si="11"/>
        <v/>
      </c>
    </row>
    <row r="36" spans="2:16">
      <c r="B36" s="7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</row>
    <row r="37" spans="2:16">
      <c r="B37" s="65" t="s">
        <v>43</v>
      </c>
      <c r="C37" s="66" t="s">
        <v>42</v>
      </c>
      <c r="D37" s="66" t="s">
        <v>41</v>
      </c>
      <c r="E37" s="66" t="s">
        <v>40</v>
      </c>
      <c r="F37" s="66" t="s">
        <v>39</v>
      </c>
      <c r="G37" s="66" t="s">
        <v>38</v>
      </c>
      <c r="H37" s="66" t="s">
        <v>37</v>
      </c>
      <c r="I37" s="66" t="s">
        <v>36</v>
      </c>
      <c r="J37" s="66" t="s">
        <v>35</v>
      </c>
      <c r="K37" s="66" t="s">
        <v>34</v>
      </c>
      <c r="L37" s="66" t="s">
        <v>33</v>
      </c>
      <c r="M37" s="66" t="s">
        <v>32</v>
      </c>
      <c r="N37" s="67"/>
      <c r="O37" s="66"/>
      <c r="P37" s="68"/>
    </row>
    <row r="38" spans="2:16">
      <c r="B38" s="65" t="s">
        <v>31</v>
      </c>
      <c r="C38" s="69" cm="1">
        <f t="array" aca="1" ref="C38" ca="1">IFERROR(MMULT(TRANSPOSE(OFFSET(C$23,1,0,COUNT(C$24:C$35))),OFFSET(C$4,1,0,COUNT(C$24:C$35)))/SUM(OFFSET(C$4,1,0,COUNT(C$24:C$35))),"")</f>
        <v>2.0171433188244361</v>
      </c>
      <c r="D38" s="69">
        <f t="array" aca="1" ref="D38" ca="1">IFERROR(MMULT(TRANSPOSE(OFFSET(D$23,1,0,COUNT(D$24:D$35))),OFFSET(D$4,1,0,COUNT(D$24:D$35)))/SUM(OFFSET(D$4,1,0,COUNT(D$24:D$35))),"")</f>
        <v>1.188719647365996</v>
      </c>
      <c r="E38" s="69">
        <f t="array" aca="1" ref="E38" ca="1">IFERROR(MMULT(TRANSPOSE(OFFSET(E$23,1,0,COUNT(E$24:E$35))),OFFSET(E$4,1,0,COUNT(E$24:E$35)))/SUM(OFFSET(E$4,1,0,COUNT(E$24:E$35))),"")</f>
        <v>1.0679386190747573</v>
      </c>
      <c r="F38" s="69">
        <f t="array" aca="1" ref="F38" ca="1">IFERROR(MMULT(TRANSPOSE(OFFSET(F$23,1,0,COUNT(F$24:F$35))),OFFSET(F$4,1,0,COUNT(F$24:F$35)))/SUM(OFFSET(F$4,1,0,COUNT(F$24:F$35))),"")</f>
        <v>1.0330080258939325</v>
      </c>
      <c r="G38" s="69">
        <f t="array" aca="1" ref="G38" ca="1">IFERROR(MMULT(TRANSPOSE(OFFSET(G$23,1,0,COUNT(G$24:G$35))),OFFSET(G$4,1,0,COUNT(G$24:G$35)))/SUM(OFFSET(G$4,1,0,COUNT(G$24:G$35))),"")</f>
        <v>1.0225796785638588</v>
      </c>
      <c r="H38" s="69">
        <f t="array" aca="1" ref="H38" ca="1">IFERROR(MMULT(TRANSPOSE(OFFSET(H$23,1,0,COUNT(H$24:H$35))),OFFSET(H$4,1,0,COUNT(H$24:H$35)))/SUM(OFFSET(H$4,1,0,COUNT(H$24:H$35))),"")</f>
        <v>1.0145918797043163</v>
      </c>
      <c r="I38" s="69">
        <f t="array" aca="1" ref="I38" ca="1">IFERROR(MMULT(TRANSPOSE(OFFSET(I$23,1,0,COUNT(I$24:I$35))),OFFSET(I$4,1,0,COUNT(I$24:I$35)))/SUM(OFFSET(I$4,1,0,COUNT(I$24:I$35))),"")</f>
        <v>1.0113450250708893</v>
      </c>
      <c r="J38" s="69">
        <f t="array" aca="1" ref="J38" ca="1">IFERROR(MMULT(TRANSPOSE(OFFSET(J$23,1,0,COUNT(J$24:J$35))),OFFSET(J$4,1,0,COUNT(J$24:J$35)))/SUM(OFFSET(J$4,1,0,COUNT(J$24:J$35))),"")</f>
        <v>1.0087400099976809</v>
      </c>
      <c r="K38" s="69">
        <f t="array" aca="1" ref="K38" ca="1">IFERROR(MMULT(TRANSPOSE(OFFSET(K$23,1,0,COUNT(K$24:K$35))),OFFSET(K$4,1,0,COUNT(K$24:K$35)))/SUM(OFFSET(K$4,1,0,COUNT(K$24:K$35))),"")</f>
        <v>1.0066166186595176</v>
      </c>
      <c r="L38" s="69">
        <f t="array" aca="1" ref="L38" ca="1">IFERROR(MMULT(TRANSPOSE(OFFSET(L$23,1,0,COUNT(L$24:L$35))),OFFSET(L$4,1,0,COUNT(L$24:L$35)))/SUM(OFFSET(L$4,1,0,COUNT(L$24:L$35))),"")</f>
        <v>1.0040863784742424</v>
      </c>
      <c r="M38" s="69">
        <f t="array" aca="1" ref="M38" ca="1">IFERROR(MMULT(TRANSPOSE(OFFSET(M$23,1,0,COUNT(M$24:M$35))),OFFSET(M$4,1,0,COUNT(M$24:M$35)))/SUM(OFFSET(M$4,1,0,COUNT(M$24:M$35))),"")</f>
        <v>1.0211085663148023</v>
      </c>
      <c r="N38" s="67">
        <v>1</v>
      </c>
      <c r="O38" s="66"/>
      <c r="P38" s="68"/>
    </row>
    <row r="39" spans="2:16">
      <c r="B39" s="65" t="s">
        <v>1</v>
      </c>
      <c r="C39" s="69">
        <f ca="1">PRODUCT(C$38:$N$38)</f>
        <v>2.8896178065835767</v>
      </c>
      <c r="D39" s="69">
        <f ca="1">PRODUCT(D$38:$N$38)</f>
        <v>1.4325297462094102</v>
      </c>
      <c r="E39" s="69">
        <f ca="1">PRODUCT(E$38:$N$38)</f>
        <v>1.2051031118932516</v>
      </c>
      <c r="F39" s="69">
        <f ca="1">PRODUCT(F$38:$N$38)</f>
        <v>1.12843855477137</v>
      </c>
      <c r="G39" s="69">
        <f ca="1">PRODUCT(G$38:$N$38)</f>
        <v>1.0923812075853474</v>
      </c>
      <c r="H39" s="69">
        <f ca="1">PRODUCT(H$38:$N$38)</f>
        <v>1.0682602348596639</v>
      </c>
      <c r="I39" s="69">
        <f ca="1">PRODUCT(I$38:$N$38)</f>
        <v>1.0528964958511082</v>
      </c>
      <c r="J39" s="69">
        <f ca="1">PRODUCT(J$38:$N$38)</f>
        <v>1.0410853563820184</v>
      </c>
      <c r="K39" s="69">
        <f ca="1">PRODUCT(K$38:$N$38)</f>
        <v>1.0320650971149761</v>
      </c>
      <c r="L39" s="69">
        <f ca="1">PRODUCT(L$38:$N$38)</f>
        <v>1.0252812023800557</v>
      </c>
      <c r="M39" s="69">
        <f ca="1">PRODUCT(M$38:$N$38)</f>
        <v>1.0211085663148023</v>
      </c>
      <c r="N39" s="67">
        <v>1</v>
      </c>
      <c r="O39" s="66"/>
      <c r="P39" s="68"/>
    </row>
    <row r="41" spans="2:16">
      <c r="B41" s="57"/>
      <c r="C41" s="57"/>
      <c r="D41" s="57" t="s">
        <v>14</v>
      </c>
      <c r="E41" s="5" t="s">
        <v>30</v>
      </c>
      <c r="F41" s="57"/>
      <c r="G41" s="57"/>
      <c r="H41" s="57"/>
      <c r="I41" s="57"/>
      <c r="J41" s="57"/>
      <c r="K41" s="57"/>
      <c r="L41" s="57"/>
      <c r="M41" s="57"/>
      <c r="N41" s="57"/>
    </row>
    <row r="42" spans="2:16">
      <c r="B42" s="57"/>
      <c r="C42" s="59" t="s">
        <v>12</v>
      </c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</row>
    <row r="43" spans="2:16">
      <c r="B43" s="60" t="s">
        <v>11</v>
      </c>
      <c r="C43" s="4">
        <v>0</v>
      </c>
      <c r="D43" s="4">
        <v>1</v>
      </c>
      <c r="E43" s="4">
        <v>2</v>
      </c>
      <c r="F43" s="4">
        <v>3</v>
      </c>
      <c r="G43" s="4">
        <v>4</v>
      </c>
      <c r="H43" s="4">
        <v>5</v>
      </c>
      <c r="I43" s="4">
        <v>6</v>
      </c>
      <c r="J43" s="4">
        <v>7</v>
      </c>
      <c r="K43" s="4">
        <v>8</v>
      </c>
      <c r="L43" s="4">
        <v>9</v>
      </c>
      <c r="M43" s="4">
        <v>10</v>
      </c>
      <c r="N43" s="4">
        <v>11</v>
      </c>
    </row>
    <row r="44" spans="2:16">
      <c r="B44" s="1">
        <v>2009</v>
      </c>
      <c r="C44" s="70">
        <f ca="1">IF($B44+C$43 &lt; LatestYear,C5*(C24-C$38)^2,"")</f>
        <v>3.5391092742305594</v>
      </c>
      <c r="D44" s="70">
        <f t="shared" ref="D44:N44" ca="1" si="12">IF($B44+D$43 &lt; LatestYear,D5*(D24-D$38)^2,"")</f>
        <v>43.012510220943462</v>
      </c>
      <c r="E44" s="70">
        <f t="shared" ca="1" si="12"/>
        <v>2.0302119711079523</v>
      </c>
      <c r="F44" s="70">
        <f t="shared" ca="1" si="12"/>
        <v>0.77294894440489625</v>
      </c>
      <c r="G44" s="70">
        <f t="shared" ca="1" si="12"/>
        <v>4.5737961311247224</v>
      </c>
      <c r="H44" s="70">
        <f t="shared" ca="1" si="12"/>
        <v>0.321586635993729</v>
      </c>
      <c r="I44" s="70">
        <f t="shared" ca="1" si="12"/>
        <v>1.1853890011970472</v>
      </c>
      <c r="J44" s="70">
        <f t="shared" ca="1" si="12"/>
        <v>0.5641013142592588</v>
      </c>
      <c r="K44" s="70">
        <f t="shared" ca="1" si="12"/>
        <v>1.107909100663367</v>
      </c>
      <c r="L44" s="70">
        <f t="shared" ca="1" si="12"/>
        <v>4.9101758710504588E-2</v>
      </c>
      <c r="M44" s="70">
        <f t="shared" ca="1" si="12"/>
        <v>0</v>
      </c>
      <c r="N44" s="70" t="str">
        <f t="shared" si="12"/>
        <v/>
      </c>
    </row>
    <row r="45" spans="2:16">
      <c r="B45" s="1">
        <v>2010</v>
      </c>
      <c r="C45" s="70">
        <f t="shared" ref="C45:N45" ca="1" si="13">IF($B45+C$43 &lt; LatestYear,C6*(C25-C$38)^2,"")</f>
        <v>404.40887282725805</v>
      </c>
      <c r="D45" s="70">
        <f t="shared" ca="1" si="13"/>
        <v>5.2063778210116611</v>
      </c>
      <c r="E45" s="70">
        <f t="shared" ca="1" si="13"/>
        <v>1.3401687958285986</v>
      </c>
      <c r="F45" s="70">
        <f t="shared" ca="1" si="13"/>
        <v>5.7067270302154168E-5</v>
      </c>
      <c r="G45" s="70">
        <f t="shared" ca="1" si="13"/>
        <v>1.6330362515630512</v>
      </c>
      <c r="H45" s="70">
        <f t="shared" ca="1" si="13"/>
        <v>2.0361355646016008</v>
      </c>
      <c r="I45" s="70">
        <f t="shared" ca="1" si="13"/>
        <v>2.1162108386254194E-3</v>
      </c>
      <c r="J45" s="70">
        <f t="shared" ca="1" si="13"/>
        <v>9.2803750625960801E-2</v>
      </c>
      <c r="K45" s="70">
        <f t="shared" ca="1" si="13"/>
        <v>0.31419226798399613</v>
      </c>
      <c r="L45" s="70">
        <f t="shared" ca="1" si="13"/>
        <v>4.3414982128114392E-2</v>
      </c>
      <c r="M45" s="70" t="str">
        <f t="shared" si="13"/>
        <v/>
      </c>
      <c r="N45" s="70" t="str">
        <f t="shared" si="13"/>
        <v/>
      </c>
    </row>
    <row r="46" spans="2:16">
      <c r="B46" s="1">
        <v>2011</v>
      </c>
      <c r="C46" s="70">
        <f t="shared" ref="C46:N46" ca="1" si="14">IF($B46+C$43 &lt; LatestYear,C7*(C26-C$38)^2,"")</f>
        <v>76.78237471901997</v>
      </c>
      <c r="D46" s="70">
        <f t="shared" ca="1" si="14"/>
        <v>39.318046851016696</v>
      </c>
      <c r="E46" s="70">
        <f t="shared" ca="1" si="14"/>
        <v>0.21131248187342908</v>
      </c>
      <c r="F46" s="70">
        <f t="shared" ca="1" si="14"/>
        <v>0.36608057940838923</v>
      </c>
      <c r="G46" s="70">
        <f t="shared" ca="1" si="14"/>
        <v>9.8350172649090748</v>
      </c>
      <c r="H46" s="70">
        <f t="shared" ca="1" si="14"/>
        <v>0.50557406015716133</v>
      </c>
      <c r="I46" s="70">
        <f t="shared" ca="1" si="14"/>
        <v>7.1857910178996674E-3</v>
      </c>
      <c r="J46" s="70">
        <f t="shared" ca="1" si="14"/>
        <v>3.5052603268605427E-6</v>
      </c>
      <c r="K46" s="70">
        <f t="shared" ca="1" si="14"/>
        <v>0.1661971328596136</v>
      </c>
      <c r="L46" s="70" t="str">
        <f t="shared" si="14"/>
        <v/>
      </c>
      <c r="M46" s="70" t="str">
        <f t="shared" si="14"/>
        <v/>
      </c>
      <c r="N46" s="70" t="str">
        <f t="shared" si="14"/>
        <v/>
      </c>
    </row>
    <row r="47" spans="2:16">
      <c r="B47" s="1">
        <v>2012</v>
      </c>
      <c r="C47" s="70">
        <f t="shared" ref="C47:N47" ca="1" si="15">IF($B47+C$43 &lt; LatestYear,C8*(C27-C$38)^2,"")</f>
        <v>284.07912376713296</v>
      </c>
      <c r="D47" s="70">
        <f t="shared" ca="1" si="15"/>
        <v>5.0521766717678016</v>
      </c>
      <c r="E47" s="70">
        <f t="shared" ca="1" si="15"/>
        <v>14.829313343734166</v>
      </c>
      <c r="F47" s="70">
        <f t="shared" ca="1" si="15"/>
        <v>7.3039083926507216</v>
      </c>
      <c r="G47" s="70">
        <f t="shared" ca="1" si="15"/>
        <v>1.9972128272260408</v>
      </c>
      <c r="H47" s="70">
        <f t="shared" ca="1" si="15"/>
        <v>2.4917865822251053</v>
      </c>
      <c r="I47" s="70">
        <f t="shared" ca="1" si="15"/>
        <v>7.7282989745888306E-2</v>
      </c>
      <c r="J47" s="70">
        <f t="shared" ca="1" si="15"/>
        <v>0.13077887235426033</v>
      </c>
      <c r="K47" s="70" t="str">
        <f t="shared" si="15"/>
        <v/>
      </c>
      <c r="L47" s="70" t="str">
        <f t="shared" si="15"/>
        <v/>
      </c>
      <c r="M47" s="70" t="str">
        <f t="shared" si="15"/>
        <v/>
      </c>
      <c r="N47" s="70" t="str">
        <f t="shared" si="15"/>
        <v/>
      </c>
    </row>
    <row r="48" spans="2:16">
      <c r="B48" s="1">
        <v>2013</v>
      </c>
      <c r="C48" s="70">
        <f t="shared" ref="C48:N48" ca="1" si="16">IF($B48+C$43 &lt; LatestYear,C9*(C28-C$38)^2,"")</f>
        <v>8.6518646029635704</v>
      </c>
      <c r="D48" s="70">
        <f t="shared" ca="1" si="16"/>
        <v>27.544514495138348</v>
      </c>
      <c r="E48" s="70">
        <f t="shared" ca="1" si="16"/>
        <v>25.998281194389651</v>
      </c>
      <c r="F48" s="70">
        <f t="shared" ca="1" si="16"/>
        <v>11.042247738965665</v>
      </c>
      <c r="G48" s="70">
        <f t="shared" ca="1" si="16"/>
        <v>1.1198215972123926</v>
      </c>
      <c r="H48" s="70">
        <f t="shared" ca="1" si="16"/>
        <v>1.3563415161769459</v>
      </c>
      <c r="I48" s="70">
        <f t="shared" ca="1" si="16"/>
        <v>0.3583491870585927</v>
      </c>
      <c r="J48" s="70" t="str">
        <f t="shared" si="16"/>
        <v/>
      </c>
      <c r="K48" s="70" t="str">
        <f t="shared" si="16"/>
        <v/>
      </c>
      <c r="L48" s="70" t="str">
        <f t="shared" si="16"/>
        <v/>
      </c>
      <c r="M48" s="70" t="str">
        <f t="shared" si="16"/>
        <v/>
      </c>
      <c r="N48" s="70" t="str">
        <f t="shared" si="16"/>
        <v/>
      </c>
    </row>
    <row r="49" spans="1:31">
      <c r="B49" s="1">
        <v>2014</v>
      </c>
      <c r="C49" s="70">
        <f t="shared" ref="C49:N49" ca="1" si="17">IF($B49+C$43 &lt; LatestYear,C10*(C29-C$38)^2,"")</f>
        <v>193.0713843155082</v>
      </c>
      <c r="D49" s="70">
        <f t="shared" ca="1" si="17"/>
        <v>5.1954261415516649</v>
      </c>
      <c r="E49" s="70">
        <f t="shared" ca="1" si="17"/>
        <v>6.3326854048274006</v>
      </c>
      <c r="F49" s="70">
        <f t="shared" ca="1" si="17"/>
        <v>0.14443251670676369</v>
      </c>
      <c r="G49" s="70">
        <f t="shared" ca="1" si="17"/>
        <v>0.1659071509251242</v>
      </c>
      <c r="H49" s="70">
        <f t="shared" ca="1" si="17"/>
        <v>1.0628148088394351</v>
      </c>
      <c r="I49" s="70" t="str">
        <f t="shared" si="17"/>
        <v/>
      </c>
      <c r="J49" s="70" t="str">
        <f t="shared" si="17"/>
        <v/>
      </c>
      <c r="K49" s="70" t="str">
        <f t="shared" si="17"/>
        <v/>
      </c>
      <c r="L49" s="70" t="str">
        <f t="shared" si="17"/>
        <v/>
      </c>
      <c r="M49" s="70" t="str">
        <f t="shared" si="17"/>
        <v/>
      </c>
      <c r="N49" s="70" t="str">
        <f t="shared" si="17"/>
        <v/>
      </c>
    </row>
    <row r="50" spans="1:31">
      <c r="B50" s="1">
        <v>2015</v>
      </c>
      <c r="C50" s="70">
        <f t="shared" ref="C50:N50" ca="1" si="18">IF($B50+C$43 &lt; LatestYear,C11*(C30-C$38)^2,"")</f>
        <v>4.6258079891187194</v>
      </c>
      <c r="D50" s="70">
        <f t="shared" ca="1" si="18"/>
        <v>5.9772209874277111</v>
      </c>
      <c r="E50" s="70">
        <f t="shared" ca="1" si="18"/>
        <v>31.906783812947747</v>
      </c>
      <c r="F50" s="70">
        <f t="shared" ca="1" si="18"/>
        <v>17.048801143293247</v>
      </c>
      <c r="G50" s="70">
        <f t="shared" ca="1" si="18"/>
        <v>0.5199716374064296</v>
      </c>
      <c r="H50" s="70" t="str">
        <f t="shared" si="18"/>
        <v/>
      </c>
      <c r="I50" s="70" t="str">
        <f t="shared" si="18"/>
        <v/>
      </c>
      <c r="J50" s="70" t="str">
        <f t="shared" si="18"/>
        <v/>
      </c>
      <c r="K50" s="70" t="str">
        <f t="shared" si="18"/>
        <v/>
      </c>
      <c r="L50" s="70" t="str">
        <f t="shared" si="18"/>
        <v/>
      </c>
      <c r="M50" s="70" t="str">
        <f t="shared" si="18"/>
        <v/>
      </c>
      <c r="N50" s="70" t="str">
        <f t="shared" si="18"/>
        <v/>
      </c>
    </row>
    <row r="51" spans="1:31">
      <c r="B51" s="1">
        <v>2016</v>
      </c>
      <c r="C51" s="70">
        <f t="shared" ref="C51:N51" ca="1" si="19">IF($B51+C$43 &lt; LatestYear,C12*(C31-C$38)^2,"")</f>
        <v>133.48299861329619</v>
      </c>
      <c r="D51" s="70">
        <f t="shared" ca="1" si="19"/>
        <v>78.344977260637279</v>
      </c>
      <c r="E51" s="70">
        <f t="shared" ca="1" si="19"/>
        <v>0.55054215442618448</v>
      </c>
      <c r="F51" s="70">
        <f t="shared" ca="1" si="19"/>
        <v>2.705923554929746</v>
      </c>
      <c r="G51" s="70" t="str">
        <f t="shared" si="19"/>
        <v/>
      </c>
      <c r="H51" s="70" t="str">
        <f t="shared" si="19"/>
        <v/>
      </c>
      <c r="I51" s="70" t="str">
        <f t="shared" si="19"/>
        <v/>
      </c>
      <c r="J51" s="70" t="str">
        <f t="shared" si="19"/>
        <v/>
      </c>
      <c r="K51" s="70" t="str">
        <f t="shared" si="19"/>
        <v/>
      </c>
      <c r="L51" s="70" t="str">
        <f t="shared" si="19"/>
        <v/>
      </c>
      <c r="M51" s="70" t="str">
        <f t="shared" si="19"/>
        <v/>
      </c>
      <c r="N51" s="70" t="str">
        <f t="shared" si="19"/>
        <v/>
      </c>
    </row>
    <row r="52" spans="1:31">
      <c r="B52" s="1">
        <v>2017</v>
      </c>
      <c r="C52" s="70">
        <f t="shared" ref="C52:N52" ca="1" si="20">IF($B52+C$43 &lt; LatestYear,C13*(C32-C$38)^2,"")</f>
        <v>1.1039401783080571</v>
      </c>
      <c r="D52" s="70">
        <f t="shared" ca="1" si="20"/>
        <v>0.15724856365372675</v>
      </c>
      <c r="E52" s="70">
        <f t="shared" ca="1" si="20"/>
        <v>7.8791553601963855</v>
      </c>
      <c r="F52" s="70" t="str">
        <f t="shared" si="20"/>
        <v/>
      </c>
      <c r="G52" s="70" t="str">
        <f t="shared" si="20"/>
        <v/>
      </c>
      <c r="H52" s="70" t="str">
        <f t="shared" si="20"/>
        <v/>
      </c>
      <c r="I52" s="70" t="str">
        <f t="shared" si="20"/>
        <v/>
      </c>
      <c r="J52" s="70" t="str">
        <f t="shared" si="20"/>
        <v/>
      </c>
      <c r="K52" s="70" t="str">
        <f t="shared" si="20"/>
        <v/>
      </c>
      <c r="L52" s="70" t="str">
        <f t="shared" si="20"/>
        <v/>
      </c>
      <c r="M52" s="70" t="str">
        <f t="shared" si="20"/>
        <v/>
      </c>
      <c r="N52" s="70" t="str">
        <f t="shared" si="20"/>
        <v/>
      </c>
    </row>
    <row r="53" spans="1:31">
      <c r="B53" s="1">
        <v>2018</v>
      </c>
      <c r="C53" s="70">
        <f t="shared" ref="C53:N53" ca="1" si="21">IF($B53+C$43 &lt; LatestYear,C14*(C33-C$38)^2,"")</f>
        <v>158.37221279698275</v>
      </c>
      <c r="D53" s="70">
        <f t="shared" ca="1" si="21"/>
        <v>7.3583315105229525</v>
      </c>
      <c r="E53" s="70" t="str">
        <f t="shared" si="21"/>
        <v/>
      </c>
      <c r="F53" s="70" t="str">
        <f t="shared" si="21"/>
        <v/>
      </c>
      <c r="G53" s="70" t="str">
        <f t="shared" si="21"/>
        <v/>
      </c>
      <c r="H53" s="70" t="str">
        <f t="shared" si="21"/>
        <v/>
      </c>
      <c r="I53" s="70" t="str">
        <f t="shared" si="21"/>
        <v/>
      </c>
      <c r="J53" s="70" t="str">
        <f t="shared" si="21"/>
        <v/>
      </c>
      <c r="K53" s="70" t="str">
        <f t="shared" si="21"/>
        <v/>
      </c>
      <c r="L53" s="70" t="str">
        <f t="shared" si="21"/>
        <v/>
      </c>
      <c r="M53" s="70" t="str">
        <f t="shared" si="21"/>
        <v/>
      </c>
      <c r="N53" s="70" t="str">
        <f t="shared" si="21"/>
        <v/>
      </c>
    </row>
    <row r="54" spans="1:31">
      <c r="B54" s="1">
        <v>2019</v>
      </c>
      <c r="C54" s="70">
        <f t="shared" ref="C54:N54" ca="1" si="22">IF($B54+C$43 &lt; LatestYear,C15*(C34-C$38)^2,"")</f>
        <v>586.12627588067107</v>
      </c>
      <c r="D54" s="70" t="str">
        <f t="shared" si="22"/>
        <v/>
      </c>
      <c r="E54" s="70" t="str">
        <f t="shared" si="22"/>
        <v/>
      </c>
      <c r="F54" s="70" t="str">
        <f t="shared" si="22"/>
        <v/>
      </c>
      <c r="G54" s="70" t="str">
        <f t="shared" si="22"/>
        <v/>
      </c>
      <c r="H54" s="70" t="str">
        <f t="shared" si="22"/>
        <v/>
      </c>
      <c r="I54" s="70" t="str">
        <f t="shared" si="22"/>
        <v/>
      </c>
      <c r="J54" s="70" t="str">
        <f t="shared" si="22"/>
        <v/>
      </c>
      <c r="K54" s="70" t="str">
        <f t="shared" si="22"/>
        <v/>
      </c>
      <c r="L54" s="70" t="str">
        <f t="shared" si="22"/>
        <v/>
      </c>
      <c r="M54" s="70" t="str">
        <f t="shared" si="22"/>
        <v/>
      </c>
      <c r="N54" s="70" t="str">
        <f t="shared" si="22"/>
        <v/>
      </c>
    </row>
    <row r="55" spans="1:31">
      <c r="B55" s="1">
        <v>2020</v>
      </c>
      <c r="C55" s="70" t="str">
        <f t="shared" ref="C55:N55" si="23">IF($B55+C$43 &lt; LatestYear,C16*(C35-C$38)^2,"")</f>
        <v/>
      </c>
      <c r="D55" s="70" t="str">
        <f t="shared" si="23"/>
        <v/>
      </c>
      <c r="E55" s="70" t="str">
        <f t="shared" si="23"/>
        <v/>
      </c>
      <c r="F55" s="70" t="str">
        <f t="shared" si="23"/>
        <v/>
      </c>
      <c r="G55" s="70" t="str">
        <f t="shared" si="23"/>
        <v/>
      </c>
      <c r="H55" s="70" t="str">
        <f t="shared" si="23"/>
        <v/>
      </c>
      <c r="I55" s="70" t="str">
        <f t="shared" si="23"/>
        <v/>
      </c>
      <c r="J55" s="70" t="str">
        <f t="shared" si="23"/>
        <v/>
      </c>
      <c r="K55" s="70" t="str">
        <f t="shared" si="23"/>
        <v/>
      </c>
      <c r="L55" s="70" t="str">
        <f t="shared" si="23"/>
        <v/>
      </c>
      <c r="M55" s="70" t="str">
        <f t="shared" si="23"/>
        <v/>
      </c>
      <c r="N55" s="70" t="str">
        <f t="shared" si="23"/>
        <v/>
      </c>
      <c r="AC55" s="71"/>
    </row>
    <row r="56" spans="1:31">
      <c r="B56" s="6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</row>
    <row r="57" spans="1:31">
      <c r="A57" s="72"/>
      <c r="B57" s="73" t="s">
        <v>29</v>
      </c>
      <c r="C57" s="74" cm="1">
        <f t="array" aca="1" ref="C57" ca="1">IFERROR(SUM(C44:C55)/((nRow-1)-C$43-1),"")</f>
        <v>185.42439649644899</v>
      </c>
      <c r="D57" s="74" cm="1">
        <f t="array" aca="1" ref="D57" ca="1">IFERROR(SUM(D44:D55)/((nRow-1)-D$43-1),"")</f>
        <v>24.129647835963478</v>
      </c>
      <c r="E57" s="74" cm="1">
        <f t="array" aca="1" ref="E57" ca="1">IFERROR(SUM(E44:E55)/((nRow-1)-E$43-1),"")</f>
        <v>11.384806814916438</v>
      </c>
      <c r="F57" s="74" cm="1">
        <f t="array" aca="1" ref="F57" ca="1">IFERROR(SUM(F44:F55)/((nRow-1)-F$43-1),"")</f>
        <v>5.6263428482328184</v>
      </c>
      <c r="G57" s="74" cm="1">
        <f t="array" aca="1" ref="G57" ca="1">IFERROR(SUM(G44:G55)/((nRow-1)-G$43-1),"")</f>
        <v>3.307460476727806</v>
      </c>
      <c r="H57" s="74" cm="1">
        <f t="array" aca="1" ref="H57" ca="1">IFERROR(SUM(H44:H55)/((nRow-1)-H$43-1),"")</f>
        <v>1.5548478335987954</v>
      </c>
      <c r="I57" s="74" cm="1">
        <f t="array" aca="1" ref="I57" ca="1">IFERROR(SUM(I44:I55)/((nRow-1)-I$43-1),"")</f>
        <v>0.40758079496451327</v>
      </c>
      <c r="J57" s="74" cm="1">
        <f t="array" aca="1" ref="J57" ca="1">IFERROR(SUM(J44:J55)/((nRow-1)-J$43-1),"")</f>
        <v>0.26256248083326894</v>
      </c>
      <c r="K57" s="74" cm="1">
        <f t="array" aca="1" ref="K57" ca="1">IFERROR(SUM(K44:K55)/((nRow-1)-K$43-1),"")</f>
        <v>0.79414925075348841</v>
      </c>
      <c r="L57" s="74" cm="1">
        <f t="array" aca="1" ref="L57" ca="1">IFERROR(SUM(L44:L55)/((nRow-1)-L$43-1),"")</f>
        <v>9.251674083861898E-2</v>
      </c>
      <c r="M57" s="74" t="str" cm="1">
        <f t="array" aca="1" ref="M57" ca="1">IFERROR(SUM(M44:M55)/((nRow-1)-M$43-1),"")</f>
        <v/>
      </c>
      <c r="N57" s="67"/>
      <c r="O57" s="66"/>
      <c r="P57" s="68"/>
      <c r="V57" s="75"/>
    </row>
    <row r="58" spans="1:31" ht="26.25">
      <c r="A58" s="72"/>
      <c r="B58" s="76" t="s">
        <v>28</v>
      </c>
      <c r="C58" s="77">
        <f t="shared" ref="C58:M58" ca="1" si="24">IF(C57&lt;&gt;"",C57,MIN(B58,A58,B58^2/A58))</f>
        <v>185.42439649644899</v>
      </c>
      <c r="D58" s="77">
        <f t="shared" ca="1" si="24"/>
        <v>24.129647835963478</v>
      </c>
      <c r="E58" s="77">
        <f t="shared" ca="1" si="24"/>
        <v>11.384806814916438</v>
      </c>
      <c r="F58" s="77">
        <f t="shared" ca="1" si="24"/>
        <v>5.6263428482328184</v>
      </c>
      <c r="G58" s="77">
        <f t="shared" ca="1" si="24"/>
        <v>3.307460476727806</v>
      </c>
      <c r="H58" s="77">
        <f t="shared" ca="1" si="24"/>
        <v>1.5548478335987954</v>
      </c>
      <c r="I58" s="77">
        <f t="shared" ca="1" si="24"/>
        <v>0.40758079496451327</v>
      </c>
      <c r="J58" s="77">
        <f t="shared" ca="1" si="24"/>
        <v>0.26256248083326894</v>
      </c>
      <c r="K58" s="77">
        <f t="shared" ca="1" si="24"/>
        <v>0.79414925075348841</v>
      </c>
      <c r="L58" s="77">
        <f t="shared" ca="1" si="24"/>
        <v>9.251674083861898E-2</v>
      </c>
      <c r="M58" s="77">
        <f t="shared" ca="1" si="24"/>
        <v>1.0778008450274408E-2</v>
      </c>
      <c r="N58" s="67"/>
      <c r="O58" s="66"/>
      <c r="P58" s="68"/>
      <c r="U58" s="60" t="s">
        <v>11</v>
      </c>
      <c r="V58" s="75" t="s">
        <v>27</v>
      </c>
      <c r="W58" s="75" t="s">
        <v>26</v>
      </c>
      <c r="X58" s="75" t="s">
        <v>8</v>
      </c>
      <c r="Y58" s="75" t="s">
        <v>25</v>
      </c>
      <c r="Z58" s="78" t="s">
        <v>24</v>
      </c>
      <c r="AA58" s="75" t="s">
        <v>23</v>
      </c>
      <c r="AB58" s="78" t="s">
        <v>22</v>
      </c>
      <c r="AC58" s="78" t="s">
        <v>21</v>
      </c>
      <c r="AD58" s="75" t="s">
        <v>20</v>
      </c>
      <c r="AE58" s="75" t="s">
        <v>19</v>
      </c>
    </row>
    <row r="59" spans="1:31">
      <c r="A59" s="72"/>
      <c r="B59" s="73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67"/>
      <c r="O59" s="66"/>
      <c r="P59" s="68"/>
      <c r="U59" s="3">
        <v>2009</v>
      </c>
      <c r="V59" s="2" cm="1">
        <f t="array" aca="1" ref="V59" ca="1">OFFSET(O5,0,LatestYear-B5-nRow)</f>
        <v>86842.7012923</v>
      </c>
      <c r="W59" s="80">
        <f t="shared" ref="W59:W70" ca="1" si="25">V59*OFFSET($B$39,0,LatestYear-U59+1)</f>
        <v>86842.7012923</v>
      </c>
      <c r="X59" s="81">
        <f t="shared" ref="X59:X70" ca="1" si="26">W59-V59</f>
        <v>0</v>
      </c>
      <c r="Y59" s="82">
        <f t="shared" ref="Y59:Y70" ca="1" si="27">(OFFSET($B$61,0,LatestYear-U59+1)*W59)^0.5</f>
        <v>0</v>
      </c>
      <c r="Z59" s="83" t="str">
        <f t="shared" ref="Z59:Z70" ca="1" si="28">IFERROR(Y59/X59,"")</f>
        <v/>
      </c>
      <c r="AA59" s="82">
        <f t="shared" ref="AA59:AA70" ca="1" si="29">OFFSET($B$63, 0, LatestYear +1 - U59 )^(0.5)*W59</f>
        <v>0</v>
      </c>
      <c r="AB59" s="83" t="str">
        <f t="shared" ref="AB59:AB70" ca="1" si="30">IFERROR(AA59/X59,"")</f>
        <v/>
      </c>
      <c r="AC59" s="80">
        <f t="shared" ref="AC59:AC70" ca="1" si="31">W59*SUM(D71:O71)*OFFSET($B$63, 0, LatestYear +1 - U59 )</f>
        <v>0</v>
      </c>
      <c r="AD59" s="84">
        <f t="shared" ref="AD59:AD70" ca="1" si="32">SUMSQ(Y59,AA59)^0.5</f>
        <v>0</v>
      </c>
      <c r="AE59" s="83" t="str">
        <f t="shared" ref="AE59:AE70" ca="1" si="33">IFERROR(AD59/X59, "")</f>
        <v/>
      </c>
    </row>
    <row r="60" spans="1:31">
      <c r="A60" s="85"/>
      <c r="B60" s="86" t="s">
        <v>18</v>
      </c>
      <c r="C60" s="87">
        <f ca="1">C58*C39/C38^2</f>
        <v>131.68422946213576</v>
      </c>
      <c r="D60" s="87">
        <f t="shared" ref="D60:M60" ca="1" si="34">D58*D39/D38^2</f>
        <v>24.462213407880839</v>
      </c>
      <c r="E60" s="87">
        <f t="shared" ca="1" si="34"/>
        <v>12.029769051432941</v>
      </c>
      <c r="F60" s="87">
        <f t="shared" ca="1" si="34"/>
        <v>5.9497225972887291</v>
      </c>
      <c r="G60" s="87">
        <f t="shared" ca="1" si="34"/>
        <v>3.4552109529699169</v>
      </c>
      <c r="H60" s="87">
        <f t="shared" ca="1" si="34"/>
        <v>1.613549120908556</v>
      </c>
      <c r="I60" s="87">
        <f t="shared" ca="1" si="34"/>
        <v>0.41956640578753418</v>
      </c>
      <c r="J60" s="87">
        <f t="shared" ca="1" si="34"/>
        <v>0.26863371096042843</v>
      </c>
      <c r="K60" s="87">
        <f t="shared" ca="1" si="34"/>
        <v>0.80887428598788547</v>
      </c>
      <c r="L60" s="87">
        <f t="shared" ca="1" si="34"/>
        <v>9.4085168988540108E-2</v>
      </c>
      <c r="M60" s="87">
        <f t="shared" ca="1" si="34"/>
        <v>1.0555203242660493E-2</v>
      </c>
      <c r="N60" s="87">
        <v>0</v>
      </c>
      <c r="U60" s="3">
        <v>2010</v>
      </c>
      <c r="V60" s="2" cm="1">
        <f t="array" aca="1" ref="V60" ca="1">OFFSET(O6,0,LatestYear-B6-nRow)</f>
        <v>96325.02158249999</v>
      </c>
      <c r="W60" s="80">
        <f t="shared" ca="1" si="25"/>
        <v>98358.304688348959</v>
      </c>
      <c r="X60" s="81">
        <f t="shared" ca="1" si="26"/>
        <v>2033.2831058489683</v>
      </c>
      <c r="Y60" s="82">
        <f t="shared" ca="1" si="27"/>
        <v>32.220985344788104</v>
      </c>
      <c r="Z60" s="83">
        <f t="shared" ca="1" si="28"/>
        <v>1.5846777682901513E-2</v>
      </c>
      <c r="AA60" s="82">
        <f ca="1">OFFSET($B$63, 0, LatestYear +1 - U60 )^(0.5)*W60</f>
        <v>34.290804375822624</v>
      </c>
      <c r="AB60" s="83">
        <f ca="1">IFERROR(AA60/X60,"")</f>
        <v>1.6864746614566981E-2</v>
      </c>
      <c r="AC60" s="80">
        <f t="shared" ca="1" si="31"/>
        <v>16747.219690567035</v>
      </c>
      <c r="AD60" s="84">
        <f t="shared" ca="1" si="32"/>
        <v>47.053705075477168</v>
      </c>
      <c r="AE60" s="83">
        <f t="shared" ca="1" si="33"/>
        <v>2.3141738078736738E-2</v>
      </c>
    </row>
    <row r="61" spans="1:31">
      <c r="A61" s="85"/>
      <c r="B61" s="86" t="s">
        <v>17</v>
      </c>
      <c r="C61" s="87">
        <f ca="1">SUM(C60:$N$60)</f>
        <v>180.79640936758372</v>
      </c>
      <c r="D61" s="87">
        <f ca="1">SUM(D60:$N$60)</f>
        <v>49.112179905448031</v>
      </c>
      <c r="E61" s="87">
        <f ca="1">SUM(E60:$N$60)</f>
        <v>24.649966497567192</v>
      </c>
      <c r="F61" s="87">
        <f ca="1">SUM(F60:$N$60)</f>
        <v>12.620197446134251</v>
      </c>
      <c r="G61" s="87">
        <f ca="1">SUM(G60:$N$60)</f>
        <v>6.6704748488455206</v>
      </c>
      <c r="H61" s="87">
        <f ca="1">SUM(H60:$N$60)</f>
        <v>3.2152638958756046</v>
      </c>
      <c r="I61" s="87">
        <f ca="1">SUM(I60:$N$60)</f>
        <v>1.6017147749670486</v>
      </c>
      <c r="J61" s="87">
        <f ca="1">SUM(J60:$N$60)</f>
        <v>1.1821483691795145</v>
      </c>
      <c r="K61" s="87">
        <f ca="1">SUM(K60:$N$60)</f>
        <v>0.91351465821908606</v>
      </c>
      <c r="L61" s="87">
        <f ca="1">SUM(L60:$N$60)</f>
        <v>0.1046403722312006</v>
      </c>
      <c r="M61" s="87">
        <f ca="1">SUM(M60:$N$60)</f>
        <v>1.0555203242660493E-2</v>
      </c>
      <c r="N61" s="87">
        <f>SUM(N60:$N$60)</f>
        <v>0</v>
      </c>
      <c r="O61" s="66"/>
      <c r="P61" s="68"/>
      <c r="U61" s="3">
        <v>2011</v>
      </c>
      <c r="V61" s="2" cm="1">
        <f t="array" aca="1" ref="V61" ca="1">OFFSET(O7,0,LatestYear-B7-nRow)</f>
        <v>105007.48487610002</v>
      </c>
      <c r="W61" s="80">
        <f t="shared" ca="1" si="25"/>
        <v>107662.20035267335</v>
      </c>
      <c r="X61" s="81">
        <f t="shared" ca="1" si="26"/>
        <v>2654.7154765733285</v>
      </c>
      <c r="Y61" s="82">
        <f t="shared" ca="1" si="27"/>
        <v>106.14053288039322</v>
      </c>
      <c r="Z61" s="83">
        <f t="shared" ca="1" si="28"/>
        <v>3.9981886502352418E-2</v>
      </c>
      <c r="AA61" s="82">
        <f t="shared" ca="1" si="29"/>
        <v>85.424405934120017</v>
      </c>
      <c r="AB61" s="83">
        <f t="shared" ca="1" si="30"/>
        <v>3.2178365888153371E-2</v>
      </c>
      <c r="AC61" s="80">
        <f t="shared" ca="1" si="31"/>
        <v>87653.571774438853</v>
      </c>
      <c r="AD61" s="84">
        <f t="shared" ca="1" si="32"/>
        <v>136.24662142354634</v>
      </c>
      <c r="AE61" s="83">
        <f t="shared" ca="1" si="33"/>
        <v>5.1322494868418694E-2</v>
      </c>
    </row>
    <row r="62" spans="1:31">
      <c r="A62" s="85"/>
      <c r="B62" s="86" t="s">
        <v>16</v>
      </c>
      <c r="C62" s="88">
        <f t="shared" ref="C62:N62" ca="1" si="35">IFERROR((C58/C38^2)/SUM(OFFSET(C$4,1,0,nRow-1-C4)),0)</f>
        <v>9.3283787458325469E-5</v>
      </c>
      <c r="D62" s="88">
        <f t="shared" ca="1" si="35"/>
        <v>1.9558527307248049E-5</v>
      </c>
      <c r="E62" s="88">
        <f t="shared" ca="1" si="35"/>
        <v>1.0897148691091133E-5</v>
      </c>
      <c r="F62" s="88">
        <f t="shared" ca="1" si="35"/>
        <v>6.1775257259632516E-6</v>
      </c>
      <c r="G62" s="88">
        <f t="shared" ca="1" si="35"/>
        <v>4.2073960951616474E-6</v>
      </c>
      <c r="H62" s="88">
        <f t="shared" ca="1" si="35"/>
        <v>2.3957943534679181E-6</v>
      </c>
      <c r="I62" s="88">
        <f t="shared" ca="1" si="35"/>
        <v>7.8516953616848877E-7</v>
      </c>
      <c r="J62" s="88">
        <f t="shared" ca="1" si="35"/>
        <v>6.5326879946582901E-7</v>
      </c>
      <c r="K62" s="88">
        <f t="shared" ca="1" si="35"/>
        <v>2.7619525720389236E-6</v>
      </c>
      <c r="L62" s="88">
        <f t="shared" ca="1" si="35"/>
        <v>5.080165115213832E-7</v>
      </c>
      <c r="M62" s="88">
        <f t="shared" ca="1" si="35"/>
        <v>1.2154393041198942E-7</v>
      </c>
      <c r="N62" s="88">
        <f t="shared" ca="1" si="35"/>
        <v>0</v>
      </c>
      <c r="O62" s="66"/>
      <c r="P62" s="68"/>
      <c r="U62" s="3">
        <v>2012</v>
      </c>
      <c r="V62" s="2" cm="1">
        <f t="array" aca="1" ref="V62" ca="1">OFFSET(O8,0,LatestYear-B8-nRow)</f>
        <v>114674.41313589999</v>
      </c>
      <c r="W62" s="80">
        <f t="shared" ca="1" si="25"/>
        <v>118351.45932970551</v>
      </c>
      <c r="X62" s="81">
        <f t="shared" ca="1" si="26"/>
        <v>3677.0461938055232</v>
      </c>
      <c r="Y62" s="82">
        <f t="shared" ca="1" si="27"/>
        <v>328.8096606234464</v>
      </c>
      <c r="Z62" s="83">
        <f t="shared" ca="1" si="28"/>
        <v>8.9422227324032627E-2</v>
      </c>
      <c r="AA62" s="82">
        <f t="shared" ca="1" si="29"/>
        <v>217.95676900896797</v>
      </c>
      <c r="AB62" s="83">
        <f t="shared" ca="1" si="30"/>
        <v>5.9274960803088451E-2</v>
      </c>
      <c r="AC62" s="80">
        <f t="shared" ca="1" si="31"/>
        <v>471576.93129331537</v>
      </c>
      <c r="AD62" s="84">
        <f t="shared" ca="1" si="32"/>
        <v>394.48820777829928</v>
      </c>
      <c r="AE62" s="83">
        <f t="shared" ca="1" si="33"/>
        <v>0.10728399562748694</v>
      </c>
    </row>
    <row r="63" spans="1:31">
      <c r="A63" s="85"/>
      <c r="B63" s="86" t="s">
        <v>15</v>
      </c>
      <c r="C63" s="88">
        <f ca="1">SUM(C62:$N$62)</f>
        <v>1.4135013098086406E-4</v>
      </c>
      <c r="D63" s="88">
        <f ca="1">SUM(D62:$N$62)</f>
        <v>4.8066343522538611E-5</v>
      </c>
      <c r="E63" s="88">
        <f ca="1">SUM(E62:$N$62)</f>
        <v>2.8507816215290566E-5</v>
      </c>
      <c r="F63" s="88">
        <f ca="1">SUM(F62:$N$62)</f>
        <v>1.7610667524199432E-5</v>
      </c>
      <c r="G63" s="88">
        <f ca="1">SUM(G62:$N$62)</f>
        <v>1.143314179823618E-5</v>
      </c>
      <c r="H63" s="88">
        <f ca="1">SUM(H62:$N$62)</f>
        <v>7.2257457030745317E-6</v>
      </c>
      <c r="I63" s="88">
        <f ca="1">SUM(I62:$N$62)</f>
        <v>4.8299513496066136E-6</v>
      </c>
      <c r="J63" s="88">
        <f ca="1">SUM(J62:$N$62)</f>
        <v>4.044781813438125E-6</v>
      </c>
      <c r="K63" s="88">
        <f ca="1">SUM(K62:$N$62)</f>
        <v>3.3915130139722966E-6</v>
      </c>
      <c r="L63" s="88">
        <f ca="1">SUM(L62:$N$62)</f>
        <v>6.2956044193337265E-7</v>
      </c>
      <c r="M63" s="88">
        <f ca="1">SUM(M62:$N$62)</f>
        <v>1.2154393041198942E-7</v>
      </c>
      <c r="N63" s="87">
        <f ca="1">SUM(N62:$N$62)</f>
        <v>0</v>
      </c>
      <c r="U63" s="3">
        <v>2013</v>
      </c>
      <c r="V63" s="2" cm="1">
        <f t="array" aca="1" ref="V63" ca="1">OFFSET(O9,0,LatestYear-B9-nRow)</f>
        <v>118289.46107000002</v>
      </c>
      <c r="W63" s="80">
        <f t="shared" ca="1" si="25"/>
        <v>123149.42573429785</v>
      </c>
      <c r="X63" s="81">
        <f t="shared" ca="1" si="26"/>
        <v>4859.9646642978332</v>
      </c>
      <c r="Y63" s="82">
        <f t="shared" ca="1" si="27"/>
        <v>381.55064250659296</v>
      </c>
      <c r="Z63" s="83">
        <f t="shared" ca="1" si="28"/>
        <v>7.850893347219827E-2</v>
      </c>
      <c r="AA63" s="82">
        <f t="shared" ca="1" si="29"/>
        <v>247.67372774027316</v>
      </c>
      <c r="AB63" s="83">
        <f t="shared" ca="1" si="30"/>
        <v>5.0962042905317508E-2</v>
      </c>
      <c r="AC63" s="80">
        <f t="shared" ca="1" si="31"/>
        <v>523869.33975343918</v>
      </c>
      <c r="AD63" s="84">
        <f t="shared" ca="1" si="32"/>
        <v>454.88808316986808</v>
      </c>
      <c r="AE63" s="83">
        <f t="shared" ca="1" si="33"/>
        <v>9.3599051555159865E-2</v>
      </c>
    </row>
    <row r="64" spans="1:31">
      <c r="U64" s="3">
        <v>2014</v>
      </c>
      <c r="V64" s="2" cm="1">
        <f t="array" aca="1" ref="V64" ca="1">OFFSET(O10,0,LatestYear-B10-nRow)</f>
        <v>132138.57105614999</v>
      </c>
      <c r="W64" s="80">
        <f t="shared" ca="1" si="25"/>
        <v>139128.238431793</v>
      </c>
      <c r="X64" s="81">
        <f t="shared" ca="1" si="26"/>
        <v>6989.66737564301</v>
      </c>
      <c r="Y64" s="82">
        <f t="shared" ca="1" si="27"/>
        <v>472.06329566207665</v>
      </c>
      <c r="Z64" s="83">
        <f t="shared" ca="1" si="28"/>
        <v>6.7537304751737123E-2</v>
      </c>
      <c r="AA64" s="82">
        <f t="shared" ca="1" si="29"/>
        <v>305.76422058878217</v>
      </c>
      <c r="AB64" s="83">
        <f t="shared" ca="1" si="30"/>
        <v>4.3745174720943511E-2</v>
      </c>
      <c r="AC64" s="80">
        <f t="shared" ca="1" si="31"/>
        <v>613238.25191398105</v>
      </c>
      <c r="AD64" s="84">
        <f t="shared" ca="1" si="32"/>
        <v>562.43711977749706</v>
      </c>
      <c r="AE64" s="83">
        <f t="shared" ca="1" si="33"/>
        <v>8.0466936343413051E-2</v>
      </c>
    </row>
    <row r="65" spans="2:31">
      <c r="U65" s="3">
        <v>2015</v>
      </c>
      <c r="V65" s="2" cm="1">
        <f t="array" aca="1" ref="V65" ca="1">OFFSET(O11,0,LatestYear-B11-nRow)</f>
        <v>138291.0141644</v>
      </c>
      <c r="W65" s="80">
        <f t="shared" ca="1" si="25"/>
        <v>147730.79127024306</v>
      </c>
      <c r="X65" s="81">
        <f t="shared" ca="1" si="26"/>
        <v>9439.7771058430662</v>
      </c>
      <c r="Y65" s="82">
        <f t="shared" ca="1" si="27"/>
        <v>689.19770710613034</v>
      </c>
      <c r="Z65" s="83">
        <f t="shared" ca="1" si="28"/>
        <v>7.3009955571888274E-2</v>
      </c>
      <c r="AA65" s="82">
        <f t="shared" ca="1" si="29"/>
        <v>397.11140545529366</v>
      </c>
      <c r="AB65" s="83">
        <f t="shared" ca="1" si="30"/>
        <v>4.2067879463964064E-2</v>
      </c>
      <c r="AC65" s="80">
        <f t="shared" ca="1" si="31"/>
        <v>816450.41592571209</v>
      </c>
      <c r="AD65" s="84">
        <f t="shared" ca="1" si="32"/>
        <v>795.41872483807299</v>
      </c>
      <c r="AE65" s="83">
        <f t="shared" ca="1" si="33"/>
        <v>8.4262447716665037E-2</v>
      </c>
    </row>
    <row r="66" spans="2:31">
      <c r="O66" s="70"/>
      <c r="U66" s="3">
        <v>2016</v>
      </c>
      <c r="V66" s="2" cm="1">
        <f t="array" aca="1" ref="V66" ca="1">OFFSET(O12,0,LatestYear-B12-nRow)</f>
        <v>129900.41042400002</v>
      </c>
      <c r="W66" s="80">
        <f t="shared" ca="1" si="25"/>
        <v>141900.76720480138</v>
      </c>
      <c r="X66" s="81">
        <f t="shared" ca="1" si="26"/>
        <v>12000.356780801361</v>
      </c>
      <c r="Y66" s="82">
        <f t="shared" ca="1" si="27"/>
        <v>972.90569875579968</v>
      </c>
      <c r="Z66" s="83">
        <f t="shared" ca="1" si="28"/>
        <v>8.1073064453574595E-2</v>
      </c>
      <c r="AA66" s="82">
        <f t="shared" ca="1" si="29"/>
        <v>479.80805922764984</v>
      </c>
      <c r="AB66" s="83">
        <f t="shared" ca="1" si="30"/>
        <v>3.9982816177204457E-2</v>
      </c>
      <c r="AC66" s="80">
        <f t="shared" ca="1" si="31"/>
        <v>1010654.699870099</v>
      </c>
      <c r="AD66" s="84">
        <f t="shared" ca="1" si="32"/>
        <v>1084.7862795829024</v>
      </c>
      <c r="AE66" s="83">
        <f t="shared" ca="1" si="33"/>
        <v>9.0396168997107298E-2</v>
      </c>
    </row>
    <row r="67" spans="2:31">
      <c r="B67" s="57"/>
      <c r="C67" s="57"/>
      <c r="D67" s="57" t="s">
        <v>14</v>
      </c>
      <c r="E67" s="5" t="s">
        <v>13</v>
      </c>
      <c r="F67" s="57"/>
      <c r="G67" s="57"/>
      <c r="H67" s="57"/>
      <c r="I67" s="57"/>
      <c r="J67" s="57"/>
      <c r="K67" s="57"/>
      <c r="L67" s="57"/>
      <c r="M67" s="57"/>
      <c r="N67" s="57"/>
      <c r="O67" s="70"/>
      <c r="U67" s="3">
        <v>2017</v>
      </c>
      <c r="V67" s="2" cm="1">
        <f t="array" aca="1" ref="V67" ca="1">OFFSET(O13,0,LatestYear-B13-nRow)</f>
        <v>124786.08131000001</v>
      </c>
      <c r="W67" s="80">
        <f t="shared" ca="1" si="25"/>
        <v>140813.42524903908</v>
      </c>
      <c r="X67" s="81">
        <f t="shared" ca="1" si="26"/>
        <v>16027.34393903907</v>
      </c>
      <c r="Y67" s="82">
        <f t="shared" ca="1" si="27"/>
        <v>1333.0766030912623</v>
      </c>
      <c r="Z67" s="83">
        <f t="shared" ca="1" si="28"/>
        <v>8.3175141692952759E-2</v>
      </c>
      <c r="AA67" s="82">
        <f t="shared" ca="1" si="29"/>
        <v>590.92446641887489</v>
      </c>
      <c r="AB67" s="83">
        <f t="shared" ca="1" si="30"/>
        <v>3.6869768856679579E-2</v>
      </c>
      <c r="AC67" s="80">
        <f t="shared" ca="1" si="31"/>
        <v>1195608.5828688904</v>
      </c>
      <c r="AD67" s="84">
        <f t="shared" ca="1" si="32"/>
        <v>1458.1786429384333</v>
      </c>
      <c r="AE67" s="83">
        <f t="shared" ca="1" si="33"/>
        <v>9.0980679548944607E-2</v>
      </c>
    </row>
    <row r="68" spans="2:31">
      <c r="B68" s="57"/>
      <c r="D68" s="59" t="s">
        <v>12</v>
      </c>
      <c r="F68" s="57"/>
      <c r="G68" s="57"/>
      <c r="H68" s="57"/>
      <c r="I68" s="57"/>
      <c r="J68" s="57"/>
      <c r="K68" s="57"/>
      <c r="L68" s="57"/>
      <c r="M68" s="57"/>
      <c r="N68" s="57"/>
      <c r="O68" s="57"/>
      <c r="U68" s="3">
        <v>2018</v>
      </c>
      <c r="V68" s="2" cm="1">
        <f t="array" aca="1" ref="V68" ca="1">OFFSET(O14,0,LatestYear-B14-nRow)</f>
        <v>121799.75327999999</v>
      </c>
      <c r="W68" s="80">
        <f t="shared" ca="1" si="25"/>
        <v>146781.26170555825</v>
      </c>
      <c r="X68" s="81">
        <f t="shared" ca="1" si="26"/>
        <v>24981.508425558262</v>
      </c>
      <c r="Y68" s="82">
        <f t="shared" ca="1" si="27"/>
        <v>1902.1443645298464</v>
      </c>
      <c r="Z68" s="83">
        <f t="shared" ca="1" si="28"/>
        <v>7.6142094069219082E-2</v>
      </c>
      <c r="AA68" s="82">
        <f t="shared" ca="1" si="29"/>
        <v>783.7049532644279</v>
      </c>
      <c r="AB68" s="83">
        <f t="shared" ca="1" si="30"/>
        <v>3.1371402395486629E-2</v>
      </c>
      <c r="AC68" s="80">
        <f t="shared" ca="1" si="31"/>
        <v>1403260.8666083068</v>
      </c>
      <c r="AD68" s="84">
        <f t="shared" ca="1" si="32"/>
        <v>2057.2667880670829</v>
      </c>
      <c r="AE68" s="83">
        <f t="shared" ca="1" si="33"/>
        <v>8.2351583940476522E-2</v>
      </c>
    </row>
    <row r="69" spans="2:31">
      <c r="D69" s="4">
        <v>0</v>
      </c>
      <c r="E69" s="4">
        <v>1</v>
      </c>
      <c r="F69" s="4">
        <v>2</v>
      </c>
      <c r="G69" s="4">
        <v>3</v>
      </c>
      <c r="H69" s="4">
        <v>4</v>
      </c>
      <c r="I69" s="4">
        <v>5</v>
      </c>
      <c r="J69" s="4">
        <v>6</v>
      </c>
      <c r="K69" s="4">
        <v>7</v>
      </c>
      <c r="L69" s="4">
        <v>8</v>
      </c>
      <c r="M69" s="4">
        <v>9</v>
      </c>
      <c r="N69" s="4">
        <v>10</v>
      </c>
      <c r="O69" s="4">
        <v>11</v>
      </c>
      <c r="U69" s="3">
        <v>2019</v>
      </c>
      <c r="V69" s="2" cm="1">
        <f t="array" aca="1" ref="V69" ca="1">OFFSET(O15,0,LatestYear-B15-nRow)</f>
        <v>112342</v>
      </c>
      <c r="W69" s="80">
        <f t="shared" ca="1" si="25"/>
        <v>160933.25674865756</v>
      </c>
      <c r="X69" s="81">
        <f t="shared" ca="1" si="26"/>
        <v>48591.256748657557</v>
      </c>
      <c r="Y69" s="82">
        <f t="shared" ca="1" si="27"/>
        <v>2811.36675981803</v>
      </c>
      <c r="Z69" s="83">
        <f t="shared" ca="1" si="28"/>
        <v>5.7857461361002983E-2</v>
      </c>
      <c r="AA69" s="82">
        <f t="shared" ca="1" si="29"/>
        <v>1115.7485805789477</v>
      </c>
      <c r="AB69" s="83">
        <f t="shared" ca="1" si="30"/>
        <v>2.2961920625972958E-2</v>
      </c>
      <c r="AC69" s="80">
        <f t="shared" ca="1" si="31"/>
        <v>1349229.114042507</v>
      </c>
      <c r="AD69" s="84">
        <f t="shared" ca="1" si="32"/>
        <v>3024.6781569736745</v>
      </c>
      <c r="AE69" s="83">
        <f t="shared" ca="1" si="33"/>
        <v>6.2247374514700901E-2</v>
      </c>
    </row>
    <row r="70" spans="2:31">
      <c r="B70" s="60" t="s">
        <v>11</v>
      </c>
      <c r="C70" s="75" t="s">
        <v>10</v>
      </c>
      <c r="D70" s="89" cm="1">
        <f t="array" aca="1" ref="D70:O70" ca="1">TRANSPOSE(C71:C82)</f>
        <v>86842.7012923</v>
      </c>
      <c r="E70" s="89">
        <f ca="1"/>
        <v>98358.304688348959</v>
      </c>
      <c r="F70" s="89">
        <f ca="1"/>
        <v>107662.20035267335</v>
      </c>
      <c r="G70" s="89">
        <f ca="1"/>
        <v>118351.45932970551</v>
      </c>
      <c r="H70" s="89">
        <f ca="1"/>
        <v>123149.42573429785</v>
      </c>
      <c r="I70" s="89">
        <f ca="1"/>
        <v>139128.238431793</v>
      </c>
      <c r="J70" s="89">
        <f ca="1"/>
        <v>147730.79127024306</v>
      </c>
      <c r="K70" s="89">
        <f ca="1"/>
        <v>141900.76720480138</v>
      </c>
      <c r="L70" s="89">
        <f ca="1"/>
        <v>140813.42524903908</v>
      </c>
      <c r="M70" s="89">
        <f ca="1"/>
        <v>146781.26170555825</v>
      </c>
      <c r="N70" s="89">
        <f ca="1"/>
        <v>160933.25674865756</v>
      </c>
      <c r="O70" s="89">
        <f ca="1"/>
        <v>174421.01842004474</v>
      </c>
      <c r="U70" s="3">
        <v>2020</v>
      </c>
      <c r="V70" s="2" cm="1">
        <f t="array" aca="1" ref="V70" ca="1">OFFSET(O16,0,LatestYear-B16-nRow)</f>
        <v>60361.276160000001</v>
      </c>
      <c r="W70" s="80">
        <f t="shared" ca="1" si="25"/>
        <v>174421.01842004474</v>
      </c>
      <c r="X70" s="81">
        <f t="shared" ca="1" si="26"/>
        <v>114059.74226004473</v>
      </c>
      <c r="Y70" s="82">
        <f t="shared" ca="1" si="27"/>
        <v>5615.5760032770695</v>
      </c>
      <c r="Z70" s="83">
        <f t="shared" ca="1" si="28"/>
        <v>4.9233637495639096E-2</v>
      </c>
      <c r="AA70" s="82">
        <f t="shared" ca="1" si="29"/>
        <v>2073.7047648776934</v>
      </c>
      <c r="AB70" s="83">
        <f t="shared" ca="1" si="30"/>
        <v>1.8180864902796776E-2</v>
      </c>
      <c r="AC70" s="80">
        <f t="shared" ca="1" si="31"/>
        <v>0</v>
      </c>
      <c r="AD70" s="84">
        <f t="shared" ca="1" si="32"/>
        <v>5986.2296398031467</v>
      </c>
      <c r="AE70" s="83">
        <f t="shared" ca="1" si="33"/>
        <v>5.2483282192196661E-2</v>
      </c>
    </row>
    <row r="71" spans="2:31">
      <c r="B71" s="1">
        <v>2009</v>
      </c>
      <c r="C71" s="90">
        <f ca="1">W59</f>
        <v>86842.7012923</v>
      </c>
      <c r="D71" s="68" t="str" cm="1">
        <f t="array" ref="D71">IF($B71+nCol-LatestYear &lt;D$69,D$70,"")</f>
        <v/>
      </c>
      <c r="E71" s="68">
        <f t="shared" ref="E71:O82" ca="1" si="36">IF($B71+nCol-LatestYear &lt;E$69,E$70,"")</f>
        <v>98358.304688348959</v>
      </c>
      <c r="F71" s="68">
        <f t="shared" ca="1" si="36"/>
        <v>107662.20035267335</v>
      </c>
      <c r="G71" s="68">
        <f t="shared" ca="1" si="36"/>
        <v>118351.45932970551</v>
      </c>
      <c r="H71" s="68">
        <f t="shared" ca="1" si="36"/>
        <v>123149.42573429785</v>
      </c>
      <c r="I71" s="68">
        <f t="shared" ca="1" si="36"/>
        <v>139128.238431793</v>
      </c>
      <c r="J71" s="68">
        <f t="shared" ca="1" si="36"/>
        <v>147730.79127024306</v>
      </c>
      <c r="K71" s="68">
        <f t="shared" ca="1" si="36"/>
        <v>141900.76720480138</v>
      </c>
      <c r="L71" s="68">
        <f t="shared" ca="1" si="36"/>
        <v>140813.42524903908</v>
      </c>
      <c r="M71" s="68">
        <f t="shared" ca="1" si="36"/>
        <v>146781.26170555825</v>
      </c>
      <c r="N71" s="68">
        <f t="shared" ca="1" si="36"/>
        <v>160933.25674865756</v>
      </c>
      <c r="O71" s="68">
        <f t="shared" ca="1" si="36"/>
        <v>174421.01842004474</v>
      </c>
      <c r="AD71" s="91"/>
    </row>
    <row r="72" spans="2:31">
      <c r="B72" s="1">
        <v>2010</v>
      </c>
      <c r="C72" s="90">
        <f t="shared" ref="C72:C82" ca="1" si="37">W60</f>
        <v>98358.304688348959</v>
      </c>
      <c r="D72" s="68" t="str">
        <f t="shared" ref="D72:D82" si="38">IF($B72+nCol-LatestYear &lt;D$69,D$70,"")</f>
        <v/>
      </c>
      <c r="E72" s="68" t="str">
        <f t="shared" si="36"/>
        <v/>
      </c>
      <c r="F72" s="68">
        <f t="shared" ca="1" si="36"/>
        <v>107662.20035267335</v>
      </c>
      <c r="G72" s="68">
        <f t="shared" ca="1" si="36"/>
        <v>118351.45932970551</v>
      </c>
      <c r="H72" s="68">
        <f t="shared" ca="1" si="36"/>
        <v>123149.42573429785</v>
      </c>
      <c r="I72" s="68">
        <f t="shared" ca="1" si="36"/>
        <v>139128.238431793</v>
      </c>
      <c r="J72" s="68">
        <f t="shared" ca="1" si="36"/>
        <v>147730.79127024306</v>
      </c>
      <c r="K72" s="68">
        <f t="shared" ca="1" si="36"/>
        <v>141900.76720480138</v>
      </c>
      <c r="L72" s="68">
        <f t="shared" ca="1" si="36"/>
        <v>140813.42524903908</v>
      </c>
      <c r="M72" s="68">
        <f t="shared" ca="1" si="36"/>
        <v>146781.26170555825</v>
      </c>
      <c r="N72" s="68">
        <f t="shared" ca="1" si="36"/>
        <v>160933.25674865756</v>
      </c>
      <c r="O72" s="68">
        <f t="shared" ca="1" si="36"/>
        <v>174421.01842004474</v>
      </c>
      <c r="U72" s="3" t="s">
        <v>9</v>
      </c>
      <c r="V72" s="2">
        <f ca="1">SUM(V59:V70)</f>
        <v>1340758.1883513499</v>
      </c>
      <c r="W72" s="80">
        <f ca="1">SUM(W59:W70)</f>
        <v>1586072.8504274627</v>
      </c>
      <c r="X72" s="81">
        <f ca="1">SUM(X59:X70)</f>
        <v>245314.6620761127</v>
      </c>
      <c r="Y72" s="82">
        <f ca="1">+SUMSQ(Y59:Y70)^0.5</f>
        <v>6836.9661944176241</v>
      </c>
      <c r="Z72" s="83">
        <f ca="1">Y72/X72</f>
        <v>2.7870189806658799E-2</v>
      </c>
      <c r="AA72" s="82">
        <f ca="1">+SUMSQ(AA59:AA70)^0.5</f>
        <v>2665.9439497713179</v>
      </c>
      <c r="AB72" s="83">
        <f ca="1">AA72/X72</f>
        <v>1.0867446434751491E-2</v>
      </c>
      <c r="AC72" s="80">
        <f ca="1">2*SUM(AC59:AC70)</f>
        <v>14976577.987482514</v>
      </c>
      <c r="AD72" s="84">
        <f ca="1">(AA72^2+Y72^2+AC72)^0.5</f>
        <v>8296.2607163959237</v>
      </c>
      <c r="AE72" s="83">
        <f ca="1">AD72/X72</f>
        <v>3.3818853900472852E-2</v>
      </c>
    </row>
    <row r="73" spans="2:31">
      <c r="B73" s="1">
        <v>2011</v>
      </c>
      <c r="C73" s="90">
        <f t="shared" ca="1" si="37"/>
        <v>107662.20035267335</v>
      </c>
      <c r="D73" s="68" t="str">
        <f t="shared" si="38"/>
        <v/>
      </c>
      <c r="E73" s="68" t="str">
        <f t="shared" si="36"/>
        <v/>
      </c>
      <c r="F73" s="68" t="str">
        <f t="shared" si="36"/>
        <v/>
      </c>
      <c r="G73" s="68">
        <f t="shared" ca="1" si="36"/>
        <v>118351.45932970551</v>
      </c>
      <c r="H73" s="68">
        <f t="shared" ca="1" si="36"/>
        <v>123149.42573429785</v>
      </c>
      <c r="I73" s="68">
        <f t="shared" ca="1" si="36"/>
        <v>139128.238431793</v>
      </c>
      <c r="J73" s="68">
        <f t="shared" ca="1" si="36"/>
        <v>147730.79127024306</v>
      </c>
      <c r="K73" s="68">
        <f t="shared" ca="1" si="36"/>
        <v>141900.76720480138</v>
      </c>
      <c r="L73" s="68">
        <f t="shared" ca="1" si="36"/>
        <v>140813.42524903908</v>
      </c>
      <c r="M73" s="68">
        <f t="shared" ca="1" si="36"/>
        <v>146781.26170555825</v>
      </c>
      <c r="N73" s="68">
        <f t="shared" ca="1" si="36"/>
        <v>160933.25674865756</v>
      </c>
      <c r="O73" s="68">
        <f t="shared" ca="1" si="36"/>
        <v>174421.01842004474</v>
      </c>
    </row>
    <row r="74" spans="2:31">
      <c r="B74" s="1">
        <v>2012</v>
      </c>
      <c r="C74" s="90">
        <f t="shared" ca="1" si="37"/>
        <v>118351.45932970551</v>
      </c>
      <c r="D74" s="68" t="str">
        <f t="shared" si="38"/>
        <v/>
      </c>
      <c r="E74" s="68" t="str">
        <f t="shared" si="36"/>
        <v/>
      </c>
      <c r="F74" s="68" t="str">
        <f t="shared" si="36"/>
        <v/>
      </c>
      <c r="G74" s="68" t="str">
        <f t="shared" si="36"/>
        <v/>
      </c>
      <c r="H74" s="68">
        <f t="shared" ca="1" si="36"/>
        <v>123149.42573429785</v>
      </c>
      <c r="I74" s="68">
        <f t="shared" ca="1" si="36"/>
        <v>139128.238431793</v>
      </c>
      <c r="J74" s="68">
        <f t="shared" ca="1" si="36"/>
        <v>147730.79127024306</v>
      </c>
      <c r="K74" s="68">
        <f t="shared" ca="1" si="36"/>
        <v>141900.76720480138</v>
      </c>
      <c r="L74" s="68">
        <f t="shared" ca="1" si="36"/>
        <v>140813.42524903908</v>
      </c>
      <c r="M74" s="68">
        <f t="shared" ca="1" si="36"/>
        <v>146781.26170555825</v>
      </c>
      <c r="N74" s="68">
        <f t="shared" ca="1" si="36"/>
        <v>160933.25674865756</v>
      </c>
      <c r="O74" s="68">
        <f t="shared" ca="1" si="36"/>
        <v>174421.01842004474</v>
      </c>
    </row>
    <row r="75" spans="2:31">
      <c r="B75" s="1">
        <v>2013</v>
      </c>
      <c r="C75" s="90">
        <f t="shared" ca="1" si="37"/>
        <v>123149.42573429785</v>
      </c>
      <c r="D75" s="68" t="str">
        <f t="shared" si="38"/>
        <v/>
      </c>
      <c r="E75" s="68" t="str">
        <f t="shared" si="36"/>
        <v/>
      </c>
      <c r="F75" s="68" t="str">
        <f t="shared" si="36"/>
        <v/>
      </c>
      <c r="G75" s="68" t="str">
        <f t="shared" si="36"/>
        <v/>
      </c>
      <c r="H75" s="68" t="str">
        <f t="shared" si="36"/>
        <v/>
      </c>
      <c r="I75" s="68">
        <f t="shared" ca="1" si="36"/>
        <v>139128.238431793</v>
      </c>
      <c r="J75" s="68">
        <f t="shared" ca="1" si="36"/>
        <v>147730.79127024306</v>
      </c>
      <c r="K75" s="68">
        <f t="shared" ca="1" si="36"/>
        <v>141900.76720480138</v>
      </c>
      <c r="L75" s="68">
        <f t="shared" ca="1" si="36"/>
        <v>140813.42524903908</v>
      </c>
      <c r="M75" s="68">
        <f t="shared" ca="1" si="36"/>
        <v>146781.26170555825</v>
      </c>
      <c r="N75" s="68">
        <f t="shared" ca="1" si="36"/>
        <v>160933.25674865756</v>
      </c>
      <c r="O75" s="68">
        <f t="shared" ca="1" si="36"/>
        <v>174421.01842004474</v>
      </c>
    </row>
    <row r="76" spans="2:31">
      <c r="B76" s="1">
        <v>2014</v>
      </c>
      <c r="C76" s="90">
        <f t="shared" ca="1" si="37"/>
        <v>139128.238431793</v>
      </c>
      <c r="D76" s="68" t="str">
        <f t="shared" si="38"/>
        <v/>
      </c>
      <c r="E76" s="68" t="str">
        <f t="shared" si="36"/>
        <v/>
      </c>
      <c r="F76" s="68" t="str">
        <f t="shared" si="36"/>
        <v/>
      </c>
      <c r="G76" s="68" t="str">
        <f t="shared" si="36"/>
        <v/>
      </c>
      <c r="H76" s="68" t="str">
        <f t="shared" si="36"/>
        <v/>
      </c>
      <c r="I76" s="68" t="str">
        <f t="shared" si="36"/>
        <v/>
      </c>
      <c r="J76" s="68">
        <f t="shared" ca="1" si="36"/>
        <v>147730.79127024306</v>
      </c>
      <c r="K76" s="68">
        <f t="shared" ca="1" si="36"/>
        <v>141900.76720480138</v>
      </c>
      <c r="L76" s="68">
        <f t="shared" ca="1" si="36"/>
        <v>140813.42524903908</v>
      </c>
      <c r="M76" s="68">
        <f t="shared" ca="1" si="36"/>
        <v>146781.26170555825</v>
      </c>
      <c r="N76" s="68">
        <f t="shared" ca="1" si="36"/>
        <v>160933.25674865756</v>
      </c>
      <c r="O76" s="68">
        <f t="shared" ca="1" si="36"/>
        <v>174421.01842004474</v>
      </c>
    </row>
    <row r="77" spans="2:31">
      <c r="B77" s="1">
        <v>2015</v>
      </c>
      <c r="C77" s="90">
        <f t="shared" ca="1" si="37"/>
        <v>147730.79127024306</v>
      </c>
      <c r="D77" s="68" t="str">
        <f t="shared" si="38"/>
        <v/>
      </c>
      <c r="E77" s="68" t="str">
        <f t="shared" si="36"/>
        <v/>
      </c>
      <c r="F77" s="68" t="str">
        <f t="shared" si="36"/>
        <v/>
      </c>
      <c r="G77" s="68" t="str">
        <f t="shared" si="36"/>
        <v/>
      </c>
      <c r="H77" s="68" t="str">
        <f t="shared" si="36"/>
        <v/>
      </c>
      <c r="I77" s="68" t="str">
        <f t="shared" si="36"/>
        <v/>
      </c>
      <c r="J77" s="68" t="str">
        <f t="shared" si="36"/>
        <v/>
      </c>
      <c r="K77" s="68">
        <f t="shared" ca="1" si="36"/>
        <v>141900.76720480138</v>
      </c>
      <c r="L77" s="68">
        <f t="shared" ca="1" si="36"/>
        <v>140813.42524903908</v>
      </c>
      <c r="M77" s="68">
        <f t="shared" ca="1" si="36"/>
        <v>146781.26170555825</v>
      </c>
      <c r="N77" s="68">
        <f t="shared" ca="1" si="36"/>
        <v>160933.25674865756</v>
      </c>
      <c r="O77" s="68">
        <f t="shared" ca="1" si="36"/>
        <v>174421.01842004474</v>
      </c>
    </row>
    <row r="78" spans="2:31">
      <c r="B78" s="1">
        <v>2016</v>
      </c>
      <c r="C78" s="90">
        <f t="shared" ca="1" si="37"/>
        <v>141900.76720480138</v>
      </c>
      <c r="D78" s="68" t="str">
        <f t="shared" si="38"/>
        <v/>
      </c>
      <c r="E78" s="68" t="str">
        <f t="shared" si="36"/>
        <v/>
      </c>
      <c r="F78" s="68" t="str">
        <f t="shared" si="36"/>
        <v/>
      </c>
      <c r="G78" s="68" t="str">
        <f t="shared" si="36"/>
        <v/>
      </c>
      <c r="H78" s="68" t="str">
        <f t="shared" si="36"/>
        <v/>
      </c>
      <c r="I78" s="68" t="str">
        <f t="shared" si="36"/>
        <v/>
      </c>
      <c r="J78" s="68" t="str">
        <f t="shared" si="36"/>
        <v/>
      </c>
      <c r="K78" s="68" t="str">
        <f t="shared" si="36"/>
        <v/>
      </c>
      <c r="L78" s="68">
        <f t="shared" ca="1" si="36"/>
        <v>140813.42524903908</v>
      </c>
      <c r="M78" s="68">
        <f t="shared" ca="1" si="36"/>
        <v>146781.26170555825</v>
      </c>
      <c r="N78" s="68">
        <f t="shared" ca="1" si="36"/>
        <v>160933.25674865756</v>
      </c>
      <c r="O78" s="68">
        <f t="shared" ca="1" si="36"/>
        <v>174421.01842004474</v>
      </c>
    </row>
    <row r="79" spans="2:31">
      <c r="B79" s="1">
        <v>2017</v>
      </c>
      <c r="C79" s="90">
        <f t="shared" ca="1" si="37"/>
        <v>140813.42524903908</v>
      </c>
      <c r="D79" s="68" t="str">
        <f t="shared" si="38"/>
        <v/>
      </c>
      <c r="E79" s="68" t="str">
        <f t="shared" si="36"/>
        <v/>
      </c>
      <c r="F79" s="68" t="str">
        <f t="shared" si="36"/>
        <v/>
      </c>
      <c r="G79" s="68" t="str">
        <f t="shared" si="36"/>
        <v/>
      </c>
      <c r="H79" s="68" t="str">
        <f t="shared" si="36"/>
        <v/>
      </c>
      <c r="I79" s="68" t="str">
        <f t="shared" si="36"/>
        <v/>
      </c>
      <c r="J79" s="68" t="str">
        <f t="shared" si="36"/>
        <v/>
      </c>
      <c r="K79" s="68" t="str">
        <f t="shared" si="36"/>
        <v/>
      </c>
      <c r="L79" s="68" t="str">
        <f t="shared" si="36"/>
        <v/>
      </c>
      <c r="M79" s="68">
        <f t="shared" ca="1" si="36"/>
        <v>146781.26170555825</v>
      </c>
      <c r="N79" s="68">
        <f t="shared" ca="1" si="36"/>
        <v>160933.25674865756</v>
      </c>
      <c r="O79" s="68">
        <f t="shared" ca="1" si="36"/>
        <v>174421.01842004474</v>
      </c>
    </row>
    <row r="80" spans="2:31">
      <c r="B80" s="1">
        <v>2018</v>
      </c>
      <c r="C80" s="90">
        <f t="shared" ca="1" si="37"/>
        <v>146781.26170555825</v>
      </c>
      <c r="D80" s="68" t="str">
        <f t="shared" si="38"/>
        <v/>
      </c>
      <c r="E80" s="68" t="str">
        <f t="shared" si="36"/>
        <v/>
      </c>
      <c r="F80" s="68" t="str">
        <f t="shared" si="36"/>
        <v/>
      </c>
      <c r="G80" s="68" t="str">
        <f t="shared" si="36"/>
        <v/>
      </c>
      <c r="H80" s="68" t="str">
        <f t="shared" si="36"/>
        <v/>
      </c>
      <c r="I80" s="68" t="str">
        <f t="shared" si="36"/>
        <v/>
      </c>
      <c r="J80" s="68" t="str">
        <f t="shared" si="36"/>
        <v/>
      </c>
      <c r="K80" s="68" t="str">
        <f t="shared" si="36"/>
        <v/>
      </c>
      <c r="L80" s="68" t="str">
        <f t="shared" si="36"/>
        <v/>
      </c>
      <c r="M80" s="68" t="str">
        <f t="shared" si="36"/>
        <v/>
      </c>
      <c r="N80" s="68">
        <f t="shared" ca="1" si="36"/>
        <v>160933.25674865756</v>
      </c>
      <c r="O80" s="68">
        <f t="shared" ca="1" si="36"/>
        <v>174421.01842004474</v>
      </c>
    </row>
    <row r="81" spans="2:16">
      <c r="B81" s="1">
        <v>2019</v>
      </c>
      <c r="C81" s="90">
        <f t="shared" ca="1" si="37"/>
        <v>160933.25674865756</v>
      </c>
      <c r="D81" s="68" t="str">
        <f t="shared" si="38"/>
        <v/>
      </c>
      <c r="E81" s="68" t="str">
        <f t="shared" si="36"/>
        <v/>
      </c>
      <c r="F81" s="68" t="str">
        <f t="shared" si="36"/>
        <v/>
      </c>
      <c r="G81" s="68" t="str">
        <f t="shared" si="36"/>
        <v/>
      </c>
      <c r="H81" s="68" t="str">
        <f t="shared" si="36"/>
        <v/>
      </c>
      <c r="I81" s="68" t="str">
        <f t="shared" si="36"/>
        <v/>
      </c>
      <c r="J81" s="68" t="str">
        <f t="shared" si="36"/>
        <v/>
      </c>
      <c r="K81" s="68" t="str">
        <f t="shared" si="36"/>
        <v/>
      </c>
      <c r="L81" s="68" t="str">
        <f t="shared" si="36"/>
        <v/>
      </c>
      <c r="M81" s="68" t="str">
        <f t="shared" si="36"/>
        <v/>
      </c>
      <c r="N81" s="68" t="str">
        <f t="shared" si="36"/>
        <v/>
      </c>
      <c r="O81" s="68">
        <f t="shared" ca="1" si="36"/>
        <v>174421.01842004474</v>
      </c>
    </row>
    <row r="82" spans="2:16">
      <c r="B82" s="1">
        <v>2020</v>
      </c>
      <c r="C82" s="90">
        <f t="shared" ca="1" si="37"/>
        <v>174421.01842004474</v>
      </c>
      <c r="D82" s="68" t="str">
        <f t="shared" si="38"/>
        <v/>
      </c>
      <c r="E82" s="68" t="str">
        <f t="shared" si="36"/>
        <v/>
      </c>
      <c r="F82" s="68" t="str">
        <f t="shared" si="36"/>
        <v/>
      </c>
      <c r="G82" s="68" t="str">
        <f t="shared" si="36"/>
        <v/>
      </c>
      <c r="H82" s="68" t="str">
        <f t="shared" si="36"/>
        <v/>
      </c>
      <c r="I82" s="68" t="str">
        <f t="shared" si="36"/>
        <v/>
      </c>
      <c r="J82" s="68" t="str">
        <f t="shared" si="36"/>
        <v/>
      </c>
      <c r="K82" s="68" t="str">
        <f t="shared" si="36"/>
        <v/>
      </c>
      <c r="L82" s="68" t="str">
        <f t="shared" si="36"/>
        <v/>
      </c>
      <c r="M82" s="68" t="str">
        <f t="shared" si="36"/>
        <v/>
      </c>
      <c r="N82" s="68" t="str">
        <f t="shared" si="36"/>
        <v/>
      </c>
      <c r="O82" s="68" t="str">
        <f t="shared" si="36"/>
        <v/>
      </c>
    </row>
    <row r="83" spans="2:16">
      <c r="O83" s="70"/>
    </row>
    <row r="84" spans="2:16">
      <c r="O84" s="70"/>
    </row>
    <row r="85" spans="2:16">
      <c r="O85" s="70"/>
    </row>
    <row r="87" spans="2:16">
      <c r="P87" s="68"/>
    </row>
    <row r="88" spans="2:16">
      <c r="C88" s="92" t="s">
        <v>8</v>
      </c>
      <c r="E88" s="73" t="s">
        <v>7</v>
      </c>
      <c r="P88" s="68"/>
    </row>
    <row r="89" spans="2:16">
      <c r="C89" s="93" t="s">
        <v>6</v>
      </c>
      <c r="E89" s="73" t="s">
        <v>5</v>
      </c>
      <c r="P89" s="68"/>
    </row>
    <row r="90" spans="2:16">
      <c r="C90" s="94">
        <f ca="1">X72</f>
        <v>245314.6620761127</v>
      </c>
      <c r="E90" s="95">
        <f ca="1">LN(C90^2/(C90^2+C92+2)^0.5)</f>
        <v>12.410296931532548</v>
      </c>
      <c r="P90" s="68"/>
    </row>
    <row r="91" spans="2:16">
      <c r="C91" s="96" t="s">
        <v>4</v>
      </c>
      <c r="E91" s="73" t="s">
        <v>3</v>
      </c>
      <c r="P91" s="68"/>
    </row>
    <row r="92" spans="2:16">
      <c r="C92" s="94">
        <f ca="1">AD72</f>
        <v>8296.2607163959237</v>
      </c>
      <c r="E92" s="95">
        <f ca="1">SQRT(LN(C92^2/C90^2+1))</f>
        <v>3.3809190104813175E-2</v>
      </c>
      <c r="P92" s="68"/>
    </row>
    <row r="93" spans="2:16">
      <c r="C93" s="97"/>
      <c r="P93" s="68"/>
    </row>
    <row r="94" spans="2:16">
      <c r="C94" s="97"/>
      <c r="P94" s="68"/>
    </row>
    <row r="95" spans="2:16">
      <c r="C95" s="98" t="s">
        <v>2</v>
      </c>
      <c r="D95" s="98" t="s">
        <v>1</v>
      </c>
      <c r="E95" s="98" t="s">
        <v>0</v>
      </c>
      <c r="P95" s="68"/>
    </row>
    <row r="96" spans="2:16">
      <c r="C96" s="97">
        <f ca="1">_xlfn.LOGNORM.INV(D96,$E$90,$E$92)</f>
        <v>220978.05568467069</v>
      </c>
      <c r="D96" s="99">
        <v>1E-3</v>
      </c>
      <c r="E96" s="58">
        <f ca="1">_xlfn.LOGNORM.DIST(C96,$E$90,$E$92,FALSE)</f>
        <v>4.5068262938162934E-7</v>
      </c>
      <c r="P96" s="68"/>
    </row>
    <row r="97" spans="3:16">
      <c r="C97" s="97">
        <f t="shared" ref="C96:C159" ca="1" si="39">_xlfn.LOGNORM.INV(D97,$E$90,$E$92)</f>
        <v>223551.40538355961</v>
      </c>
      <c r="D97" s="99">
        <v>3.0000000000000001E-3</v>
      </c>
      <c r="E97" s="58">
        <f t="shared" ref="E96:E159" ca="1" si="40">_xlfn.LOGNORM.DIST(C97,$E$90,$E$92,FALSE)</f>
        <v>1.2105159845368913E-6</v>
      </c>
      <c r="P97" s="68"/>
    </row>
    <row r="98" spans="3:16">
      <c r="C98" s="97">
        <f t="shared" ca="1" si="39"/>
        <v>224275.97398324011</v>
      </c>
      <c r="D98" s="99">
        <v>4.0000000000000001E-3</v>
      </c>
      <c r="E98" s="58">
        <f t="shared" ca="1" si="40"/>
        <v>1.5624028261003494E-6</v>
      </c>
      <c r="P98" s="68"/>
    </row>
    <row r="99" spans="3:16">
      <c r="C99" s="97">
        <f t="shared" ca="1" si="39"/>
        <v>224854.82010095727</v>
      </c>
      <c r="D99" s="100">
        <v>5.0000000000000001E-3</v>
      </c>
      <c r="E99" s="58">
        <f t="shared" ca="1" si="40"/>
        <v>1.9020573424606316E-6</v>
      </c>
      <c r="P99" s="68"/>
    </row>
    <row r="100" spans="3:16">
      <c r="C100" s="97">
        <f t="shared" ca="1" si="39"/>
        <v>226759.43889915888</v>
      </c>
      <c r="D100" s="100">
        <f t="shared" ref="D100:D131" si="41">D99+0.005</f>
        <v>0.01</v>
      </c>
      <c r="E100" s="58">
        <f t="shared" ca="1" si="40"/>
        <v>3.4764179261038546E-6</v>
      </c>
      <c r="P100" s="68"/>
    </row>
    <row r="101" spans="3:16">
      <c r="C101" s="97">
        <f t="shared" ca="1" si="39"/>
        <v>227960.56521913875</v>
      </c>
      <c r="D101" s="100">
        <f t="shared" si="41"/>
        <v>1.4999999999999999E-2</v>
      </c>
      <c r="E101" s="58">
        <f t="shared" ca="1" si="40"/>
        <v>4.9136673858611774E-6</v>
      </c>
    </row>
    <row r="102" spans="3:16">
      <c r="C102" s="97">
        <f t="shared" ca="1" si="39"/>
        <v>228858.99354773498</v>
      </c>
      <c r="D102" s="100">
        <f t="shared" si="41"/>
        <v>0.02</v>
      </c>
      <c r="E102" s="58">
        <f t="shared" ca="1" si="40"/>
        <v>6.2575641969471643E-6</v>
      </c>
    </row>
    <row r="103" spans="3:16">
      <c r="C103" s="97">
        <f t="shared" ca="1" si="39"/>
        <v>229585.80958648803</v>
      </c>
      <c r="D103" s="100">
        <f t="shared" si="41"/>
        <v>2.5000000000000001E-2</v>
      </c>
      <c r="E103" s="58">
        <f t="shared" ca="1" si="40"/>
        <v>7.5295335526214395E-6</v>
      </c>
    </row>
    <row r="104" spans="3:16">
      <c r="C104" s="97">
        <f t="shared" ca="1" si="39"/>
        <v>230201.16196430253</v>
      </c>
      <c r="D104" s="100">
        <f t="shared" si="41"/>
        <v>3.0000000000000002E-2</v>
      </c>
      <c r="E104" s="58">
        <f t="shared" ca="1" si="40"/>
        <v>8.7424766623160127E-6</v>
      </c>
    </row>
    <row r="105" spans="3:16">
      <c r="C105" s="97">
        <f t="shared" ca="1" si="39"/>
        <v>230737.89673522045</v>
      </c>
      <c r="D105" s="100">
        <f t="shared" si="41"/>
        <v>3.5000000000000003E-2</v>
      </c>
      <c r="E105" s="58">
        <f t="shared" ca="1" si="40"/>
        <v>9.9050705134486152E-6</v>
      </c>
    </row>
    <row r="106" spans="3:16">
      <c r="C106" s="97">
        <f t="shared" ca="1" si="39"/>
        <v>231216.00827698334</v>
      </c>
      <c r="D106" s="100">
        <f t="shared" si="41"/>
        <v>0.04</v>
      </c>
      <c r="E106" s="58">
        <f t="shared" ca="1" si="40"/>
        <v>1.1023574635840835E-5</v>
      </c>
    </row>
    <row r="107" spans="3:16">
      <c r="C107" s="97">
        <f t="shared" ca="1" si="39"/>
        <v>231648.61408803871</v>
      </c>
      <c r="D107" s="100">
        <f t="shared" si="41"/>
        <v>4.4999999999999998E-2</v>
      </c>
      <c r="E107" s="58">
        <f t="shared" ca="1" si="40"/>
        <v>1.210272986188415E-5</v>
      </c>
    </row>
    <row r="108" spans="3:16">
      <c r="C108" s="97">
        <f t="shared" ca="1" si="39"/>
        <v>232044.80629066567</v>
      </c>
      <c r="D108" s="100">
        <f t="shared" si="41"/>
        <v>4.9999999999999996E-2</v>
      </c>
      <c r="E108" s="58">
        <f t="shared" ca="1" si="40"/>
        <v>1.3146257955504378E-5</v>
      </c>
    </row>
    <row r="109" spans="3:16">
      <c r="C109" s="97">
        <f t="shared" ca="1" si="39"/>
        <v>232411.15822895855</v>
      </c>
      <c r="D109" s="100">
        <f t="shared" si="41"/>
        <v>5.4999999999999993E-2</v>
      </c>
      <c r="E109" s="58">
        <f t="shared" ca="1" si="40"/>
        <v>1.4157162355057824E-5</v>
      </c>
    </row>
    <row r="110" spans="3:16">
      <c r="C110" s="97">
        <f t="shared" ca="1" si="39"/>
        <v>232752.58362395928</v>
      </c>
      <c r="D110" s="100">
        <f t="shared" si="41"/>
        <v>5.9999999999999991E-2</v>
      </c>
      <c r="E110" s="58">
        <f t="shared" ca="1" si="40"/>
        <v>1.513792040460747E-5</v>
      </c>
    </row>
    <row r="111" spans="3:16">
      <c r="C111" s="97">
        <f t="shared" ca="1" si="39"/>
        <v>233072.85660812215</v>
      </c>
      <c r="D111" s="100">
        <f t="shared" si="41"/>
        <v>6.4999999999999988E-2</v>
      </c>
      <c r="E111" s="58">
        <f t="shared" ca="1" si="40"/>
        <v>1.609061214912048E-5</v>
      </c>
    </row>
    <row r="112" spans="3:16">
      <c r="C112" s="97">
        <f t="shared" ca="1" si="39"/>
        <v>233374.94195073837</v>
      </c>
      <c r="D112" s="100">
        <f t="shared" si="41"/>
        <v>6.9999999999999993E-2</v>
      </c>
      <c r="E112" s="58">
        <f t="shared" ca="1" si="40"/>
        <v>1.7017009966785145E-5</v>
      </c>
    </row>
    <row r="113" spans="3:5">
      <c r="C113" s="97">
        <f t="shared" ca="1" si="39"/>
        <v>233661.21318890568</v>
      </c>
      <c r="D113" s="100">
        <f t="shared" si="41"/>
        <v>7.4999999999999997E-2</v>
      </c>
      <c r="E113" s="58">
        <f t="shared" ca="1" si="40"/>
        <v>1.791864293018793E-5</v>
      </c>
    </row>
    <row r="114" spans="3:5">
      <c r="C114" s="97">
        <f t="shared" ca="1" si="39"/>
        <v>233933.60155583988</v>
      </c>
      <c r="D114" s="100">
        <f t="shared" si="41"/>
        <v>0.08</v>
      </c>
      <c r="E114" s="58">
        <f t="shared" ca="1" si="40"/>
        <v>1.8796844251498922E-5</v>
      </c>
    </row>
    <row r="115" spans="3:5">
      <c r="C115" s="97">
        <f t="shared" ca="1" si="39"/>
        <v>234193.70056042963</v>
      </c>
      <c r="D115" s="100">
        <f t="shared" si="41"/>
        <v>8.5000000000000006E-2</v>
      </c>
      <c r="E115" s="58">
        <f t="shared" ca="1" si="40"/>
        <v>1.9652787048971414E-5</v>
      </c>
    </row>
    <row r="116" spans="3:5">
      <c r="C116" s="97">
        <f t="shared" ca="1" si="39"/>
        <v>234442.84122468546</v>
      </c>
      <c r="D116" s="100">
        <f t="shared" si="41"/>
        <v>9.0000000000000011E-2</v>
      </c>
      <c r="E116" s="58">
        <f t="shared" ca="1" si="40"/>
        <v>2.048751183461809E-5</v>
      </c>
    </row>
    <row r="117" spans="3:5">
      <c r="C117" s="97">
        <f t="shared" ca="1" si="39"/>
        <v>234682.14736516337</v>
      </c>
      <c r="D117" s="100">
        <f t="shared" si="41"/>
        <v>9.5000000000000015E-2</v>
      </c>
      <c r="E117" s="58">
        <f t="shared" ca="1" si="40"/>
        <v>2.130194799739298E-5</v>
      </c>
    </row>
    <row r="118" spans="3:5">
      <c r="C118" s="97">
        <f t="shared" ca="1" si="39"/>
        <v>234912.57697122465</v>
      </c>
      <c r="D118" s="100">
        <f t="shared" si="41"/>
        <v>0.10000000000000002</v>
      </c>
      <c r="E118" s="58">
        <f t="shared" ca="1" si="40"/>
        <v>2.2096930843481644E-5</v>
      </c>
    </row>
    <row r="119" spans="3:5">
      <c r="C119" s="97">
        <f t="shared" ca="1" si="39"/>
        <v>235134.95368938972</v>
      </c>
      <c r="D119" s="100">
        <f t="shared" si="41"/>
        <v>0.10500000000000002</v>
      </c>
      <c r="E119" s="58">
        <f t="shared" ca="1" si="40"/>
        <v>2.2873215290708214E-5</v>
      </c>
    </row>
    <row r="120" spans="3:5">
      <c r="C120" s="97">
        <f t="shared" ca="1" si="39"/>
        <v>235349.99113296345</v>
      </c>
      <c r="D120" s="100">
        <f t="shared" si="41"/>
        <v>0.11000000000000003</v>
      </c>
      <c r="E120" s="58">
        <f t="shared" ca="1" si="40"/>
        <v>2.363148700341643E-5</v>
      </c>
    </row>
    <row r="121" spans="3:5">
      <c r="C121" s="97">
        <f t="shared" ca="1" si="39"/>
        <v>235558.31190037887</v>
      </c>
      <c r="D121" s="100">
        <f t="shared" si="41"/>
        <v>0.11500000000000003</v>
      </c>
      <c r="E121" s="58">
        <f t="shared" ca="1" si="40"/>
        <v>2.4372371541728901E-5</v>
      </c>
    </row>
    <row r="122" spans="3:5">
      <c r="C122" s="97">
        <f t="shared" ca="1" si="39"/>
        <v>235760.46263168045</v>
      </c>
      <c r="D122" s="100">
        <f t="shared" si="41"/>
        <v>0.12000000000000004</v>
      </c>
      <c r="E122" s="58">
        <f t="shared" ca="1" si="40"/>
        <v>2.5096441950866747E-5</v>
      </c>
    </row>
    <row r="123" spans="3:5">
      <c r="C123" s="97">
        <f t="shared" ca="1" si="39"/>
        <v>235956.92605760001</v>
      </c>
      <c r="D123" s="100">
        <f t="shared" si="41"/>
        <v>0.12500000000000003</v>
      </c>
      <c r="E123" s="58">
        <f t="shared" ca="1" si="40"/>
        <v>2.5804225110888953E-5</v>
      </c>
    </row>
    <row r="124" spans="3:5">
      <c r="C124" s="97">
        <f t="shared" ca="1" si="39"/>
        <v>236148.13073709732</v>
      </c>
      <c r="D124" s="100">
        <f t="shared" si="41"/>
        <v>0.13000000000000003</v>
      </c>
      <c r="E124" s="58">
        <f t="shared" ca="1" si="40"/>
        <v>2.6496207091103989E-5</v>
      </c>
    </row>
    <row r="125" spans="3:5">
      <c r="C125" s="97">
        <f t="shared" ca="1" si="39"/>
        <v>236334.45899790555</v>
      </c>
      <c r="D125" s="100">
        <f t="shared" si="41"/>
        <v>0.13500000000000004</v>
      </c>
      <c r="E125" s="58">
        <f t="shared" ca="1" si="40"/>
        <v>2.7172837697725518E-5</v>
      </c>
    </row>
    <row r="126" spans="3:5">
      <c r="C126" s="97">
        <f t="shared" ca="1" si="39"/>
        <v>236516.2534654231</v>
      </c>
      <c r="D126" s="100">
        <f t="shared" si="41"/>
        <v>0.14000000000000004</v>
      </c>
      <c r="E126" s="58">
        <f t="shared" ca="1" si="40"/>
        <v>2.7834534361864336E-5</v>
      </c>
    </row>
    <row r="127" spans="3:5">
      <c r="C127" s="97">
        <f t="shared" ca="1" si="39"/>
        <v>236693.82247196737</v>
      </c>
      <c r="D127" s="100">
        <f t="shared" si="41"/>
        <v>0.14500000000000005</v>
      </c>
      <c r="E127" s="58">
        <f t="shared" ca="1" si="40"/>
        <v>2.8481685483796177E-5</v>
      </c>
    </row>
    <row r="128" spans="3:5">
      <c r="C128" s="97">
        <f t="shared" ca="1" si="39"/>
        <v>236867.44457010689</v>
      </c>
      <c r="D128" s="100">
        <f t="shared" si="41"/>
        <v>0.15000000000000005</v>
      </c>
      <c r="E128" s="58">
        <f t="shared" ca="1" si="40"/>
        <v>2.9114653325792679E-5</v>
      </c>
    </row>
    <row r="129" spans="3:5">
      <c r="C129" s="97">
        <f t="shared" ca="1" si="39"/>
        <v>237037.37232316393</v>
      </c>
      <c r="D129" s="100">
        <f t="shared" si="41"/>
        <v>0.15500000000000005</v>
      </c>
      <c r="E129" s="58">
        <f t="shared" ca="1" si="40"/>
        <v>2.9733776527502982E-5</v>
      </c>
    </row>
    <row r="130" spans="3:5">
      <c r="C130" s="97">
        <f t="shared" ca="1" si="39"/>
        <v>237203.8355080848</v>
      </c>
      <c r="D130" s="100">
        <f t="shared" si="41"/>
        <v>0.16000000000000006</v>
      </c>
      <c r="E130" s="58">
        <f t="shared" ca="1" si="40"/>
        <v>3.0339372303767539E-5</v>
      </c>
    </row>
    <row r="131" spans="3:5">
      <c r="C131" s="97">
        <f t="shared" ca="1" si="39"/>
        <v>237367.04383718924</v>
      </c>
      <c r="D131" s="100">
        <f t="shared" si="41"/>
        <v>0.16500000000000006</v>
      </c>
      <c r="E131" s="58">
        <f t="shared" ca="1" si="40"/>
        <v>3.0931738373671693E-5</v>
      </c>
    </row>
    <row r="132" spans="3:5">
      <c r="C132" s="97">
        <f t="shared" ca="1" si="39"/>
        <v>237527.18928337528</v>
      </c>
      <c r="D132" s="100">
        <f t="shared" ref="D132:D163" si="42">D131+0.005</f>
        <v>0.17000000000000007</v>
      </c>
      <c r="E132" s="58">
        <f t="shared" ca="1" si="40"/>
        <v>3.1511154660844783E-5</v>
      </c>
    </row>
    <row r="133" spans="3:5">
      <c r="C133" s="97">
        <f t="shared" ca="1" si="39"/>
        <v>237684.44807646563</v>
      </c>
      <c r="D133" s="100">
        <f t="shared" si="42"/>
        <v>0.17500000000000007</v>
      </c>
      <c r="E133" s="58">
        <f t="shared" ca="1" si="40"/>
        <v>3.207788479807801E-5</v>
      </c>
    </row>
    <row r="134" spans="3:5">
      <c r="C134" s="97">
        <f t="shared" ca="1" si="39"/>
        <v>237838.98242523317</v>
      </c>
      <c r="D134" s="100">
        <f t="shared" si="42"/>
        <v>0.18000000000000008</v>
      </c>
      <c r="E134" s="58">
        <f t="shared" ca="1" si="40"/>
        <v>3.2632177463723643E-5</v>
      </c>
    </row>
    <row r="135" spans="3:5">
      <c r="C135" s="97">
        <f t="shared" ca="1" si="39"/>
        <v>237990.9420093481</v>
      </c>
      <c r="D135" s="100">
        <f t="shared" si="42"/>
        <v>0.18500000000000008</v>
      </c>
      <c r="E135" s="58">
        <f t="shared" ca="1" si="40"/>
        <v>3.3174267572824592E-5</v>
      </c>
    </row>
    <row r="136" spans="3:5">
      <c r="C136" s="97">
        <f t="shared" ca="1" si="39"/>
        <v>238140.46527735869</v>
      </c>
      <c r="D136" s="100">
        <f t="shared" si="42"/>
        <v>0.19000000000000009</v>
      </c>
      <c r="E136" s="58">
        <f t="shared" ca="1" si="40"/>
        <v>3.370437734225287E-5</v>
      </c>
    </row>
    <row r="137" spans="3:5">
      <c r="C137" s="97">
        <f t="shared" ca="1" si="39"/>
        <v>238287.68058035558</v>
      </c>
      <c r="D137" s="100">
        <f t="shared" si="42"/>
        <v>0.19500000000000009</v>
      </c>
      <c r="E137" s="58">
        <f t="shared" ca="1" si="40"/>
        <v>3.4222717246136031E-5</v>
      </c>
    </row>
    <row r="138" spans="3:5">
      <c r="C138" s="97">
        <f t="shared" ca="1" si="39"/>
        <v>238432.70716579747</v>
      </c>
      <c r="D138" s="100">
        <f t="shared" si="42"/>
        <v>0.20000000000000009</v>
      </c>
      <c r="E138" s="58">
        <f t="shared" ca="1" si="40"/>
        <v>3.4729486875370037E-5</v>
      </c>
    </row>
    <row r="139" spans="3:5">
      <c r="C139" s="97">
        <f t="shared" ca="1" si="39"/>
        <v>238575.65605181284</v>
      </c>
      <c r="D139" s="100">
        <f t="shared" si="42"/>
        <v>0.2050000000000001</v>
      </c>
      <c r="E139" s="58">
        <f t="shared" ca="1" si="40"/>
        <v>3.522487571298335E-5</v>
      </c>
    </row>
    <row r="140" spans="3:5">
      <c r="C140" s="97">
        <f t="shared" ca="1" si="39"/>
        <v>238716.63079892809</v>
      </c>
      <c r="D140" s="100">
        <f t="shared" si="42"/>
        <v>0.2100000000000001</v>
      </c>
      <c r="E140" s="58">
        <f t="shared" ca="1" si="40"/>
        <v>3.5709063835436509E-5</v>
      </c>
    </row>
    <row r="141" spans="3:5">
      <c r="C141" s="97">
        <f t="shared" ca="1" si="39"/>
        <v>238855.72819341163</v>
      </c>
      <c r="D141" s="100">
        <f t="shared" si="42"/>
        <v>0.21500000000000011</v>
      </c>
      <c r="E141" s="58">
        <f t="shared" ca="1" si="40"/>
        <v>3.6182222548472313E-5</v>
      </c>
    </row>
    <row r="142" spans="3:5">
      <c r="C142" s="97">
        <f t="shared" ca="1" si="39"/>
        <v>238993.03885419454</v>
      </c>
      <c r="D142" s="100">
        <f t="shared" si="42"/>
        <v>0.22000000000000011</v>
      </c>
      <c r="E142" s="58">
        <f t="shared" ca="1" si="40"/>
        <v>3.6644514965010599E-5</v>
      </c>
    </row>
    <row r="143" spans="3:5">
      <c r="C143" s="97">
        <f t="shared" ca="1" si="39"/>
        <v>239128.64777346377</v>
      </c>
      <c r="D143" s="100">
        <f t="shared" si="42"/>
        <v>0.22500000000000012</v>
      </c>
      <c r="E143" s="58">
        <f t="shared" ca="1" si="40"/>
        <v>3.7096096531514118E-5</v>
      </c>
    </row>
    <row r="144" spans="3:5">
      <c r="C144" s="97">
        <f t="shared" ca="1" si="39"/>
        <v>239262.63479951042</v>
      </c>
      <c r="D144" s="100">
        <f t="shared" si="42"/>
        <v>0.23000000000000012</v>
      </c>
      <c r="E144" s="58">
        <f t="shared" ca="1" si="40"/>
        <v>3.7537115508465223E-5</v>
      </c>
    </row>
    <row r="145" spans="3:5">
      <c r="C145" s="97">
        <f t="shared" ca="1" si="39"/>
        <v>239395.07506912813</v>
      </c>
      <c r="D145" s="100">
        <f t="shared" si="42"/>
        <v>0.23500000000000013</v>
      </c>
      <c r="E145" s="58">
        <f t="shared" ca="1" si="40"/>
        <v>3.7967713409802219E-5</v>
      </c>
    </row>
    <row r="146" spans="3:5">
      <c r="C146" s="97">
        <f t="shared" ca="1" si="39"/>
        <v>239526.03939581793</v>
      </c>
      <c r="D146" s="100">
        <f t="shared" si="42"/>
        <v>0.24000000000000013</v>
      </c>
      <c r="E146" s="58">
        <f t="shared" ca="1" si="40"/>
        <v>3.8388025405619292E-5</v>
      </c>
    </row>
    <row r="147" spans="3:5">
      <c r="C147" s="97">
        <f t="shared" ca="1" si="39"/>
        <v>239655.59461915548</v>
      </c>
      <c r="D147" s="100">
        <f t="shared" si="42"/>
        <v>0.24500000000000013</v>
      </c>
      <c r="E147" s="58">
        <f t="shared" ca="1" si="40"/>
        <v>3.8798180691857679E-5</v>
      </c>
    </row>
    <row r="148" spans="3:5">
      <c r="C148" s="97">
        <f t="shared" ca="1" si="39"/>
        <v>239783.80391994081</v>
      </c>
      <c r="D148" s="100">
        <f t="shared" si="42"/>
        <v>0.25000000000000011</v>
      </c>
      <c r="E148" s="58">
        <f t="shared" ca="1" si="40"/>
        <v>3.919830283029567E-5</v>
      </c>
    </row>
    <row r="149" spans="3:5">
      <c r="C149" s="97">
        <f t="shared" ca="1" si="39"/>
        <v>239910.72710511208</v>
      </c>
      <c r="D149" s="100">
        <f t="shared" si="42"/>
        <v>0.25500000000000012</v>
      </c>
      <c r="E149" s="58">
        <f t="shared" ca="1" si="40"/>
        <v>3.9588510061721627E-5</v>
      </c>
    </row>
    <row r="150" spans="3:5">
      <c r="C150" s="97">
        <f t="shared" ca="1" si="39"/>
        <v>240036.42086588294</v>
      </c>
      <c r="D150" s="100">
        <f t="shared" si="42"/>
        <v>0.26000000000000012</v>
      </c>
      <c r="E150" s="58">
        <f t="shared" ca="1" si="40"/>
        <v>3.9968915594873764E-5</v>
      </c>
    </row>
    <row r="151" spans="3:5">
      <c r="C151" s="97">
        <f t="shared" ca="1" si="39"/>
        <v>240160.93901210694</v>
      </c>
      <c r="D151" s="100">
        <f t="shared" si="42"/>
        <v>0.26500000000000012</v>
      </c>
      <c r="E151" s="58">
        <f t="shared" ca="1" si="40"/>
        <v>4.0339627873422485E-5</v>
      </c>
    </row>
    <row r="152" spans="3:5">
      <c r="C152" s="97">
        <f t="shared" ca="1" si="39"/>
        <v>240284.33268547914</v>
      </c>
      <c r="D152" s="100">
        <f t="shared" si="42"/>
        <v>0.27000000000000013</v>
      </c>
      <c r="E152" s="58">
        <f t="shared" ca="1" si="40"/>
        <v>4.0700750822997891E-5</v>
      </c>
    </row>
    <row r="153" spans="3:5">
      <c r="C153" s="97">
        <f t="shared" ca="1" si="39"/>
        <v>240406.65055386935</v>
      </c>
      <c r="D153" s="100">
        <f t="shared" si="42"/>
        <v>0.27500000000000013</v>
      </c>
      <c r="E153" s="58">
        <f t="shared" ca="1" si="40"/>
        <v>4.1052384080084387E-5</v>
      </c>
    </row>
    <row r="154" spans="3:5">
      <c r="C154" s="97">
        <f t="shared" ca="1" si="39"/>
        <v>240527.93898878738</v>
      </c>
      <c r="D154" s="100">
        <f t="shared" si="42"/>
        <v>0.28000000000000014</v>
      </c>
      <c r="E154" s="58">
        <f t="shared" ca="1" si="40"/>
        <v>4.1394623204378826E-5</v>
      </c>
    </row>
    <row r="155" spans="3:5">
      <c r="C155" s="97">
        <f t="shared" ca="1" si="39"/>
        <v>240648.24222773782</v>
      </c>
      <c r="D155" s="100">
        <f t="shared" si="42"/>
        <v>0.28500000000000014</v>
      </c>
      <c r="E155" s="58">
        <f t="shared" ca="1" si="40"/>
        <v>4.1727559876040327E-5</v>
      </c>
    </row>
    <row r="156" spans="3:5">
      <c r="C156" s="97">
        <f t="shared" ca="1" si="39"/>
        <v>240767.60252302021</v>
      </c>
      <c r="D156" s="100">
        <f t="shared" si="42"/>
        <v>0.29000000000000015</v>
      </c>
      <c r="E156" s="58">
        <f t="shared" ca="1" si="40"/>
        <v>4.205128207913616E-5</v>
      </c>
    </row>
    <row r="157" spans="3:5">
      <c r="C157" s="97">
        <f t="shared" ca="1" si="39"/>
        <v>240886.06027833864</v>
      </c>
      <c r="D157" s="100">
        <f t="shared" si="42"/>
        <v>0.29500000000000015</v>
      </c>
      <c r="E157" s="58">
        <f t="shared" ca="1" si="40"/>
        <v>4.236587427242692E-5</v>
      </c>
    </row>
    <row r="158" spans="3:5">
      <c r="C158" s="97">
        <f t="shared" ca="1" si="39"/>
        <v>241003.65417442916</v>
      </c>
      <c r="D158" s="100">
        <f t="shared" si="42"/>
        <v>0.30000000000000016</v>
      </c>
      <c r="E158" s="58">
        <f t="shared" ca="1" si="40"/>
        <v>4.2671417548526223E-5</v>
      </c>
    </row>
    <row r="159" spans="3:5">
      <c r="C159" s="97">
        <f t="shared" ca="1" si="39"/>
        <v>241120.42128478695</v>
      </c>
      <c r="D159" s="100">
        <f t="shared" si="42"/>
        <v>0.30500000000000016</v>
      </c>
      <c r="E159" s="58">
        <f t="shared" ca="1" si="40"/>
        <v>4.2967989782393196E-5</v>
      </c>
    </row>
    <row r="160" spans="3:5">
      <c r="C160" s="97">
        <f t="shared" ref="C160:C223" ca="1" si="43">_xlfn.LOGNORM.INV(D160,$E$90,$E$92)</f>
        <v>241236.39718243698</v>
      </c>
      <c r="D160" s="100">
        <f t="shared" si="42"/>
        <v>0.31000000000000016</v>
      </c>
      <c r="E160" s="58">
        <f t="shared" ref="E160:E223" ca="1" si="44">_xlfn.LOGNORM.DIST(C160,$E$90,$E$92,FALSE)</f>
        <v>4.3255665769978839E-5</v>
      </c>
    </row>
    <row r="161" spans="3:5">
      <c r="C161" s="97">
        <f t="shared" ca="1" si="43"/>
        <v>241351.6160386001</v>
      </c>
      <c r="D161" s="100">
        <f t="shared" si="42"/>
        <v>0.31500000000000017</v>
      </c>
      <c r="E161" s="58">
        <f t="shared" ca="1" si="44"/>
        <v>4.3534517357796788E-5</v>
      </c>
    </row>
    <row r="162" spans="3:5">
      <c r="C162" s="97">
        <f t="shared" ca="1" si="43"/>
        <v>241466.11071402044</v>
      </c>
      <c r="D162" s="100">
        <f t="shared" si="42"/>
        <v>0.32000000000000017</v>
      </c>
      <c r="E162" s="58">
        <f t="shared" ca="1" si="44"/>
        <v>4.3804613564133063E-5</v>
      </c>
    </row>
    <row r="163" spans="3:5">
      <c r="C163" s="97">
        <f t="shared" ca="1" si="43"/>
        <v>241579.91284361624</v>
      </c>
      <c r="D163" s="100">
        <f t="shared" si="42"/>
        <v>0.32500000000000018</v>
      </c>
      <c r="E163" s="58">
        <f t="shared" ca="1" si="44"/>
        <v>4.4066020692483318E-5</v>
      </c>
    </row>
    <row r="164" spans="3:5">
      <c r="C164" s="97">
        <f t="shared" ca="1" si="43"/>
        <v>241693.05291507687</v>
      </c>
      <c r="D164" s="100">
        <f t="shared" ref="D164:D195" si="45">D163+0.005</f>
        <v>0.33000000000000018</v>
      </c>
      <c r="E164" s="58">
        <f t="shared" ca="1" si="44"/>
        <v>4.4318802437827806E-5</v>
      </c>
    </row>
    <row r="165" spans="3:5">
      <c r="C165" s="97">
        <f t="shared" ca="1" si="43"/>
        <v>241805.56034193642</v>
      </c>
      <c r="D165" s="100">
        <f t="shared" si="45"/>
        <v>0.33500000000000019</v>
      </c>
      <c r="E165" s="58">
        <f t="shared" ca="1" si="44"/>
        <v>4.4563019986229807E-5</v>
      </c>
    </row>
    <row r="166" spans="3:5">
      <c r="C166" s="97">
        <f t="shared" ca="1" si="43"/>
        <v>241917.46353162589</v>
      </c>
      <c r="D166" s="100">
        <f t="shared" si="45"/>
        <v>0.34000000000000019</v>
      </c>
      <c r="E166" s="58">
        <f t="shared" ca="1" si="44"/>
        <v>4.4798732108258071E-5</v>
      </c>
    </row>
    <row r="167" spans="3:5">
      <c r="C167" s="97">
        <f t="shared" ca="1" si="43"/>
        <v>242028.78994893454</v>
      </c>
      <c r="D167" s="100">
        <f t="shared" si="45"/>
        <v>0.3450000000000002</v>
      </c>
      <c r="E167" s="58">
        <f t="shared" ca="1" si="44"/>
        <v>4.5025995246641309E-5</v>
      </c>
    </row>
    <row r="168" spans="3:5">
      <c r="C168" s="97">
        <f t="shared" ca="1" si="43"/>
        <v>242139.56617528654</v>
      </c>
      <c r="D168" s="100">
        <f t="shared" si="45"/>
        <v>0.3500000000000002</v>
      </c>
      <c r="E168" s="58">
        <f t="shared" ca="1" si="44"/>
        <v>4.5244863598564855E-5</v>
      </c>
    </row>
    <row r="169" spans="3:5">
      <c r="C169" s="97">
        <f t="shared" ca="1" si="43"/>
        <v>242249.81796418448</v>
      </c>
      <c r="D169" s="100">
        <f t="shared" si="45"/>
        <v>0.3550000000000002</v>
      </c>
      <c r="E169" s="58">
        <f t="shared" ca="1" si="44"/>
        <v>4.5455389192955442E-5</v>
      </c>
    </row>
    <row r="170" spans="3:5">
      <c r="C170" s="97">
        <f t="shared" ca="1" si="43"/>
        <v>242359.57029315628</v>
      </c>
      <c r="D170" s="100">
        <f t="shared" si="45"/>
        <v>0.36000000000000021</v>
      </c>
      <c r="E170" s="58">
        <f t="shared" ca="1" si="44"/>
        <v>4.5657621963099763E-5</v>
      </c>
    </row>
    <row r="171" spans="3:5">
      <c r="C171" s="97">
        <f t="shared" ca="1" si="43"/>
        <v>242468.84741248941</v>
      </c>
      <c r="D171" s="100">
        <f t="shared" si="45"/>
        <v>0.36500000000000021</v>
      </c>
      <c r="E171" s="58">
        <f t="shared" ca="1" si="44"/>
        <v>4.585160981488013E-5</v>
      </c>
    </row>
    <row r="172" spans="3:5">
      <c r="C172" s="97">
        <f t="shared" ca="1" si="43"/>
        <v>242577.67289102639</v>
      </c>
      <c r="D172" s="100">
        <f t="shared" si="45"/>
        <v>0.37000000000000022</v>
      </c>
      <c r="E172" s="58">
        <f t="shared" ca="1" si="44"/>
        <v>4.6037398690911936E-5</v>
      </c>
    </row>
    <row r="173" spans="3:5">
      <c r="C173" s="97">
        <f t="shared" ca="1" si="43"/>
        <v>242686.06965927128</v>
      </c>
      <c r="D173" s="100">
        <f t="shared" si="45"/>
        <v>0.37500000000000022</v>
      </c>
      <c r="E173" s="58">
        <f t="shared" ca="1" si="44"/>
        <v>4.6215032630846291E-5</v>
      </c>
    </row>
    <row r="174" spans="3:5">
      <c r="C174" s="97">
        <f t="shared" ca="1" si="43"/>
        <v>242794.06005001816</v>
      </c>
      <c r="D174" s="100">
        <f t="shared" si="45"/>
        <v>0.38000000000000023</v>
      </c>
      <c r="E174" s="58">
        <f t="shared" ca="1" si="44"/>
        <v>4.6384553828048223E-5</v>
      </c>
    </row>
    <row r="175" spans="3:5">
      <c r="C175" s="97">
        <f t="shared" ca="1" si="43"/>
        <v>242901.66583671505</v>
      </c>
      <c r="D175" s="100">
        <f t="shared" si="45"/>
        <v>0.38500000000000023</v>
      </c>
      <c r="E175" s="58">
        <f t="shared" ca="1" si="44"/>
        <v>4.6546002682884125E-5</v>
      </c>
    </row>
    <row r="176" spans="3:5">
      <c r="C176" s="97">
        <f t="shared" ca="1" si="43"/>
        <v>243008.90826974594</v>
      </c>
      <c r="D176" s="100">
        <f t="shared" si="45"/>
        <v>0.39000000000000024</v>
      </c>
      <c r="E176" s="58">
        <f t="shared" ca="1" si="44"/>
        <v>4.6699417852806109E-5</v>
      </c>
    </row>
    <row r="177" spans="3:5">
      <c r="C177" s="97">
        <f t="shared" ca="1" si="43"/>
        <v>243115.8081108038</v>
      </c>
      <c r="D177" s="100">
        <f t="shared" si="45"/>
        <v>0.39500000000000024</v>
      </c>
      <c r="E177" s="58">
        <f t="shared" ca="1" si="44"/>
        <v>4.6844836299417921E-5</v>
      </c>
    </row>
    <row r="178" spans="3:5">
      <c r="C178" s="97">
        <f t="shared" ca="1" si="43"/>
        <v>243222.38566550546</v>
      </c>
      <c r="D178" s="100">
        <f t="shared" si="45"/>
        <v>0.40000000000000024</v>
      </c>
      <c r="E178" s="58">
        <f t="shared" ca="1" si="44"/>
        <v>4.6982293332679786E-5</v>
      </c>
    </row>
    <row r="179" spans="3:5">
      <c r="C179" s="97">
        <f t="shared" ca="1" si="43"/>
        <v>243328.66081440318</v>
      </c>
      <c r="D179" s="100">
        <f t="shared" si="45"/>
        <v>0.40500000000000025</v>
      </c>
      <c r="E179" s="58">
        <f t="shared" ca="1" si="44"/>
        <v>4.711182265242199E-5</v>
      </c>
    </row>
    <row r="180" spans="3:5">
      <c r="C180" s="97">
        <f t="shared" ca="1" si="43"/>
        <v>243434.65304251714</v>
      </c>
      <c r="D180" s="100">
        <f t="shared" si="45"/>
        <v>0.41000000000000025</v>
      </c>
      <c r="E180" s="58">
        <f t="shared" ca="1" si="44"/>
        <v>4.7233456387290169E-5</v>
      </c>
    </row>
    <row r="181" spans="3:5">
      <c r="C181" s="97">
        <f t="shared" ca="1" si="43"/>
        <v>243540.38146751601</v>
      </c>
      <c r="D181" s="100">
        <f t="shared" si="45"/>
        <v>0.41500000000000026</v>
      </c>
      <c r="E181" s="58">
        <f t="shared" ca="1" si="44"/>
        <v>4.7347225131264521E-5</v>
      </c>
    </row>
    <row r="182" spans="3:5">
      <c r="C182" s="97">
        <f t="shared" ca="1" si="43"/>
        <v>243645.86486665954</v>
      </c>
      <c r="D182" s="100">
        <f t="shared" si="45"/>
        <v>0.42000000000000026</v>
      </c>
      <c r="E182" s="58">
        <f t="shared" ca="1" si="44"/>
        <v>4.7453157977866257E-5</v>
      </c>
    </row>
    <row r="183" spans="3:5">
      <c r="C183" s="97">
        <f t="shared" ca="1" si="43"/>
        <v>243751.12170261014</v>
      </c>
      <c r="D183" s="100">
        <f t="shared" si="45"/>
        <v>0.42500000000000027</v>
      </c>
      <c r="E183" s="58">
        <f t="shared" ca="1" si="44"/>
        <v>4.7551282552164438E-5</v>
      </c>
    </row>
    <row r="184" spans="3:5">
      <c r="C184" s="97">
        <f t="shared" ca="1" si="43"/>
        <v>243856.17014820891</v>
      </c>
      <c r="D184" s="100">
        <f t="shared" si="45"/>
        <v>0.43000000000000027</v>
      </c>
      <c r="E184" s="58">
        <f t="shared" ca="1" si="44"/>
        <v>4.7641625040681125E-5</v>
      </c>
    </row>
    <row r="185" spans="3:5">
      <c r="C185" s="97">
        <f t="shared" ca="1" si="43"/>
        <v>243961.0281103118</v>
      </c>
      <c r="D185" s="100">
        <f t="shared" si="45"/>
        <v>0.43500000000000028</v>
      </c>
      <c r="E185" s="58">
        <f t="shared" ca="1" si="44"/>
        <v>4.7724210219290203E-5</v>
      </c>
    </row>
    <row r="186" spans="3:5">
      <c r="C186" s="97">
        <f t="shared" ca="1" si="43"/>
        <v>244065.71325276978</v>
      </c>
      <c r="D186" s="100">
        <f t="shared" si="45"/>
        <v>0.44000000000000028</v>
      </c>
      <c r="E186" s="58">
        <f t="shared" ca="1" si="44"/>
        <v>4.7799061479192655E-5</v>
      </c>
    </row>
    <row r="187" spans="3:5">
      <c r="C187" s="97">
        <f t="shared" ca="1" si="43"/>
        <v>244170.24301863683</v>
      </c>
      <c r="D187" s="100">
        <f t="shared" si="45"/>
        <v>0.44500000000000028</v>
      </c>
      <c r="E187" s="58">
        <f t="shared" ca="1" si="44"/>
        <v>4.786620085105018E-5</v>
      </c>
    </row>
    <row r="188" spans="3:5">
      <c r="C188" s="97">
        <f t="shared" ca="1" si="43"/>
        <v>244274.63465167716</v>
      </c>
      <c r="D188" s="100">
        <f t="shared" si="45"/>
        <v>0.45000000000000029</v>
      </c>
      <c r="E188" s="58">
        <f t="shared" ca="1" si="44"/>
        <v>4.7925649027342076E-5</v>
      </c>
    </row>
    <row r="189" spans="3:5">
      <c r="C189" s="97">
        <f t="shared" ca="1" si="43"/>
        <v>244378.90521724973</v>
      </c>
      <c r="D189" s="100">
        <f t="shared" si="45"/>
        <v>0.45500000000000029</v>
      </c>
      <c r="E189" s="58">
        <f t="shared" ca="1" si="44"/>
        <v>4.7977425383018664E-5</v>
      </c>
    </row>
    <row r="190" spans="3:5">
      <c r="C190" s="97">
        <f t="shared" ca="1" si="43"/>
        <v>244483.0716226325</v>
      </c>
      <c r="D190" s="100">
        <f t="shared" si="45"/>
        <v>0.4600000000000003</v>
      </c>
      <c r="E190" s="58">
        <f t="shared" ca="1" si="44"/>
        <v>4.802154799450121E-5</v>
      </c>
    </row>
    <row r="191" spans="3:5">
      <c r="C191" s="97">
        <f t="shared" ca="1" si="43"/>
        <v>244587.15063685665</v>
      </c>
      <c r="D191" s="100">
        <f t="shared" si="45"/>
        <v>0.4650000000000003</v>
      </c>
      <c r="E191" s="58">
        <f t="shared" ca="1" si="44"/>
        <v>4.8058033657091348E-5</v>
      </c>
    </row>
    <row r="192" spans="3:5">
      <c r="C192" s="97">
        <f t="shared" ca="1" si="43"/>
        <v>244691.15891010963</v>
      </c>
      <c r="D192" s="100">
        <f t="shared" si="45"/>
        <v>0.47000000000000031</v>
      </c>
      <c r="E192" s="58">
        <f t="shared" ca="1" si="44"/>
        <v>4.8086897900831547E-5</v>
      </c>
    </row>
    <row r="193" spans="3:5">
      <c r="C193" s="97">
        <f t="shared" ca="1" si="43"/>
        <v>244795.11299276864</v>
      </c>
      <c r="D193" s="100">
        <f t="shared" si="45"/>
        <v>0.47500000000000031</v>
      </c>
      <c r="E193" s="58">
        <f t="shared" ca="1" si="44"/>
        <v>4.8108155004863404E-5</v>
      </c>
    </row>
    <row r="194" spans="3:5">
      <c r="C194" s="97">
        <f t="shared" ca="1" si="43"/>
        <v>244899.0293541188</v>
      </c>
      <c r="D194" s="100">
        <f t="shared" si="45"/>
        <v>0.48000000000000032</v>
      </c>
      <c r="E194" s="58">
        <f t="shared" ca="1" si="44"/>
        <v>4.8121818010320798E-5</v>
      </c>
    </row>
    <row r="195" spans="3:5">
      <c r="C195" s="97">
        <f t="shared" ca="1" si="43"/>
        <v>245002.92440081699</v>
      </c>
      <c r="D195" s="100">
        <f t="shared" si="45"/>
        <v>0.48500000000000032</v>
      </c>
      <c r="E195" s="58">
        <f t="shared" ca="1" si="44"/>
        <v>4.8127898731795116E-5</v>
      </c>
    </row>
    <row r="196" spans="3:5">
      <c r="C196" s="97">
        <f t="shared" ca="1" si="43"/>
        <v>245106.81449515271</v>
      </c>
      <c r="D196" s="100">
        <f t="shared" ref="D196:D227" si="46">D195+0.005</f>
        <v>0.49000000000000032</v>
      </c>
      <c r="E196" s="58">
        <f t="shared" ca="1" si="44"/>
        <v>4.8126407767398535E-5</v>
      </c>
    </row>
    <row r="197" spans="3:5">
      <c r="C197" s="97">
        <f t="shared" ca="1" si="43"/>
        <v>245210.71597315581</v>
      </c>
      <c r="D197" s="100">
        <f t="shared" si="46"/>
        <v>0.49500000000000033</v>
      </c>
      <c r="E197" s="58">
        <f t="shared" ca="1" si="44"/>
        <v>4.8117354507453924E-5</v>
      </c>
    </row>
    <row r="198" spans="3:5">
      <c r="C198" s="97">
        <f t="shared" ca="1" si="43"/>
        <v>245314.64516261089</v>
      </c>
      <c r="D198" s="100">
        <f t="shared" si="46"/>
        <v>0.50000000000000033</v>
      </c>
      <c r="E198" s="58">
        <f t="shared" ca="1" si="44"/>
        <v>4.8100747141831656E-5</v>
      </c>
    </row>
    <row r="199" spans="3:5">
      <c r="C199" s="97">
        <f t="shared" ca="1" si="43"/>
        <v>245418.61840102353</v>
      </c>
      <c r="D199" s="100">
        <f t="shared" si="46"/>
        <v>0.50500000000000034</v>
      </c>
      <c r="E199" s="58">
        <f t="shared" ca="1" si="44"/>
        <v>4.8076592665952866E-5</v>
      </c>
    </row>
    <row r="200" spans="3:5">
      <c r="C200" s="97">
        <f t="shared" ca="1" si="43"/>
        <v>245522.652053592</v>
      </c>
      <c r="D200" s="100">
        <f t="shared" si="46"/>
        <v>0.51000000000000034</v>
      </c>
      <c r="E200" s="58">
        <f t="shared" ca="1" si="44"/>
        <v>4.8044896885469473E-5</v>
      </c>
    </row>
    <row r="201" spans="3:5">
      <c r="C201" s="97">
        <f t="shared" ca="1" si="43"/>
        <v>245626.76253123538</v>
      </c>
      <c r="D201" s="100">
        <f t="shared" si="46"/>
        <v>0.51500000000000035</v>
      </c>
      <c r="E201" s="58">
        <f t="shared" ca="1" si="44"/>
        <v>4.8005664419636278E-5</v>
      </c>
    </row>
    <row r="202" spans="3:5">
      <c r="C202" s="97">
        <f t="shared" ca="1" si="43"/>
        <v>245730.96630873019</v>
      </c>
      <c r="D202" s="100">
        <f t="shared" si="46"/>
        <v>0.52000000000000035</v>
      </c>
      <c r="E202" s="58">
        <f t="shared" ca="1" si="44"/>
        <v>4.7958898703376099E-5</v>
      </c>
    </row>
    <row r="203" spans="3:5">
      <c r="C203" s="97">
        <f t="shared" ca="1" si="43"/>
        <v>245835.27994300856</v>
      </c>
      <c r="D203" s="100">
        <f t="shared" si="46"/>
        <v>0.52500000000000036</v>
      </c>
      <c r="E203" s="58">
        <f t="shared" ca="1" si="44"/>
        <v>4.790460198804386E-5</v>
      </c>
    </row>
    <row r="204" spans="3:5">
      <c r="C204" s="97">
        <f t="shared" ca="1" si="43"/>
        <v>245939.72009166586</v>
      </c>
      <c r="D204" s="100">
        <f t="shared" si="46"/>
        <v>0.53000000000000036</v>
      </c>
      <c r="E204" s="58">
        <f t="shared" ca="1" si="44"/>
        <v>4.7842775340888579E-5</v>
      </c>
    </row>
    <row r="205" spans="3:5">
      <c r="C205" s="97">
        <f t="shared" ca="1" si="43"/>
        <v>246044.30353173806</v>
      </c>
      <c r="D205" s="100">
        <f t="shared" si="46"/>
        <v>0.53500000000000036</v>
      </c>
      <c r="E205" s="58">
        <f t="shared" ca="1" si="44"/>
        <v>4.777341864320746E-5</v>
      </c>
    </row>
    <row r="206" spans="3:5">
      <c r="C206" s="97">
        <f t="shared" ca="1" si="43"/>
        <v>246149.04717880159</v>
      </c>
      <c r="D206" s="100">
        <f t="shared" si="46"/>
        <v>0.54000000000000037</v>
      </c>
      <c r="E206" s="58">
        <f t="shared" ca="1" si="44"/>
        <v>4.7696530587181625E-5</v>
      </c>
    </row>
    <row r="207" spans="3:5">
      <c r="C207" s="97">
        <f t="shared" ca="1" si="43"/>
        <v>246253.96810644964</v>
      </c>
      <c r="D207" s="100">
        <f t="shared" si="46"/>
        <v>0.54500000000000037</v>
      </c>
      <c r="E207" s="58">
        <f t="shared" ca="1" si="44"/>
        <v>4.7612108671386354E-5</v>
      </c>
    </row>
    <row r="208" spans="3:5">
      <c r="C208" s="97">
        <f t="shared" ca="1" si="43"/>
        <v>246359.08356620895</v>
      </c>
      <c r="D208" s="100">
        <f t="shared" si="46"/>
        <v>0.55000000000000038</v>
      </c>
      <c r="E208" s="58">
        <f t="shared" ca="1" si="44"/>
        <v>4.7520149194954418E-5</v>
      </c>
    </row>
    <row r="209" spans="3:5">
      <c r="C209" s="97">
        <f t="shared" ca="1" si="43"/>
        <v>246464.41100795552</v>
      </c>
      <c r="D209" s="100">
        <f t="shared" si="46"/>
        <v>0.55500000000000038</v>
      </c>
      <c r="E209" s="58">
        <f t="shared" ca="1" si="44"/>
        <v>4.7420647250375417E-5</v>
      </c>
    </row>
    <row r="210" spans="3:5">
      <c r="C210" s="97">
        <f t="shared" ca="1" si="43"/>
        <v>246569.96810089526</v>
      </c>
      <c r="D210" s="100">
        <f t="shared" si="46"/>
        <v>0.56000000000000039</v>
      </c>
      <c r="E210" s="58">
        <f t="shared" ca="1" si="44"/>
        <v>4.731359671490256E-5</v>
      </c>
    </row>
    <row r="211" spans="3:5">
      <c r="C211" s="97">
        <f t="shared" ca="1" si="43"/>
        <v>246675.77275517321</v>
      </c>
      <c r="D211" s="100">
        <f t="shared" si="46"/>
        <v>0.56500000000000039</v>
      </c>
      <c r="E211" s="58">
        <f t="shared" ca="1" si="44"/>
        <v>4.7198990240546501E-5</v>
      </c>
    </row>
    <row r="212" spans="3:5">
      <c r="C212" s="97">
        <f t="shared" ca="1" si="43"/>
        <v>246781.84314418794</v>
      </c>
      <c r="D212" s="100">
        <f t="shared" si="46"/>
        <v>0.5700000000000004</v>
      </c>
      <c r="E212" s="58">
        <f t="shared" ca="1" si="44"/>
        <v>4.7076819242611779E-5</v>
      </c>
    </row>
    <row r="213" spans="3:5">
      <c r="C213" s="97">
        <f t="shared" ca="1" si="43"/>
        <v>246888.19772767957</v>
      </c>
      <c r="D213" s="100">
        <f t="shared" si="46"/>
        <v>0.5750000000000004</v>
      </c>
      <c r="E213" s="58">
        <f t="shared" ca="1" si="44"/>
        <v>4.6947073886749674E-5</v>
      </c>
    </row>
    <row r="214" spans="3:5">
      <c r="C214" s="97">
        <f t="shared" ca="1" si="43"/>
        <v>246994.85527567685</v>
      </c>
      <c r="D214" s="100">
        <f t="shared" si="46"/>
        <v>0.5800000000000004</v>
      </c>
      <c r="E214" s="58">
        <f t="shared" ca="1" si="44"/>
        <v>4.6809743074474516E-5</v>
      </c>
    </row>
    <row r="215" spans="3:5">
      <c r="C215" s="97">
        <f t="shared" ca="1" si="43"/>
        <v>247101.83489338317</v>
      </c>
      <c r="D215" s="100">
        <f t="shared" si="46"/>
        <v>0.58500000000000041</v>
      </c>
      <c r="E215" s="58">
        <f t="shared" ca="1" si="44"/>
        <v>4.666481442710361E-5</v>
      </c>
    </row>
    <row r="216" spans="3:5">
      <c r="C216" s="97">
        <f t="shared" ca="1" si="43"/>
        <v>247209.15604709357</v>
      </c>
      <c r="D216" s="100">
        <f t="shared" si="46"/>
        <v>0.59000000000000041</v>
      </c>
      <c r="E216" s="58">
        <f t="shared" ca="1" si="44"/>
        <v>4.6512274268063187E-5</v>
      </c>
    </row>
    <row r="217" spans="3:5">
      <c r="C217" s="97">
        <f t="shared" ca="1" si="43"/>
        <v>247316.83859123738</v>
      </c>
      <c r="D217" s="100">
        <f t="shared" si="46"/>
        <v>0.59500000000000042</v>
      </c>
      <c r="E217" s="58">
        <f t="shared" ca="1" si="44"/>
        <v>4.6352107603504164E-5</v>
      </c>
    </row>
    <row r="218" spans="3:5">
      <c r="C218" s="97">
        <f t="shared" ca="1" si="43"/>
        <v>247424.90279665284</v>
      </c>
      <c r="D218" s="100">
        <f t="shared" si="46"/>
        <v>0.60000000000000042</v>
      </c>
      <c r="E218" s="58">
        <f t="shared" ca="1" si="44"/>
        <v>4.6184298101159179E-5</v>
      </c>
    </row>
    <row r="219" spans="3:5">
      <c r="C219" s="97">
        <f t="shared" ca="1" si="43"/>
        <v>247533.3693802011</v>
      </c>
      <c r="D219" s="100">
        <f t="shared" si="46"/>
        <v>0.60500000000000043</v>
      </c>
      <c r="E219" s="58">
        <f t="shared" ca="1" si="44"/>
        <v>4.6008828067373403E-5</v>
      </c>
    </row>
    <row r="220" spans="3:5">
      <c r="C220" s="97">
        <f t="shared" ca="1" si="43"/>
        <v>247642.25953584057</v>
      </c>
      <c r="D220" s="100">
        <f t="shared" si="46"/>
        <v>0.61000000000000043</v>
      </c>
      <c r="E220" s="58">
        <f t="shared" ca="1" si="44"/>
        <v>4.5825678422226948E-5</v>
      </c>
    </row>
    <row r="221" spans="3:5">
      <c r="C221" s="97">
        <f t="shared" ca="1" si="43"/>
        <v>247751.59496728933</v>
      </c>
      <c r="D221" s="100">
        <f t="shared" si="46"/>
        <v>0.61500000000000044</v>
      </c>
      <c r="E221" s="58">
        <f t="shared" ca="1" si="44"/>
        <v>4.5634828672669123E-5</v>
      </c>
    </row>
    <row r="222" spans="3:5">
      <c r="C222" s="97">
        <f t="shared" ca="1" si="43"/>
        <v>247861.39792242087</v>
      </c>
      <c r="D222" s="100">
        <f t="shared" si="46"/>
        <v>0.62000000000000044</v>
      </c>
      <c r="E222" s="58">
        <f t="shared" ca="1" si="44"/>
        <v>4.5436256883556124E-5</v>
      </c>
    </row>
    <row r="223" spans="3:5">
      <c r="C223" s="97">
        <f t="shared" ca="1" si="43"/>
        <v>247971.69122953276</v>
      </c>
      <c r="D223" s="100">
        <f t="shared" si="46"/>
        <v>0.62500000000000044</v>
      </c>
      <c r="E223" s="58">
        <f t="shared" ca="1" si="44"/>
        <v>4.5229939646511123E-5</v>
      </c>
    </row>
    <row r="224" spans="3:5">
      <c r="C224" s="97">
        <f t="shared" ref="C224:C287" ca="1" si="47">_xlfn.LOGNORM.INV(D224,$E$90,$E$92)</f>
        <v>248082.49833566562</v>
      </c>
      <c r="D224" s="100">
        <f t="shared" si="46"/>
        <v>0.63000000000000045</v>
      </c>
      <c r="E224" s="58">
        <f t="shared" ref="E224:E287" ca="1" si="48">_xlfn.LOGNORM.DIST(C224,$E$90,$E$92,FALSE)</f>
        <v>4.5015852046473383E-5</v>
      </c>
    </row>
    <row r="225" spans="3:5">
      <c r="C225" s="97">
        <f t="shared" ca="1" si="47"/>
        <v>248193.84334714289</v>
      </c>
      <c r="D225" s="100">
        <f t="shared" si="46"/>
        <v>0.63500000000000045</v>
      </c>
      <c r="E225" s="58">
        <f t="shared" ca="1" si="48"/>
        <v>4.4793967625825693E-5</v>
      </c>
    </row>
    <row r="226" spans="3:5">
      <c r="C226" s="97">
        <f t="shared" ca="1" si="47"/>
        <v>248305.75107252956</v>
      </c>
      <c r="D226" s="100">
        <f t="shared" si="46"/>
        <v>0.64000000000000046</v>
      </c>
      <c r="E226" s="58">
        <f t="shared" ca="1" si="48"/>
        <v>4.4564258345961583E-5</v>
      </c>
    </row>
    <row r="227" spans="3:5">
      <c r="C227" s="97">
        <f t="shared" ca="1" si="47"/>
        <v>248418.24706821833</v>
      </c>
      <c r="D227" s="100">
        <f t="shared" si="46"/>
        <v>0.64500000000000046</v>
      </c>
      <c r="E227" s="58">
        <f t="shared" ca="1" si="48"/>
        <v>4.4326694546156755E-5</v>
      </c>
    </row>
    <row r="228" spans="3:5">
      <c r="C228" s="97">
        <f t="shared" ca="1" si="47"/>
        <v>248531.35768688706</v>
      </c>
      <c r="D228" s="100">
        <f t="shared" ref="D228:D259" si="49">D227+0.005</f>
        <v>0.65000000000000047</v>
      </c>
      <c r="E228" s="58">
        <f t="shared" ca="1" si="48"/>
        <v>4.4081244899561961E-5</v>
      </c>
    </row>
    <row r="229" spans="3:5">
      <c r="C229" s="97">
        <f t="shared" ca="1" si="47"/>
        <v>248645.11012906715</v>
      </c>
      <c r="D229" s="100">
        <f t="shared" si="49"/>
        <v>0.65500000000000047</v>
      </c>
      <c r="E229" s="58">
        <f t="shared" ca="1" si="48"/>
        <v>4.3827876366176424E-5</v>
      </c>
    </row>
    <row r="230" spans="3:5">
      <c r="C230" s="97">
        <f t="shared" ca="1" si="47"/>
        <v>248759.53249811771</v>
      </c>
      <c r="D230" s="100">
        <f t="shared" si="49"/>
        <v>0.66000000000000048</v>
      </c>
      <c r="E230" s="58">
        <f t="shared" ca="1" si="48"/>
        <v>4.3566554142581874E-5</v>
      </c>
    </row>
    <row r="231" spans="3:5">
      <c r="C231" s="97">
        <f t="shared" ca="1" si="47"/>
        <v>248874.65385890377</v>
      </c>
      <c r="D231" s="100">
        <f t="shared" si="49"/>
        <v>0.66500000000000048</v>
      </c>
      <c r="E231" s="58">
        <f t="shared" ca="1" si="48"/>
        <v>4.3297241608252674E-5</v>
      </c>
    </row>
    <row r="232" spans="3:5">
      <c r="C232" s="97">
        <f t="shared" ca="1" si="47"/>
        <v>248990.5043005218</v>
      </c>
      <c r="D232" s="100">
        <f t="shared" si="49"/>
        <v>0.67000000000000048</v>
      </c>
      <c r="E232" s="58">
        <f t="shared" ca="1" si="48"/>
        <v>4.3019900268205954E-5</v>
      </c>
    </row>
    <row r="233" spans="3:5">
      <c r="C233" s="97">
        <f t="shared" ca="1" si="47"/>
        <v>249107.11500344815</v>
      </c>
      <c r="D233" s="100">
        <f t="shared" si="49"/>
        <v>0.67500000000000049</v>
      </c>
      <c r="E233" s="58">
        <f t="shared" ca="1" si="48"/>
        <v>4.2734489691744675E-5</v>
      </c>
    </row>
    <row r="234" spans="3:5">
      <c r="C234" s="97">
        <f t="shared" ca="1" si="47"/>
        <v>249224.51831151912</v>
      </c>
      <c r="D234" s="100">
        <f t="shared" si="49"/>
        <v>0.68000000000000049</v>
      </c>
      <c r="E234" s="58">
        <f t="shared" ca="1" si="48"/>
        <v>4.2440967447033692E-5</v>
      </c>
    </row>
    <row r="235" spans="3:5">
      <c r="C235" s="97">
        <f t="shared" ca="1" si="47"/>
        <v>249342.74780920893</v>
      </c>
      <c r="D235" s="100">
        <f t="shared" si="49"/>
        <v>0.6850000000000005</v>
      </c>
      <c r="E235" s="58">
        <f t="shared" ca="1" si="48"/>
        <v>4.2139289031195493E-5</v>
      </c>
    </row>
    <row r="236" spans="3:5">
      <c r="C236" s="97">
        <f t="shared" ca="1" si="47"/>
        <v>249461.83840470237</v>
      </c>
      <c r="D236" s="100">
        <f t="shared" si="49"/>
        <v>0.6900000000000005</v>
      </c>
      <c r="E236" s="58">
        <f t="shared" ca="1" si="48"/>
        <v>4.1829407795628038E-5</v>
      </c>
    </row>
    <row r="237" spans="3:5">
      <c r="C237" s="97">
        <f t="shared" ca="1" si="47"/>
        <v>249581.82641933943</v>
      </c>
      <c r="D237" s="100">
        <f t="shared" si="49"/>
        <v>0.69500000000000051</v>
      </c>
      <c r="E237" s="58">
        <f t="shared" ca="1" si="48"/>
        <v>4.1511274866158544E-5</v>
      </c>
    </row>
    <row r="238" spans="3:5">
      <c r="C238" s="97">
        <f t="shared" ca="1" si="47"/>
        <v>249702.74968404524</v>
      </c>
      <c r="D238" s="100">
        <f t="shared" si="49"/>
        <v>0.70000000000000051</v>
      </c>
      <c r="E238" s="58">
        <f t="shared" ca="1" si="48"/>
        <v>4.118483905768049E-5</v>
      </c>
    </row>
    <row r="239" spans="3:5">
      <c r="C239" s="97">
        <f t="shared" ca="1" si="47"/>
        <v>249824.647643462</v>
      </c>
      <c r="D239" s="100">
        <f t="shared" si="49"/>
        <v>0.70500000000000052</v>
      </c>
      <c r="E239" s="58">
        <f t="shared" ca="1" si="48"/>
        <v>4.0850046782801595E-5</v>
      </c>
    </row>
    <row r="240" spans="3:5">
      <c r="C240" s="97">
        <f t="shared" ca="1" si="47"/>
        <v>249947.56146854869</v>
      </c>
      <c r="D240" s="100">
        <f t="shared" si="49"/>
        <v>0.71000000000000052</v>
      </c>
      <c r="E240" s="58">
        <f t="shared" ca="1" si="48"/>
        <v>4.0506841954074644E-5</v>
      </c>
    </row>
    <row r="241" spans="3:5">
      <c r="C241" s="97">
        <f t="shared" ca="1" si="47"/>
        <v>250071.5341785333</v>
      </c>
      <c r="D241" s="100">
        <f t="shared" si="49"/>
        <v>0.71500000000000052</v>
      </c>
      <c r="E241" s="58">
        <f t="shared" ca="1" si="48"/>
        <v>4.0155165879266978E-5</v>
      </c>
    </row>
    <row r="242" spans="3:5">
      <c r="C242" s="97">
        <f t="shared" ca="1" si="47"/>
        <v>250196.61077320023</v>
      </c>
      <c r="D242" s="100">
        <f t="shared" si="49"/>
        <v>0.72000000000000053</v>
      </c>
      <c r="E242" s="58">
        <f t="shared" ca="1" si="48"/>
        <v>3.9794957149088482E-5</v>
      </c>
    </row>
    <row r="243" spans="3:5">
      <c r="C243" s="97">
        <f t="shared" ca="1" si="47"/>
        <v>250322.83837660708</v>
      </c>
      <c r="D243" s="100">
        <f t="shared" si="49"/>
        <v>0.72500000000000053</v>
      </c>
      <c r="E243" s="58">
        <f t="shared" ca="1" si="48"/>
        <v>3.9426151516770151E-5</v>
      </c>
    </row>
    <row r="244" spans="3:5">
      <c r="C244" s="97">
        <f t="shared" ca="1" si="47"/>
        <v>250450.26639347945</v>
      </c>
      <c r="D244" s="100">
        <f t="shared" si="49"/>
        <v>0.73000000000000054</v>
      </c>
      <c r="E244" s="58">
        <f t="shared" ca="1" si="48"/>
        <v>3.9048681768767454E-5</v>
      </c>
    </row>
    <row r="245" spans="3:5">
      <c r="C245" s="97">
        <f t="shared" ca="1" si="47"/>
        <v>250578.94667968445</v>
      </c>
      <c r="D245" s="100">
        <f t="shared" si="49"/>
        <v>0.73500000000000054</v>
      </c>
      <c r="E245" s="58">
        <f t="shared" ca="1" si="48"/>
        <v>3.86624775858137E-5</v>
      </c>
    </row>
    <row r="246" spans="3:5">
      <c r="C246" s="97">
        <f t="shared" ca="1" si="47"/>
        <v>250708.93372836133</v>
      </c>
      <c r="D246" s="100">
        <f t="shared" si="49"/>
        <v>0.74000000000000055</v>
      </c>
      <c r="E246" s="58">
        <f t="shared" ca="1" si="48"/>
        <v>3.8267465393470958E-5</v>
      </c>
    </row>
    <row r="247" spans="3:5">
      <c r="C247" s="97">
        <f t="shared" ca="1" si="47"/>
        <v>250840.28487351193</v>
      </c>
      <c r="D247" s="100">
        <f t="shared" si="49"/>
        <v>0.74500000000000055</v>
      </c>
      <c r="E247" s="58">
        <f t="shared" ca="1" si="48"/>
        <v>3.7863568201196102E-5</v>
      </c>
    </row>
    <row r="248" spans="3:5">
      <c r="C248" s="97">
        <f t="shared" ca="1" si="47"/>
        <v>250973.06051308784</v>
      </c>
      <c r="D248" s="100">
        <f t="shared" si="49"/>
        <v>0.75000000000000056</v>
      </c>
      <c r="E248" s="58">
        <f t="shared" ca="1" si="48"/>
        <v>3.7450705428855896E-5</v>
      </c>
    </row>
    <row r="249" spans="3:5">
      <c r="C249" s="97">
        <f t="shared" ca="1" si="47"/>
        <v>251107.32435389434</v>
      </c>
      <c r="D249" s="100">
        <f t="shared" si="49"/>
        <v>0.75500000000000056</v>
      </c>
      <c r="E249" s="58">
        <f t="shared" ca="1" si="48"/>
        <v>3.7028792719499931E-5</v>
      </c>
    </row>
    <row r="250" spans="3:5">
      <c r="C250" s="97">
        <f t="shared" ca="1" si="47"/>
        <v>251243.14368097266</v>
      </c>
      <c r="D250" s="100">
        <f t="shared" si="49"/>
        <v>0.76000000000000056</v>
      </c>
      <c r="E250" s="58">
        <f t="shared" ca="1" si="48"/>
        <v>3.659774173702174E-5</v>
      </c>
    </row>
    <row r="251" spans="3:5">
      <c r="C251" s="97">
        <f t="shared" ca="1" si="47"/>
        <v>251380.58965448738</v>
      </c>
      <c r="D251" s="100">
        <f t="shared" si="49"/>
        <v>0.76500000000000057</v>
      </c>
      <c r="E251" s="58">
        <f t="shared" ca="1" si="48"/>
        <v>3.6157459947228239E-5</v>
      </c>
    </row>
    <row r="252" spans="3:5">
      <c r="C252" s="97">
        <f t="shared" ca="1" si="47"/>
        <v>251519.73763761643</v>
      </c>
      <c r="D252" s="100">
        <f t="shared" si="49"/>
        <v>0.77000000000000057</v>
      </c>
      <c r="E252" s="58">
        <f t="shared" ca="1" si="48"/>
        <v>3.5707850380588784E-5</v>
      </c>
    </row>
    <row r="253" spans="3:5">
      <c r="C253" s="97">
        <f t="shared" ca="1" si="47"/>
        <v>251660.66755944671</v>
      </c>
      <c r="D253" s="100">
        <f t="shared" si="49"/>
        <v>0.77500000000000058</v>
      </c>
      <c r="E253" s="58">
        <f t="shared" ca="1" si="48"/>
        <v>3.5248811374782769E-5</v>
      </c>
    </row>
    <row r="254" spans="3:5">
      <c r="C254" s="97">
        <f t="shared" ca="1" si="47"/>
        <v>251803.46431751936</v>
      </c>
      <c r="D254" s="100">
        <f t="shared" si="49"/>
        <v>0.78000000000000058</v>
      </c>
      <c r="E254" s="58">
        <f t="shared" ca="1" si="48"/>
        <v>3.4780236294852929E-5</v>
      </c>
    </row>
    <row r="255" spans="3:5">
      <c r="C255" s="97">
        <f t="shared" ca="1" si="47"/>
        <v>251948.21822538826</v>
      </c>
      <c r="D255" s="100">
        <f t="shared" si="49"/>
        <v>0.78500000000000059</v>
      </c>
      <c r="E255" s="58">
        <f t="shared" ca="1" si="48"/>
        <v>3.4302013228528412E-5</v>
      </c>
    </row>
    <row r="256" spans="3:5">
      <c r="C256" s="97">
        <f t="shared" ca="1" si="47"/>
        <v>252095.02551142705</v>
      </c>
      <c r="D256" s="100">
        <f t="shared" si="49"/>
        <v>0.79000000000000059</v>
      </c>
      <c r="E256" s="58">
        <f t="shared" ca="1" si="48"/>
        <v>3.3814024653940895E-5</v>
      </c>
    </row>
    <row r="257" spans="3:5">
      <c r="C257" s="97">
        <f t="shared" ca="1" si="47"/>
        <v>252243.9888761669</v>
      </c>
      <c r="D257" s="100">
        <f t="shared" si="49"/>
        <v>0.7950000000000006</v>
      </c>
      <c r="E257" s="58">
        <f t="shared" ca="1" si="48"/>
        <v>3.3316147076528403E-5</v>
      </c>
    </row>
    <row r="258" spans="3:5">
      <c r="C258" s="97">
        <f t="shared" ca="1" si="47"/>
        <v>252395.21811666217</v>
      </c>
      <c r="D258" s="100">
        <f t="shared" si="49"/>
        <v>0.8000000000000006</v>
      </c>
      <c r="E258" s="58">
        <f t="shared" ca="1" si="48"/>
        <v>3.2808250631539416E-5</v>
      </c>
    </row>
    <row r="259" spans="3:5">
      <c r="C259" s="97">
        <f t="shared" ca="1" si="47"/>
        <v>252548.83082788656</v>
      </c>
      <c r="D259" s="100">
        <f t="shared" si="49"/>
        <v>0.8050000000000006</v>
      </c>
      <c r="E259" s="58">
        <f t="shared" ca="1" si="48"/>
        <v>3.2290198647946485E-5</v>
      </c>
    </row>
    <row r="260" spans="3:5">
      <c r="C260" s="97">
        <f t="shared" ca="1" si="47"/>
        <v>252704.95319293081</v>
      </c>
      <c r="D260" s="100">
        <f t="shared" ref="D260:D291" si="50">D259+0.005</f>
        <v>0.81000000000000061</v>
      </c>
      <c r="E260" s="58">
        <f t="shared" ca="1" si="48"/>
        <v>3.1761847169018188E-5</v>
      </c>
    </row>
    <row r="261" spans="3:5">
      <c r="C261" s="97">
        <f t="shared" ca="1" si="47"/>
        <v>252863.72087595626</v>
      </c>
      <c r="D261" s="100">
        <f t="shared" si="50"/>
        <v>0.81500000000000061</v>
      </c>
      <c r="E261" s="58">
        <f t="shared" ca="1" si="48"/>
        <v>3.1223044423995158E-5</v>
      </c>
    </row>
    <row r="262" spans="3:5">
      <c r="C262" s="97">
        <f t="shared" ca="1" si="47"/>
        <v>253025.28003446868</v>
      </c>
      <c r="D262" s="100">
        <f t="shared" si="50"/>
        <v>0.82000000000000062</v>
      </c>
      <c r="E262" s="58">
        <f t="shared" ca="1" si="48"/>
        <v>3.0673630244513027E-5</v>
      </c>
    </row>
    <row r="263" spans="3:5">
      <c r="C263" s="97">
        <f t="shared" ca="1" si="47"/>
        <v>253189.78847070961</v>
      </c>
      <c r="D263" s="100">
        <f t="shared" si="50"/>
        <v>0.82500000000000062</v>
      </c>
      <c r="E263" s="58">
        <f t="shared" ca="1" si="48"/>
        <v>3.0113435418323177E-5</v>
      </c>
    </row>
    <row r="264" spans="3:5">
      <c r="C264" s="97">
        <f t="shared" ca="1" si="47"/>
        <v>253357.4169459079</v>
      </c>
      <c r="D264" s="100">
        <f t="shared" si="50"/>
        <v>0.83000000000000063</v>
      </c>
      <c r="E264" s="58">
        <f t="shared" ca="1" si="48"/>
        <v>2.9542280971636981E-5</v>
      </c>
    </row>
    <row r="265" spans="3:5">
      <c r="C265" s="97">
        <f t="shared" ca="1" si="47"/>
        <v>253528.35068601536</v>
      </c>
      <c r="D265" s="100">
        <f t="shared" si="50"/>
        <v>0.83500000000000063</v>
      </c>
      <c r="E265" s="58">
        <f t="shared" ca="1" si="48"/>
        <v>2.8959977369934397E-5</v>
      </c>
    </row>
    <row r="266" spans="3:5">
      <c r="C266" s="97">
        <f t="shared" ca="1" si="47"/>
        <v>253702.79111362243</v>
      </c>
      <c r="D266" s="100">
        <f t="shared" si="50"/>
        <v>0.84000000000000064</v>
      </c>
      <c r="E266" s="58">
        <f t="shared" ca="1" si="48"/>
        <v>2.8366323625262638E-5</v>
      </c>
    </row>
    <row r="267" spans="3:5">
      <c r="C267" s="97">
        <f t="shared" ca="1" si="47"/>
        <v>253880.95784833678</v>
      </c>
      <c r="D267" s="100">
        <f t="shared" si="50"/>
        <v>0.84500000000000064</v>
      </c>
      <c r="E267" s="58">
        <f t="shared" ca="1" si="48"/>
        <v>2.776110629586413E-5</v>
      </c>
    </row>
    <row r="268" spans="3:5">
      <c r="C268" s="97">
        <f t="shared" ca="1" si="47"/>
        <v>254063.09102746332</v>
      </c>
      <c r="D268" s="100">
        <f t="shared" si="50"/>
        <v>0.85000000000000064</v>
      </c>
      <c r="E268" s="58">
        <f t="shared" ca="1" si="48"/>
        <v>2.7144098361298805E-5</v>
      </c>
    </row>
    <row r="269" spans="3:5">
      <c r="C269" s="97">
        <f t="shared" ca="1" si="47"/>
        <v>254249.45401092997</v>
      </c>
      <c r="D269" s="100">
        <f t="shared" si="50"/>
        <v>0.85500000000000065</v>
      </c>
      <c r="E269" s="58">
        <f t="shared" ca="1" si="48"/>
        <v>2.6515057952943543E-5</v>
      </c>
    </row>
    <row r="270" spans="3:5">
      <c r="C270" s="97">
        <f t="shared" ca="1" si="47"/>
        <v>254440.33654987457</v>
      </c>
      <c r="D270" s="100">
        <f t="shared" si="50"/>
        <v>0.86000000000000065</v>
      </c>
      <c r="E270" s="58">
        <f t="shared" ca="1" si="48"/>
        <v>2.587372691567044E-5</v>
      </c>
    </row>
    <row r="271" spans="3:5">
      <c r="C271" s="97">
        <f t="shared" ca="1" si="47"/>
        <v>254636.05851819948</v>
      </c>
      <c r="D271" s="100">
        <f t="shared" si="50"/>
        <v>0.86500000000000066</v>
      </c>
      <c r="E271" s="58">
        <f t="shared" ca="1" si="48"/>
        <v>2.5219829171487375E-5</v>
      </c>
    </row>
    <row r="272" spans="3:5">
      <c r="C272" s="97">
        <f t="shared" ca="1" si="47"/>
        <v>254836.97433224664</v>
      </c>
      <c r="D272" s="100">
        <f t="shared" si="50"/>
        <v>0.87000000000000066</v>
      </c>
      <c r="E272" s="58">
        <f t="shared" ca="1" si="48"/>
        <v>2.4553068849536549E-5</v>
      </c>
    </row>
    <row r="273" spans="3:5">
      <c r="C273" s="97">
        <f t="shared" ca="1" si="47"/>
        <v>255043.47821757599</v>
      </c>
      <c r="D273" s="100">
        <f t="shared" si="50"/>
        <v>0.87500000000000067</v>
      </c>
      <c r="E273" s="58">
        <f t="shared" ca="1" si="48"/>
        <v>2.3873128138840196E-5</v>
      </c>
    </row>
    <row r="274" spans="3:5">
      <c r="C274" s="97">
        <f t="shared" ca="1" si="47"/>
        <v>255256.01052655495</v>
      </c>
      <c r="D274" s="100">
        <f t="shared" si="50"/>
        <v>0.88000000000000067</v>
      </c>
      <c r="E274" s="58">
        <f t="shared" ca="1" si="48"/>
        <v>2.3179664810008157E-5</v>
      </c>
    </row>
    <row r="275" spans="3:5">
      <c r="C275" s="97">
        <f t="shared" ca="1" si="47"/>
        <v>255475.06537026132</v>
      </c>
      <c r="D275" s="100">
        <f t="shared" si="50"/>
        <v>0.88500000000000068</v>
      </c>
      <c r="E275" s="58">
        <f t="shared" ca="1" si="48"/>
        <v>2.2472309338908937E-5</v>
      </c>
    </row>
    <row r="276" spans="3:5">
      <c r="C276" s="97">
        <f t="shared" ca="1" si="47"/>
        <v>255701.19990894233</v>
      </c>
      <c r="D276" s="100">
        <f t="shared" si="50"/>
        <v>0.89000000000000068</v>
      </c>
      <c r="E276" s="58">
        <f t="shared" ca="1" si="48"/>
        <v>2.1750661548296849E-5</v>
      </c>
    </row>
    <row r="277" spans="3:5">
      <c r="C277" s="97">
        <f t="shared" ca="1" si="47"/>
        <v>255935.04575569718</v>
      </c>
      <c r="D277" s="100">
        <f t="shared" si="50"/>
        <v>0.89500000000000068</v>
      </c>
      <c r="E277" s="58">
        <f t="shared" ca="1" si="48"/>
        <v>2.1014286661006817E-5</v>
      </c>
    </row>
    <row r="278" spans="3:5">
      <c r="C278" s="97">
        <f t="shared" ca="1" si="47"/>
        <v>256177.32310105002</v>
      </c>
      <c r="D278" s="100">
        <f t="shared" si="50"/>
        <v>0.90000000000000069</v>
      </c>
      <c r="E278" s="58">
        <f t="shared" ca="1" si="48"/>
        <v>2.026271062856591E-5</v>
      </c>
    </row>
    <row r="279" spans="3:5">
      <c r="C279" s="97">
        <f t="shared" ca="1" si="47"/>
        <v>256428.85838103088</v>
      </c>
      <c r="D279" s="100">
        <f t="shared" si="50"/>
        <v>0.90500000000000069</v>
      </c>
      <c r="E279" s="58">
        <f t="shared" ca="1" si="48"/>
        <v>1.9495414559233701E-5</v>
      </c>
    </row>
    <row r="280" spans="3:5">
      <c r="C280" s="97">
        <f t="shared" ca="1" si="47"/>
        <v>256690.60661819502</v>
      </c>
      <c r="D280" s="100">
        <f t="shared" si="50"/>
        <v>0.9100000000000007</v>
      </c>
      <c r="E280" s="58">
        <f t="shared" ca="1" si="48"/>
        <v>1.8711828015103423E-5</v>
      </c>
    </row>
    <row r="281" spans="3:5">
      <c r="C281" s="97">
        <f t="shared" ca="1" si="47"/>
        <v>256963.68001038302</v>
      </c>
      <c r="D281" s="100">
        <f t="shared" si="50"/>
        <v>0.9150000000000007</v>
      </c>
      <c r="E281" s="58">
        <f t="shared" ca="1" si="48"/>
        <v>1.7911320872812558E-5</v>
      </c>
    </row>
    <row r="282" spans="3:5">
      <c r="C282" s="97">
        <f t="shared" ca="1" si="47"/>
        <v>257249.38500078159</v>
      </c>
      <c r="D282" s="100">
        <f t="shared" si="50"/>
        <v>0.92000000000000071</v>
      </c>
      <c r="E282" s="58">
        <f t="shared" ca="1" si="48"/>
        <v>1.7093193336979087E-5</v>
      </c>
    </row>
    <row r="283" spans="3:5">
      <c r="C283" s="97">
        <f t="shared" ca="1" si="47"/>
        <v>257549.27105768802</v>
      </c>
      <c r="D283" s="100">
        <f t="shared" si="50"/>
        <v>0.92500000000000071</v>
      </c>
      <c r="E283" s="58">
        <f t="shared" ca="1" si="48"/>
        <v>1.6256663544695899E-5</v>
      </c>
    </row>
    <row r="284" spans="3:5">
      <c r="C284" s="97">
        <f t="shared" ca="1" si="47"/>
        <v>257865.19592990645</v>
      </c>
      <c r="D284" s="100">
        <f t="shared" si="50"/>
        <v>0.93000000000000071</v>
      </c>
      <c r="E284" s="58">
        <f t="shared" ca="1" si="48"/>
        <v>1.540085197947039E-5</v>
      </c>
    </row>
    <row r="285" spans="3:5">
      <c r="C285" s="97">
        <f t="shared" ca="1" si="47"/>
        <v>258199.41458236953</v>
      </c>
      <c r="D285" s="100">
        <f t="shared" si="50"/>
        <v>0.93500000000000072</v>
      </c>
      <c r="E285" s="58">
        <f t="shared" ca="1" si="48"/>
        <v>1.4524761584896887E-5</v>
      </c>
    </row>
    <row r="286" spans="3:5">
      <c r="C286" s="97">
        <f t="shared" ca="1" si="47"/>
        <v>258554.70299949404</v>
      </c>
      <c r="D286" s="100">
        <f t="shared" si="50"/>
        <v>0.94000000000000072</v>
      </c>
      <c r="E286" s="58">
        <f t="shared" ca="1" si="48"/>
        <v>1.3627251966378406E-5</v>
      </c>
    </row>
    <row r="287" spans="3:5">
      <c r="C287" s="97">
        <f t="shared" ca="1" si="47"/>
        <v>258934.53476950713</v>
      </c>
      <c r="D287" s="100">
        <f t="shared" si="50"/>
        <v>0.94500000000000073</v>
      </c>
      <c r="E287" s="58">
        <f t="shared" ca="1" si="48"/>
        <v>1.2707005278779342E-5</v>
      </c>
    </row>
    <row r="288" spans="3:5">
      <c r="C288" s="97">
        <f t="shared" ref="C288:C298" ca="1" si="51">_xlfn.LOGNORM.INV(D288,$E$90,$E$92)</f>
        <v>259343.34016455253</v>
      </c>
      <c r="D288" s="100">
        <f t="shared" si="50"/>
        <v>0.95000000000000073</v>
      </c>
      <c r="E288" s="58">
        <f t="shared" ref="E288:E298" ca="1" si="52">_xlfn.LOGNORM.DIST(C288,$E$90,$E$92,FALSE)</f>
        <v>1.1762480111485928E-5</v>
      </c>
    </row>
    <row r="289" spans="3:5">
      <c r="C289" s="97">
        <f t="shared" ca="1" si="51"/>
        <v>259786.89908494937</v>
      </c>
      <c r="D289" s="100">
        <f t="shared" si="50"/>
        <v>0.95500000000000074</v>
      </c>
      <c r="E289" s="58">
        <f t="shared" ca="1" si="52"/>
        <v>1.0791847506792956E-5</v>
      </c>
    </row>
    <row r="290" spans="3:5">
      <c r="C290" s="97">
        <f t="shared" ca="1" si="51"/>
        <v>260272.96111420807</v>
      </c>
      <c r="D290" s="100">
        <f t="shared" si="50"/>
        <v>0.96000000000000074</v>
      </c>
      <c r="E290" s="58">
        <f t="shared" ca="1" si="52"/>
        <v>9.7928993981210753E-6</v>
      </c>
    </row>
    <row r="291" spans="3:5">
      <c r="C291" s="97">
        <f t="shared" ca="1" si="51"/>
        <v>260812.27220474949</v>
      </c>
      <c r="D291" s="100">
        <f t="shared" si="50"/>
        <v>0.96500000000000075</v>
      </c>
      <c r="E291" s="58">
        <f t="shared" ca="1" si="52"/>
        <v>8.7629125652990045E-6</v>
      </c>
    </row>
    <row r="292" spans="3:5">
      <c r="C292" s="97">
        <f t="shared" ca="1" si="51"/>
        <v>261420.37954000311</v>
      </c>
      <c r="D292" s="100">
        <f t="shared" ref="D292:D297" si="53">D291+0.005</f>
        <v>0.97000000000000075</v>
      </c>
      <c r="E292" s="58">
        <f t="shared" ca="1" si="52"/>
        <v>7.6984368611666788E-6</v>
      </c>
    </row>
    <row r="293" spans="3:5">
      <c r="C293" s="97">
        <f t="shared" ca="1" si="51"/>
        <v>262121.05721885813</v>
      </c>
      <c r="D293" s="100">
        <f t="shared" si="53"/>
        <v>0.97500000000000075</v>
      </c>
      <c r="E293" s="58">
        <f t="shared" ca="1" si="52"/>
        <v>6.5949453845055309E-6</v>
      </c>
    </row>
    <row r="294" spans="3:5">
      <c r="C294" s="97">
        <f t="shared" ca="1" si="51"/>
        <v>262953.50774015189</v>
      </c>
      <c r="D294" s="100">
        <f t="shared" si="53"/>
        <v>0.98000000000000076</v>
      </c>
      <c r="E294" s="58">
        <f t="shared" ca="1" si="52"/>
        <v>5.446209318450529E-6</v>
      </c>
    </row>
    <row r="295" spans="3:5">
      <c r="C295" s="97">
        <f t="shared" ca="1" si="51"/>
        <v>263989.84874163388</v>
      </c>
      <c r="D295" s="100">
        <f t="shared" si="53"/>
        <v>0.98500000000000076</v>
      </c>
      <c r="E295" s="58">
        <f t="shared" ca="1" si="52"/>
        <v>4.2430510109344976E-6</v>
      </c>
    </row>
    <row r="296" spans="3:5">
      <c r="C296" s="97">
        <f t="shared" ca="1" si="51"/>
        <v>265388.18151697639</v>
      </c>
      <c r="D296" s="100">
        <f t="shared" si="53"/>
        <v>0.99000000000000077</v>
      </c>
      <c r="E296" s="58">
        <f t="shared" ca="1" si="52"/>
        <v>2.97040574224614E-6</v>
      </c>
    </row>
    <row r="297" spans="3:5">
      <c r="C297" s="97">
        <f t="shared" ca="1" si="51"/>
        <v>267636.13563737698</v>
      </c>
      <c r="D297" s="100">
        <f t="shared" si="53"/>
        <v>0.99500000000000077</v>
      </c>
      <c r="E297" s="58">
        <f t="shared" ca="1" si="52"/>
        <v>1.59801575576517E-6</v>
      </c>
    </row>
    <row r="298" spans="3:5">
      <c r="C298" s="97">
        <f t="shared" ca="1" si="51"/>
        <v>272331.45365860121</v>
      </c>
      <c r="D298" s="100">
        <v>0.999</v>
      </c>
      <c r="E298" s="58">
        <f t="shared" ca="1" si="52"/>
        <v>3.6569764466669442E-7</v>
      </c>
    </row>
  </sheetData>
  <conditionalFormatting sqref="C5:N16 O66:O67 O83:O85">
    <cfRule type="expression" dxfId="2" priority="4">
      <formula>C5&lt;&gt;""</formula>
    </cfRule>
  </conditionalFormatting>
  <conditionalFormatting sqref="C24:N36">
    <cfRule type="expression" dxfId="1" priority="2">
      <formula>C24&lt;&gt;""</formula>
    </cfRule>
  </conditionalFormatting>
  <conditionalFormatting sqref="C44:N55">
    <cfRule type="expression" dxfId="0" priority="1">
      <formula>C44&lt;&gt;""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Mack_Metodo1</vt:lpstr>
      <vt:lpstr>Mack_Metodo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Clemente Gian Paolo (gianpaolo.clemente)</dc:creator>
  <cp:lastModifiedBy>Giuseppe D'Aprile</cp:lastModifiedBy>
  <dcterms:created xsi:type="dcterms:W3CDTF">2022-10-09T19:41:13Z</dcterms:created>
  <dcterms:modified xsi:type="dcterms:W3CDTF">2023-10-08T10:55:26Z</dcterms:modified>
</cp:coreProperties>
</file>