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ianPaolo.Clemente\Desktop\Lezioni\"/>
    </mc:Choice>
  </mc:AlternateContent>
  <xr:revisionPtr revIDLastSave="0" documentId="13_ncr:1_{63E734B1-D83D-4EA2-B627-48CD272F6E59}" xr6:coauthVersionLast="47" xr6:coauthVersionMax="47" xr10:uidLastSave="{00000000-0000-0000-0000-000000000000}"/>
  <bookViews>
    <workbookView xWindow="-90" yWindow="-90" windowWidth="19380" windowHeight="11580" tabRatio="810" xr2:uid="{00000000-000D-0000-FFFF-FFFF00000000}"/>
  </bookViews>
  <sheets>
    <sheet name="CurveFit_Exponential" sheetId="18" r:id="rId1"/>
    <sheet name="Reserve in different scenarios" sheetId="19" r:id="rId2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16</definedName>
    <definedName name="_AtRisk_SimSetting_SimNameCount" hidden="1">0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Print_Area" localSheetId="0">CurveFit_Exponential!$B$8:$N$29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9" l="1"/>
  <c r="E16" i="19"/>
  <c r="D16" i="19"/>
  <c r="H15" i="19"/>
  <c r="G15" i="19"/>
  <c r="F15" i="19"/>
  <c r="E15" i="19"/>
  <c r="D15" i="19"/>
  <c r="E14" i="19"/>
  <c r="D14" i="19"/>
  <c r="H13" i="19"/>
  <c r="G13" i="19"/>
  <c r="E13" i="19"/>
  <c r="D13" i="19"/>
  <c r="E12" i="19"/>
  <c r="D12" i="19"/>
  <c r="E11" i="19"/>
  <c r="D11" i="19"/>
  <c r="H10" i="19"/>
  <c r="G10" i="19"/>
  <c r="F10" i="19"/>
  <c r="E10" i="19"/>
  <c r="D10" i="19"/>
  <c r="E9" i="19"/>
  <c r="D9" i="19"/>
  <c r="D17" i="19" s="1"/>
  <c r="H8" i="19"/>
  <c r="E8" i="19"/>
  <c r="D8" i="19"/>
  <c r="H7" i="19"/>
  <c r="G7" i="19"/>
  <c r="F7" i="19"/>
  <c r="E7" i="19"/>
  <c r="E17" i="19" s="1"/>
  <c r="E18" i="19" s="1"/>
  <c r="D7" i="19"/>
  <c r="E6" i="19"/>
  <c r="D6" i="19"/>
  <c r="H5" i="19"/>
  <c r="G5" i="19"/>
  <c r="E5" i="19"/>
  <c r="D5" i="19"/>
  <c r="H4" i="19"/>
  <c r="H11" i="19" s="1"/>
  <c r="G4" i="19"/>
  <c r="G16" i="19" s="1"/>
  <c r="F4" i="19"/>
  <c r="F13" i="19" s="1"/>
  <c r="H3" i="19"/>
  <c r="G3" i="19"/>
  <c r="Q7" i="18"/>
  <c r="S12" i="18"/>
  <c r="S13" i="18"/>
  <c r="S14" i="18"/>
  <c r="R14" i="18"/>
  <c r="R13" i="18"/>
  <c r="Q14" i="18"/>
  <c r="Q13" i="18"/>
  <c r="R9" i="18"/>
  <c r="Q9" i="18"/>
  <c r="E20" i="18"/>
  <c r="F20" i="18" s="1"/>
  <c r="E19" i="18"/>
  <c r="F19" i="18" s="1"/>
  <c r="E10" i="18"/>
  <c r="F10" i="18" s="1"/>
  <c r="F12" i="19" l="1"/>
  <c r="F9" i="19"/>
  <c r="G12" i="19"/>
  <c r="F6" i="19"/>
  <c r="G9" i="19"/>
  <c r="H12" i="19"/>
  <c r="F14" i="19"/>
  <c r="G6" i="19"/>
  <c r="G17" i="19" s="1"/>
  <c r="G18" i="19" s="1"/>
  <c r="H9" i="19"/>
  <c r="F11" i="19"/>
  <c r="G14" i="19"/>
  <c r="H6" i="19"/>
  <c r="H17" i="19" s="1"/>
  <c r="H18" i="19" s="1"/>
  <c r="F8" i="19"/>
  <c r="G11" i="19"/>
  <c r="H14" i="19"/>
  <c r="F16" i="19"/>
  <c r="F5" i="19"/>
  <c r="G8" i="19"/>
  <c r="R7" i="18"/>
  <c r="C11" i="18"/>
  <c r="F17" i="19" l="1"/>
  <c r="F18" i="19" s="1"/>
  <c r="C12" i="18"/>
  <c r="C13" i="18" s="1"/>
  <c r="C14" i="18" s="1"/>
  <c r="C15" i="18" s="1"/>
  <c r="C16" i="18" s="1"/>
  <c r="C17" i="18" s="1"/>
  <c r="C18" i="18" s="1"/>
  <c r="B11" i="18" l="1"/>
  <c r="B12" i="18" l="1"/>
  <c r="B13" i="18" l="1"/>
  <c r="B14" i="18"/>
  <c r="E14" i="18" l="1"/>
  <c r="F14" i="18" s="1"/>
  <c r="E13" i="18"/>
  <c r="F13" i="18" s="1"/>
  <c r="E12" i="18"/>
  <c r="F12" i="18" s="1"/>
  <c r="E11" i="18"/>
  <c r="F11" i="18" s="1"/>
  <c r="E16" i="18"/>
  <c r="F16" i="18" s="1"/>
  <c r="E15" i="18"/>
  <c r="F15" i="18" s="1"/>
  <c r="E18" i="18"/>
  <c r="F18" i="18" s="1"/>
  <c r="E17" i="18"/>
  <c r="F17" i="18" s="1"/>
  <c r="B15" i="18"/>
  <c r="B16" i="18" l="1"/>
  <c r="B17" i="18" l="1"/>
  <c r="B18" i="18" l="1"/>
  <c r="Q12" i="18" s="1"/>
  <c r="R12" i="18"/>
  <c r="G10" i="18" l="1"/>
  <c r="H10" i="18" s="1"/>
  <c r="G14" i="18"/>
  <c r="H14" i="18" s="1"/>
  <c r="G11" i="18"/>
  <c r="H11" i="18" s="1"/>
  <c r="G18" i="18"/>
  <c r="H18" i="18" s="1"/>
  <c r="G16" i="18"/>
  <c r="H16" i="18" s="1"/>
  <c r="G12" i="18"/>
  <c r="H12" i="18" s="1"/>
  <c r="G13" i="18"/>
  <c r="H13" i="18" s="1"/>
  <c r="G15" i="18"/>
  <c r="H15" i="18" s="1"/>
  <c r="G17" i="18"/>
  <c r="H17" i="18" s="1"/>
  <c r="K17" i="18"/>
  <c r="L17" i="18" s="1"/>
  <c r="K15" i="18"/>
  <c r="L15" i="18" s="1"/>
  <c r="K14" i="18"/>
  <c r="L14" i="18" s="1"/>
  <c r="K13" i="18"/>
  <c r="L13" i="18" s="1"/>
  <c r="K11" i="18"/>
  <c r="L11" i="18" s="1"/>
  <c r="K16" i="18"/>
  <c r="L16" i="18" s="1"/>
  <c r="K12" i="18"/>
  <c r="L12" i="18" s="1"/>
  <c r="K19" i="18"/>
  <c r="L19" i="18" s="1"/>
  <c r="K18" i="18"/>
  <c r="L18" i="18" s="1"/>
  <c r="B19" i="18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G47" i="18" s="1"/>
  <c r="K26" i="18" l="1"/>
  <c r="K21" i="18"/>
  <c r="K25" i="18"/>
  <c r="G24" i="18"/>
  <c r="K31" i="18"/>
  <c r="K42" i="18"/>
  <c r="K33" i="18"/>
  <c r="K47" i="18"/>
  <c r="K38" i="18"/>
  <c r="G35" i="18"/>
  <c r="G45" i="18"/>
  <c r="G43" i="18"/>
  <c r="G39" i="18"/>
  <c r="G23" i="18"/>
  <c r="G21" i="18"/>
  <c r="I22" i="18" s="1"/>
  <c r="K39" i="18"/>
  <c r="K35" i="18"/>
  <c r="K34" i="18"/>
  <c r="K40" i="18"/>
  <c r="K46" i="18"/>
  <c r="G36" i="18"/>
  <c r="G30" i="18"/>
  <c r="G44" i="18"/>
  <c r="K28" i="18"/>
  <c r="K23" i="18"/>
  <c r="G26" i="18"/>
  <c r="K41" i="18"/>
  <c r="K43" i="18"/>
  <c r="K37" i="18"/>
  <c r="K44" i="18"/>
  <c r="G33" i="18"/>
  <c r="G37" i="18"/>
  <c r="G31" i="18"/>
  <c r="G38" i="18"/>
  <c r="G32" i="18"/>
  <c r="K29" i="18"/>
  <c r="K24" i="18"/>
  <c r="K27" i="18"/>
  <c r="G27" i="18"/>
  <c r="G19" i="18"/>
  <c r="H19" i="18" s="1"/>
  <c r="H56" i="18" s="1"/>
  <c r="G28" i="18"/>
  <c r="G22" i="18"/>
  <c r="G29" i="18"/>
  <c r="K32" i="18"/>
  <c r="K36" i="18"/>
  <c r="K45" i="18"/>
  <c r="K30" i="18"/>
  <c r="G34" i="18"/>
  <c r="G41" i="18"/>
  <c r="G42" i="18"/>
  <c r="G46" i="18"/>
  <c r="G40" i="18"/>
  <c r="M44" i="18"/>
  <c r="M36" i="18"/>
  <c r="M42" i="18"/>
  <c r="M34" i="18"/>
  <c r="M32" i="18"/>
  <c r="M39" i="18"/>
  <c r="M38" i="18"/>
  <c r="M43" i="18"/>
  <c r="M35" i="18"/>
  <c r="M33" i="18"/>
  <c r="M40" i="18"/>
  <c r="M47" i="18"/>
  <c r="M30" i="18"/>
  <c r="M45" i="18"/>
  <c r="M41" i="18"/>
  <c r="M31" i="18"/>
  <c r="M46" i="18"/>
  <c r="M37" i="18"/>
  <c r="M20" i="18"/>
  <c r="N20" i="18" s="1"/>
  <c r="M22" i="18"/>
  <c r="M15" i="18"/>
  <c r="N15" i="18" s="1"/>
  <c r="M28" i="18"/>
  <c r="M18" i="18"/>
  <c r="N18" i="18" s="1"/>
  <c r="M24" i="18"/>
  <c r="M25" i="18"/>
  <c r="M21" i="18"/>
  <c r="M27" i="18"/>
  <c r="M13" i="18"/>
  <c r="N13" i="18" s="1"/>
  <c r="M26" i="18"/>
  <c r="M29" i="18"/>
  <c r="M14" i="18"/>
  <c r="N14" i="18" s="1"/>
  <c r="M23" i="18"/>
  <c r="M19" i="18"/>
  <c r="N19" i="18" s="1"/>
  <c r="M16" i="18"/>
  <c r="N16" i="18" s="1"/>
  <c r="M17" i="18"/>
  <c r="N17" i="18" s="1"/>
  <c r="L56" i="18"/>
  <c r="G25" i="18"/>
  <c r="K20" i="18"/>
  <c r="L20" i="18" s="1"/>
  <c r="K22" i="18"/>
  <c r="G20" i="18"/>
  <c r="H20" i="18" s="1"/>
  <c r="I21" i="18" l="1"/>
  <c r="N56" i="18"/>
</calcChain>
</file>

<file path=xl/sharedStrings.xml><?xml version="1.0" encoding="utf-8"?>
<sst xmlns="http://schemas.openxmlformats.org/spreadsheetml/2006/main" count="39" uniqueCount="33">
  <si>
    <t>Selected</t>
  </si>
  <si>
    <t>Development Period</t>
  </si>
  <si>
    <t>Fit Error</t>
  </si>
  <si>
    <t>Coefficient</t>
  </si>
  <si>
    <t>Using All Periods</t>
  </si>
  <si>
    <t>LDF</t>
  </si>
  <si>
    <t>Exponential Curve Fit</t>
  </si>
  <si>
    <t>Curve Fit Results</t>
  </si>
  <si>
    <t>Curve Fit Parameters</t>
  </si>
  <si>
    <t>Decay</t>
  </si>
  <si>
    <t>Rate</t>
  </si>
  <si>
    <t>Using All Points</t>
  </si>
  <si>
    <t>COV(X,Y)/VAR(X)</t>
  </si>
  <si>
    <t>Beta</t>
  </si>
  <si>
    <t>Alfa</t>
  </si>
  <si>
    <t>E(Y)-beta*E(X)</t>
  </si>
  <si>
    <r>
      <rPr>
        <sz val="10"/>
        <color theme="1"/>
        <rFont val="Symbol"/>
        <family val="1"/>
        <charset val="2"/>
      </rPr>
      <t>l</t>
    </r>
    <r>
      <rPr>
        <vertAlign val="subscript"/>
        <sz val="10"/>
        <color theme="1"/>
        <rFont val="Times New Roman"/>
        <family val="1"/>
      </rPr>
      <t>j</t>
    </r>
  </si>
  <si>
    <t>Using Last 8 Periods</t>
  </si>
  <si>
    <t>Using Last 8 Points</t>
  </si>
  <si>
    <t>Lambda Inf.</t>
  </si>
  <si>
    <r>
      <t>v</t>
    </r>
    <r>
      <rPr>
        <vertAlign val="subscript"/>
        <sz val="10"/>
        <color theme="1"/>
        <rFont val="Times New Roman"/>
        <family val="1"/>
      </rPr>
      <t>j</t>
    </r>
    <r>
      <rPr>
        <sz val="10"/>
        <color theme="1"/>
        <rFont val="Times New Roman"/>
        <family val="1"/>
      </rPr>
      <t xml:space="preserve"> /v</t>
    </r>
    <r>
      <rPr>
        <vertAlign val="subscript"/>
        <sz val="10"/>
        <color theme="1"/>
        <rFont val="Times New Roman"/>
        <family val="1"/>
      </rPr>
      <t>j-1</t>
    </r>
  </si>
  <si>
    <t>Using Last 10 Points</t>
  </si>
  <si>
    <t>Using Last 10 Periods</t>
  </si>
  <si>
    <t>Total Error</t>
  </si>
  <si>
    <t>Reserve</t>
  </si>
  <si>
    <t>Last Cum. Payments</t>
  </si>
  <si>
    <t>CDF without tail</t>
  </si>
  <si>
    <t>Reserve without tail</t>
  </si>
  <si>
    <t>Type of Tail</t>
  </si>
  <si>
    <t>v(j)</t>
  </si>
  <si>
    <t>ln [v(j)]</t>
  </si>
  <si>
    <t>Fitted lambda</t>
  </si>
  <si>
    <t>Increase due to the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</si>
</sst>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"/>
    <numFmt numFmtId="165" formatCode="0.000"/>
    <numFmt numFmtId="166" formatCode="0.00000000000"/>
    <numFmt numFmtId="167" formatCode="0.000000000"/>
    <numFmt numFmtId="168" formatCode="#,##0.000000"/>
    <numFmt numFmtId="169" formatCode="0.0"/>
    <numFmt numFmtId="170" formatCode="\(#\)"/>
    <numFmt numFmtId="171" formatCode="#,##0.0000"/>
    <numFmt numFmtId="172" formatCode="0.0000"/>
    <numFmt numFmtId="173" formatCode="0.000000"/>
    <numFmt numFmtId="174" formatCode="0.0000000000"/>
  </numFmts>
  <fonts count="12" x14ac:knownFonts="1">
    <font>
      <sz val="10"/>
      <name val="Arial"/>
    </font>
    <font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10"/>
      <color theme="1"/>
      <name val="Symbol"/>
      <family val="1"/>
      <charset val="2"/>
    </font>
    <font>
      <vertAlign val="sub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/>
    <xf numFmtId="17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0" xfId="0" quotePrefix="1" applyFont="1" applyFill="1" applyBorder="1"/>
    <xf numFmtId="168" fontId="2" fillId="0" borderId="0" xfId="0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166" fontId="2" fillId="0" borderId="0" xfId="0" applyNumberFormat="1" applyFont="1" applyFill="1" applyBorder="1"/>
    <xf numFmtId="167" fontId="2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170" fontId="2" fillId="0" borderId="6" xfId="0" applyNumberFormat="1" applyFont="1" applyFill="1" applyBorder="1" applyAlignment="1">
      <alignment horizontal="center"/>
    </xf>
    <xf numFmtId="170" fontId="2" fillId="0" borderId="4" xfId="0" applyNumberFormat="1" applyFont="1" applyFill="1" applyBorder="1" applyAlignment="1">
      <alignment horizontal="center"/>
    </xf>
    <xf numFmtId="170" fontId="2" fillId="0" borderId="5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0" fontId="2" fillId="0" borderId="3" xfId="0" applyFont="1" applyFill="1" applyBorder="1"/>
    <xf numFmtId="0" fontId="2" fillId="0" borderId="12" xfId="0" applyFont="1" applyFill="1" applyBorder="1"/>
    <xf numFmtId="0" fontId="1" fillId="0" borderId="3" xfId="0" applyFont="1" applyFill="1" applyBorder="1" applyAlignment="1">
      <alignment horizontal="center"/>
    </xf>
    <xf numFmtId="0" fontId="1" fillId="0" borderId="3" xfId="0" quotePrefix="1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9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2" fillId="2" borderId="0" xfId="0" applyFont="1" applyFill="1" applyBorder="1"/>
    <xf numFmtId="171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/>
    <xf numFmtId="172" fontId="2" fillId="2" borderId="0" xfId="0" applyNumberFormat="1" applyFont="1" applyFill="1" applyBorder="1"/>
    <xf numFmtId="172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0" fontId="2" fillId="0" borderId="8" xfId="0" applyFont="1" applyFill="1" applyBorder="1" applyAlignment="1"/>
    <xf numFmtId="0" fontId="2" fillId="4" borderId="0" xfId="0" applyFont="1" applyFill="1" applyBorder="1"/>
    <xf numFmtId="4" fontId="2" fillId="0" borderId="0" xfId="0" applyNumberFormat="1" applyFont="1" applyFill="1" applyBorder="1"/>
    <xf numFmtId="4" fontId="2" fillId="2" borderId="0" xfId="0" applyNumberFormat="1" applyFont="1" applyFill="1" applyBorder="1"/>
    <xf numFmtId="0" fontId="9" fillId="5" borderId="0" xfId="0" applyFont="1" applyFill="1" applyBorder="1"/>
    <xf numFmtId="0" fontId="9" fillId="5" borderId="0" xfId="0" applyFont="1" applyFill="1" applyBorder="1" applyAlignment="1">
      <alignment horizontal="right"/>
    </xf>
    <xf numFmtId="4" fontId="2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173" fontId="2" fillId="0" borderId="0" xfId="0" applyNumberFormat="1" applyFont="1" applyFill="1" applyBorder="1"/>
    <xf numFmtId="174" fontId="2" fillId="0" borderId="0" xfId="0" applyNumberFormat="1" applyFont="1" applyFill="1" applyBorder="1"/>
    <xf numFmtId="10" fontId="8" fillId="0" borderId="0" xfId="1" applyNumberFormat="1" applyFont="1" applyFill="1" applyBorder="1"/>
    <xf numFmtId="0" fontId="8" fillId="0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70" fontId="2" fillId="5" borderId="7" xfId="0" applyNumberFormat="1" applyFont="1" applyFill="1" applyBorder="1" applyAlignment="1">
      <alignment horizontal="center"/>
    </xf>
    <xf numFmtId="170" fontId="2" fillId="5" borderId="0" xfId="0" applyNumberFormat="1" applyFont="1" applyFill="1" applyBorder="1" applyAlignment="1">
      <alignment horizontal="center"/>
    </xf>
    <xf numFmtId="170" fontId="2" fillId="5" borderId="9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150481189851271E-2"/>
          <c:y val="0.19742883379247014"/>
          <c:w val="0.86496062992125988"/>
          <c:h val="0.6960593768754113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CurveFit_Exponential!$C$10:$C$20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CurveFit_Exponential!$D$10:$D$20</c:f>
              <c:numCache>
                <c:formatCode>#,##0.000</c:formatCode>
                <c:ptCount val="11"/>
                <c:pt idx="0">
                  <c:v>2.0171433188244361</c:v>
                </c:pt>
                <c:pt idx="1">
                  <c:v>1.188719647365996</c:v>
                </c:pt>
                <c:pt idx="2">
                  <c:v>1.0679386190747573</c:v>
                </c:pt>
                <c:pt idx="3">
                  <c:v>1.0330080258939325</c:v>
                </c:pt>
                <c:pt idx="4">
                  <c:v>1.0225796785638588</c:v>
                </c:pt>
                <c:pt idx="5">
                  <c:v>1.0145918797043163</c:v>
                </c:pt>
                <c:pt idx="6">
                  <c:v>1.0113450250708893</c:v>
                </c:pt>
                <c:pt idx="7">
                  <c:v>1.0087400099976809</c:v>
                </c:pt>
                <c:pt idx="8">
                  <c:v>1.0066166186595176</c:v>
                </c:pt>
                <c:pt idx="9">
                  <c:v>1.0040863784742426</c:v>
                </c:pt>
                <c:pt idx="10">
                  <c:v>1.0085498376415254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3-49F1-9253-47F894FD6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664400"/>
        <c:axId val="658665576"/>
      </c:scatterChart>
      <c:valAx>
        <c:axId val="65866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8665576"/>
        <c:crosses val="autoZero"/>
        <c:crossBetween val="midCat"/>
      </c:valAx>
      <c:valAx>
        <c:axId val="658665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5866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ln(v</a:t>
            </a:r>
            <a:r>
              <a:rPr lang="it-IT" baseline="-25000"/>
              <a:t>j</a:t>
            </a:r>
            <a:r>
              <a:rPr lang="it-IT" baseline="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5884514435695538E-2"/>
                  <c:y val="-0.55940616797900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09011373578299E-2"/>
                  <c:y val="-0.434348571011956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CurveFit_Exponential!$C$10:$C$20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CurveFit_Exponential!$F$10:$F$20</c:f>
              <c:numCache>
                <c:formatCode>#,##0.000</c:formatCode>
                <c:ptCount val="11"/>
                <c:pt idx="0">
                  <c:v>1.6998030268896826E-2</c:v>
                </c:pt>
                <c:pt idx="1">
                  <c:v>-1.6674927124410761</c:v>
                </c:pt>
                <c:pt idx="2">
                  <c:v>-2.6891506421148303</c:v>
                </c:pt>
                <c:pt idx="3">
                  <c:v>-3.4110045381791037</c:v>
                </c:pt>
                <c:pt idx="4">
                  <c:v>-3.7907049557977834</c:v>
                </c:pt>
                <c:pt idx="5">
                  <c:v>-4.2272900896317651</c:v>
                </c:pt>
                <c:pt idx="6">
                  <c:v>-4.4789759508903408</c:v>
                </c:pt>
                <c:pt idx="7">
                  <c:v>-4.7398439454159336</c:v>
                </c:pt>
                <c:pt idx="8">
                  <c:v>-5.0181708160318967</c:v>
                </c:pt>
                <c:pt idx="9">
                  <c:v>-5.500096159797855</c:v>
                </c:pt>
                <c:pt idx="10">
                  <c:v>-4.7618429855090429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5-4604-8767-6E137D32F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544"/>
        <c:axId val="189009368"/>
      </c:scatterChart>
      <c:valAx>
        <c:axId val="18901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09368"/>
        <c:crosses val="autoZero"/>
        <c:crossBetween val="midCat"/>
      </c:valAx>
      <c:valAx>
        <c:axId val="18900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1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ln(v</a:t>
            </a:r>
            <a:r>
              <a:rPr lang="it-IT" baseline="-25000"/>
              <a:t>j</a:t>
            </a:r>
            <a:r>
              <a:rPr lang="it-IT" baseline="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5884514435695538E-2"/>
                  <c:y val="-0.55940616797900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09011373578299E-2"/>
                  <c:y val="-0.434348571011956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CurveFit_Exponential!$C$11:$C$20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CurveFit_Exponential!$F$11:$F$20</c:f>
              <c:numCache>
                <c:formatCode>#,##0.000</c:formatCode>
                <c:ptCount val="10"/>
                <c:pt idx="0">
                  <c:v>-1.6674927124410761</c:v>
                </c:pt>
                <c:pt idx="1">
                  <c:v>-2.6891506421148303</c:v>
                </c:pt>
                <c:pt idx="2">
                  <c:v>-3.4110045381791037</c:v>
                </c:pt>
                <c:pt idx="3">
                  <c:v>-3.7907049557977834</c:v>
                </c:pt>
                <c:pt idx="4">
                  <c:v>-4.2272900896317651</c:v>
                </c:pt>
                <c:pt idx="5">
                  <c:v>-4.4789759508903408</c:v>
                </c:pt>
                <c:pt idx="6">
                  <c:v>-4.7398439454159336</c:v>
                </c:pt>
                <c:pt idx="7">
                  <c:v>-5.0181708160318967</c:v>
                </c:pt>
                <c:pt idx="8">
                  <c:v>-5.500096159797855</c:v>
                </c:pt>
                <c:pt idx="9">
                  <c:v>-4.7618429855090429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E3-4338-9716-A20F7F29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544"/>
        <c:axId val="189009368"/>
      </c:scatterChart>
      <c:valAx>
        <c:axId val="18901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09368"/>
        <c:crosses val="autoZero"/>
        <c:crossBetween val="midCat"/>
      </c:valAx>
      <c:valAx>
        <c:axId val="18900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1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ln(v</a:t>
            </a:r>
            <a:r>
              <a:rPr lang="it-IT" baseline="-25000"/>
              <a:t>j</a:t>
            </a:r>
            <a:r>
              <a:rPr lang="it-IT" baseline="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5884514435695538E-2"/>
                  <c:y val="-0.55940616797900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909011373578299E-2"/>
                  <c:y val="-0.434348571011956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CurveFit_Exponential!$C$13:$C$20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</c:numCache>
            </c:numRef>
          </c:xVal>
          <c:yVal>
            <c:numRef>
              <c:f>CurveFit_Exponential!$F$13:$F$20</c:f>
              <c:numCache>
                <c:formatCode>#,##0.000</c:formatCode>
                <c:ptCount val="8"/>
                <c:pt idx="0">
                  <c:v>-3.4110045381791037</c:v>
                </c:pt>
                <c:pt idx="1">
                  <c:v>-3.7907049557977834</c:v>
                </c:pt>
                <c:pt idx="2">
                  <c:v>-4.2272900896317651</c:v>
                </c:pt>
                <c:pt idx="3">
                  <c:v>-4.4789759508903408</c:v>
                </c:pt>
                <c:pt idx="4">
                  <c:v>-4.7398439454159336</c:v>
                </c:pt>
                <c:pt idx="5">
                  <c:v>-5.0181708160318967</c:v>
                </c:pt>
                <c:pt idx="6">
                  <c:v>-5.500096159797855</c:v>
                </c:pt>
                <c:pt idx="7">
                  <c:v>-4.7618429855090429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F1-40D4-9C7F-123EC9BD5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10544"/>
        <c:axId val="189009368"/>
      </c:scatterChart>
      <c:valAx>
        <c:axId val="18901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09368"/>
        <c:crosses val="autoZero"/>
        <c:crossBetween val="midCat"/>
      </c:valAx>
      <c:valAx>
        <c:axId val="189009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9010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186690</xdr:colOff>
      <xdr:row>19</xdr:row>
      <xdr:rowOff>129540</xdr:rowOff>
    </xdr:from>
    <xdr:to>
      <xdr:col>19</xdr:col>
      <xdr:colOff>529590</xdr:colOff>
      <xdr:row>37</xdr:row>
      <xdr:rowOff>106680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17</xdr:col>
      <xdr:colOff>150495</xdr:colOff>
      <xdr:row>20</xdr:row>
      <xdr:rowOff>140970</xdr:rowOff>
    </xdr:from>
    <xdr:ext cx="150105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9237345" y="3512820"/>
              <a:ext cx="150105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7" name="CasellaDiTesto 6"/>
            <xdr:cNvSpPr txBox="1"/>
          </xdr:nvSpPr>
          <xdr:spPr>
            <a:xfrm>
              <a:off x="9237345" y="3512820"/>
              <a:ext cx="150105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it-IT" sz="1100" b="0" i="0">
                  <a:latin typeface="Cambria Math" panose="02040503050406030204" pitchFamily="18" charset="0"/>
                </a:rPr>
                <a:t>𝑗</a:t>
              </a:r>
              <a:endParaRPr lang="it-IT" sz="1100"/>
            </a:p>
          </xdr:txBody>
        </xdr:sp>
      </mc:Fallback>
    </mc:AlternateContent>
    <xdr:clientData/>
  </xdr:oneCellAnchor>
  <xdr:twoCellAnchor>
    <xdr:from>
      <xdr:col>19</xdr:col>
      <xdr:colOff>586740</xdr:colOff>
      <xdr:row>19</xdr:row>
      <xdr:rowOff>148590</xdr:rowOff>
    </xdr:from>
    <xdr:to>
      <xdr:col>26</xdr:col>
      <xdr:colOff>445770</xdr:colOff>
      <xdr:row>37</xdr:row>
      <xdr:rowOff>102870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15</xdr:col>
      <xdr:colOff>107315</xdr:colOff>
      <xdr:row>15</xdr:row>
      <xdr:rowOff>29845</xdr:rowOff>
    </xdr:from>
    <xdr:ext cx="2847959" cy="4393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sellaDiTesto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0006965" y="2763520"/>
              <a:ext cx="2847959" cy="439351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t-IT" sz="1100" b="0" i="1">
                        <a:latin typeface="Cambria Math" panose="02040503050406030204" pitchFamily="18" charset="0"/>
                      </a:rPr>
                      <m:t>𝑙𝑛</m:t>
                    </m:r>
                    <m:d>
                      <m:d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it-IT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it-IT" sz="11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it-I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𝑗</m:t>
                    </m:r>
                  </m:oMath>
                </m:oMathPara>
              </a14:m>
              <a:endParaRPr lang="it-IT" sz="1100" b="0">
                <a:ea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it-IT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it-IT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𝜆</m:t>
                            </m:r>
                          </m:e>
                        </m:acc>
                      </m:e>
                      <m:sub>
                        <m:r>
                          <a:rPr lang="it-IT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it-IT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it-IT" sz="1100" b="0" i="1">
                        <a:latin typeface="Cambria Math" panose="02040503050406030204" pitchFamily="18" charset="0"/>
                      </a:rPr>
                      <m:t>𝑒𝑥𝑝</m:t>
                    </m:r>
                    <m:d>
                      <m:dPr>
                        <m:ctrlPr>
                          <a:rPr lang="it-IT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it-IT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acc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acc>
                          <m:accPr>
                            <m:chr m:val="̂"/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</m:acc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r>
                          <m:rPr>
                            <m:nor/>
                          </m:rPr>
                          <a:rPr lang="it-IT">
                            <a:effectLst/>
                          </a:rPr>
                          <m:t> </m:t>
                        </m:r>
                      </m:e>
                    </m:d>
                    <m:r>
                      <a:rPr lang="it-IT" sz="1100" b="0" i="1">
                        <a:latin typeface="Cambria Math" panose="02040503050406030204" pitchFamily="18" charset="0"/>
                      </a:rPr>
                      <m:t>+1=</m:t>
                    </m:r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𝑒𝑥𝑝</m:t>
                    </m:r>
                    <m:d>
                      <m:dPr>
                        <m:ctrlP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acc>
                      </m:e>
                    </m:d>
                    <m:sSup>
                      <m:sSupPr>
                        <m:ctrlPr>
                          <a:rPr lang="it-IT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𝑒𝑥𝑝</m:t>
                        </m:r>
                        <m:d>
                          <m:dPr>
                            <m:ctrlPr>
                              <a:rPr lang="it-I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acc>
                              <m:accPr>
                                <m:chr m:val="̂"/>
                                <m:ctrlPr>
                                  <a:rPr lang="it-IT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it-IT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𝛽</m:t>
                                </m:r>
                              </m:e>
                            </m:acc>
                            <m:r>
                              <m:rPr>
                                <m:nor/>
                              </m:rPr>
                              <a:rPr lang="it-IT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d>
                      </m:e>
                      <m:sup>
                        <m:r>
                          <a:rPr lang="it-I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</m:sup>
                    </m:sSup>
                    <m:r>
                      <a:rPr lang="it-IT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+1</m:t>
                    </m:r>
                  </m:oMath>
                </m:oMathPara>
              </a14:m>
              <a:endParaRPr lang="it-IT" sz="1100"/>
            </a:p>
          </xdr:txBody>
        </xdr:sp>
      </mc:Choice>
      <mc:Fallback xmlns="">
        <xdr:sp macro="" textlink="">
          <xdr:nvSpPr>
            <xdr:cNvPr id="9" name="CasellaDiTesto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0006965" y="2763520"/>
              <a:ext cx="2847959" cy="439351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1100" b="0" i="0">
                  <a:latin typeface="Cambria Math" panose="02040503050406030204" pitchFamily="18" charset="0"/>
                </a:rPr>
                <a:t>𝑙𝑛</a:t>
              </a:r>
              <a:r>
                <a:rPr lang="it-IT" sz="1100" i="0">
                  <a:latin typeface="Cambria Math" panose="02040503050406030204" pitchFamily="18" charset="0"/>
                </a:rPr>
                <a:t>(</a:t>
              </a:r>
              <a:r>
                <a:rPr lang="it-IT" sz="1100" b="0" i="0">
                  <a:latin typeface="Cambria Math" panose="02040503050406030204" pitchFamily="18" charset="0"/>
                </a:rPr>
                <a:t>𝑣_𝑗 )=</a:t>
              </a:r>
              <a:r>
                <a:rPr lang="it-I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𝛼+𝛽𝑗</a:t>
              </a:r>
              <a:endParaRPr lang="it-IT" sz="1100" b="0">
                <a:ea typeface="Cambria Math" panose="02040503050406030204" pitchFamily="18" charset="0"/>
              </a:endParaRPr>
            </a:p>
            <a:p>
              <a:pPr/>
              <a:r>
                <a:rPr lang="it-IT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 ̂_</a:t>
              </a:r>
              <a:r>
                <a:rPr lang="it-IT" sz="1100" b="0" i="0">
                  <a:latin typeface="Cambria Math" panose="02040503050406030204" pitchFamily="18" charset="0"/>
                </a:rPr>
                <a:t>𝑗=𝑒𝑥𝑝(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 ̂+𝛽 ̂𝑗"</a:t>
              </a:r>
              <a:r>
                <a:rPr lang="it-IT" i="0">
                  <a:effectLst/>
                </a:rPr>
                <a:t> </a:t>
              </a:r>
              <a:r>
                <a:rPr lang="it-IT" i="0">
                  <a:effectLst/>
                  <a:latin typeface="Cambria Math" panose="02040503050406030204" pitchFamily="18" charset="0"/>
                </a:rPr>
                <a:t>" )</a:t>
              </a:r>
              <a:r>
                <a:rPr lang="it-IT" sz="1100" b="0" i="0">
                  <a:latin typeface="Cambria Math" panose="02040503050406030204" pitchFamily="18" charset="0"/>
                </a:rPr>
                <a:t>+1=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𝑒𝑥𝑝(𝛼 ̂ ) </a:t>
              </a:r>
              <a:r>
                <a:rPr lang="it-IT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𝑒𝑥𝑝(𝛽 ̂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it-IT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it-IT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)〗^</a:t>
              </a:r>
              <a:r>
                <a:rPr lang="it-I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𝑗+1</a:t>
              </a:r>
              <a:endParaRPr lang="it-IT" sz="1100"/>
            </a:p>
          </xdr:txBody>
        </xdr:sp>
      </mc:Fallback>
    </mc:AlternateContent>
    <xdr:clientData/>
  </xdr:oneCellAnchor>
  <xdr:twoCellAnchor>
    <xdr:from>
      <xdr:col>19</xdr:col>
      <xdr:colOff>0</xdr:colOff>
      <xdr:row>39</xdr:row>
      <xdr:rowOff>0</xdr:rowOff>
    </xdr:from>
    <xdr:to>
      <xdr:col>25</xdr:col>
      <xdr:colOff>497205</xdr:colOff>
      <xdr:row>56</xdr:row>
      <xdr:rowOff>154305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15618D7C-5DEA-423E-949E-679524ADB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58</xdr:row>
      <xdr:rowOff>0</xdr:rowOff>
    </xdr:from>
    <xdr:to>
      <xdr:col>25</xdr:col>
      <xdr:colOff>497205</xdr:colOff>
      <xdr:row>75</xdr:row>
      <xdr:rowOff>154305</xdr:rowOff>
    </xdr:to>
    <xdr:graphicFrame macro="">
      <xdr:nvGraphicFramePr>
        <xdr:cNvPr id="10" name="Grafico 5">
          <a:extLst>
            <a:ext uri="{FF2B5EF4-FFF2-40B4-BE49-F238E27FC236}">
              <a16:creationId xmlns:a16="http://schemas.microsoft.com/office/drawing/2014/main" id="{63A170B1-E9AF-4775-8D44-5948E6219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1:Z56"/>
  <sheetViews>
    <sheetView tabSelected="1" zoomScaleNormal="100" workbookViewId="0"/>
  </sheetViews>
  <sheetFormatPr defaultColWidth="9.1328125" defaultRowHeight="13.25" x14ac:dyDescent="0.65"/>
  <cols>
    <col min="1" max="1" width="2.26953125" style="2" customWidth="1"/>
    <col min="2" max="2" width="4.453125" style="2" customWidth="1"/>
    <col min="3" max="3" width="13" style="2" customWidth="1"/>
    <col min="4" max="4" width="9.26953125" style="2" customWidth="1"/>
    <col min="5" max="5" width="8.54296875" style="2" customWidth="1"/>
    <col min="6" max="6" width="9" style="2" customWidth="1"/>
    <col min="7" max="7" width="10.58984375" style="2" bestFit="1" customWidth="1"/>
    <col min="8" max="9" width="9.7265625" style="2" customWidth="1"/>
    <col min="10" max="10" width="1.7265625" style="2" customWidth="1"/>
    <col min="11" max="12" width="17.453125" style="2" customWidth="1"/>
    <col min="13" max="13" width="10.58984375" style="2" bestFit="1" customWidth="1"/>
    <col min="14" max="14" width="6.76953125" style="2" bestFit="1" customWidth="1"/>
    <col min="15" max="15" width="11.1328125" style="2" bestFit="1" customWidth="1"/>
    <col min="16" max="16" width="18.54296875" style="2" customWidth="1"/>
    <col min="17" max="17" width="19.36328125" style="2" customWidth="1"/>
    <col min="18" max="18" width="15" style="2" customWidth="1"/>
    <col min="19" max="20" width="13.7265625" style="2" customWidth="1"/>
    <col min="21" max="21" width="9.1328125" style="2"/>
    <col min="22" max="22" width="12.6796875" style="2" bestFit="1" customWidth="1"/>
    <col min="23" max="27" width="9.1328125" style="2"/>
    <col min="28" max="28" width="15.58984375" style="2" bestFit="1" customWidth="1"/>
    <col min="29" max="29" width="12.90625" style="2" bestFit="1" customWidth="1"/>
    <col min="30" max="30" width="15.08984375" style="2" bestFit="1" customWidth="1"/>
    <col min="31" max="31" width="11.04296875" style="2" bestFit="1" customWidth="1"/>
    <col min="32" max="32" width="17.40625" style="2" customWidth="1"/>
    <col min="33" max="33" width="15.81640625" style="2" bestFit="1" customWidth="1"/>
    <col min="34" max="34" width="14.90625" style="2" bestFit="1" customWidth="1"/>
    <col min="35" max="16384" width="9.1328125" style="2"/>
  </cols>
  <sheetData>
    <row r="1" spans="2:26" ht="18.25" x14ac:dyDescent="0.85">
      <c r="B1" s="3"/>
      <c r="C1" s="52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2:26" ht="18.25" x14ac:dyDescent="0.85">
      <c r="B2" s="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4" spans="2:26" ht="15.75" x14ac:dyDescent="0.75">
      <c r="C4" s="54" t="s">
        <v>6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2:26" x14ac:dyDescent="0.65">
      <c r="Q5" s="2" t="s">
        <v>13</v>
      </c>
      <c r="R5" s="2" t="s">
        <v>14</v>
      </c>
    </row>
    <row r="6" spans="2:26" x14ac:dyDescent="0.65"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9"/>
      <c r="Q6" s="45" t="s">
        <v>12</v>
      </c>
      <c r="R6" s="45" t="s">
        <v>15</v>
      </c>
    </row>
    <row r="7" spans="2:26" ht="14" thickBot="1" x14ac:dyDescent="0.8">
      <c r="B7" s="20"/>
      <c r="C7" s="4"/>
      <c r="D7" s="4"/>
      <c r="E7" s="4"/>
      <c r="F7" s="4"/>
      <c r="G7" s="55" t="s">
        <v>7</v>
      </c>
      <c r="H7" s="55"/>
      <c r="I7" s="55"/>
      <c r="J7" s="56"/>
      <c r="K7" s="56"/>
      <c r="L7" s="56"/>
      <c r="M7" s="55"/>
      <c r="N7" s="57"/>
      <c r="Q7" s="35">
        <f>_xlfn.COVARIANCE.P(C10:C20,F10:F20)/_xlfn.VAR.P(C10:C20)</f>
        <v>-0.45052390181485669</v>
      </c>
      <c r="R7" s="32">
        <f>AVERAGE(F10:F20)-Q7*AVERAGE(C10:C20)</f>
        <v>-1.408069105974874</v>
      </c>
    </row>
    <row r="8" spans="2:26" ht="14" thickTop="1" x14ac:dyDescent="0.65">
      <c r="B8" s="58" t="s">
        <v>1</v>
      </c>
      <c r="C8" s="59"/>
      <c r="D8" s="1" t="s">
        <v>0</v>
      </c>
      <c r="E8" s="1" t="s">
        <v>29</v>
      </c>
      <c r="F8" s="1" t="s">
        <v>30</v>
      </c>
      <c r="G8" s="66" t="s">
        <v>4</v>
      </c>
      <c r="H8" s="66"/>
      <c r="I8" s="38"/>
      <c r="J8" s="16"/>
      <c r="K8" s="64" t="s">
        <v>22</v>
      </c>
      <c r="L8" s="65"/>
      <c r="M8" s="62" t="s">
        <v>17</v>
      </c>
      <c r="N8" s="63"/>
      <c r="Q8" s="46"/>
    </row>
    <row r="9" spans="2:26" ht="15.75" x14ac:dyDescent="0.9">
      <c r="B9" s="60"/>
      <c r="C9" s="61"/>
      <c r="D9" s="25" t="s">
        <v>5</v>
      </c>
      <c r="E9" s="26"/>
      <c r="F9" s="26"/>
      <c r="G9" s="25" t="s">
        <v>31</v>
      </c>
      <c r="H9" s="25" t="s">
        <v>2</v>
      </c>
      <c r="I9" s="31" t="s">
        <v>20</v>
      </c>
      <c r="J9" s="25"/>
      <c r="K9" s="25" t="s">
        <v>31</v>
      </c>
      <c r="L9" s="27" t="s">
        <v>2</v>
      </c>
      <c r="M9" s="25" t="s">
        <v>31</v>
      </c>
      <c r="N9" s="27" t="s">
        <v>2</v>
      </c>
      <c r="P9" s="2" t="s">
        <v>8</v>
      </c>
      <c r="Q9" s="34">
        <f>LINEST(F10:F20,B10:B20,TRUE)</f>
        <v>-0.45052390181485669</v>
      </c>
      <c r="R9" s="2">
        <f>INTERCEPT(F10:F20,B10:B20)</f>
        <v>-1.408069105974874</v>
      </c>
      <c r="S9" s="51"/>
      <c r="T9" s="51"/>
    </row>
    <row r="10" spans="2:26" x14ac:dyDescent="0.65">
      <c r="B10" s="21">
        <v>0</v>
      </c>
      <c r="C10" s="16">
        <v>0</v>
      </c>
      <c r="D10" s="6">
        <v>2.0171433188244361</v>
      </c>
      <c r="E10" s="6">
        <f>D10-1</f>
        <v>1.0171433188244361</v>
      </c>
      <c r="F10" s="6">
        <f>LN(E10)</f>
        <v>1.6998030268896826E-2</v>
      </c>
      <c r="G10" s="6">
        <f t="shared" ref="G10:G47" si="0">1+$R$12*$Q$12^$B10</f>
        <v>1.2446151533792444</v>
      </c>
      <c r="H10" s="6">
        <f t="shared" ref="H10:H20" si="1">D10-G10</f>
        <v>0.77252816544519165</v>
      </c>
      <c r="J10" s="6"/>
      <c r="K10" s="6"/>
      <c r="L10" s="6"/>
      <c r="M10" s="6"/>
      <c r="N10" s="22"/>
      <c r="O10" s="6"/>
      <c r="Q10" s="5" t="s">
        <v>9</v>
      </c>
      <c r="S10" s="7"/>
      <c r="T10" s="8"/>
      <c r="Y10" s="6"/>
      <c r="Z10" s="30"/>
    </row>
    <row r="11" spans="2:26" x14ac:dyDescent="0.65">
      <c r="B11" s="21">
        <f>B10+1</f>
        <v>1</v>
      </c>
      <c r="C11" s="16">
        <f>C10+1</f>
        <v>1</v>
      </c>
      <c r="D11" s="6">
        <v>1.188719647365996</v>
      </c>
      <c r="E11" s="6">
        <f t="shared" ref="E11:E18" si="2">D11-1</f>
        <v>0.188719647365996</v>
      </c>
      <c r="F11" s="6">
        <f t="shared" ref="F11:F18" si="3">LN(E11)</f>
        <v>-1.6674927124410761</v>
      </c>
      <c r="G11" s="6">
        <f t="shared" si="0"/>
        <v>1.1558918147054462</v>
      </c>
      <c r="H11" s="6">
        <f t="shared" si="1"/>
        <v>3.2827832660549783E-2</v>
      </c>
      <c r="I11" s="37"/>
      <c r="J11" s="6"/>
      <c r="K11" s="6">
        <f>1+$R$13*$Q$13^$B11</f>
        <v>1.0881584194191212</v>
      </c>
      <c r="L11" s="6">
        <f>D11-K11</f>
        <v>0.10056122794687483</v>
      </c>
      <c r="M11" s="6"/>
      <c r="N11" s="22"/>
      <c r="O11" s="6"/>
      <c r="P11" s="9"/>
      <c r="Q11" s="10" t="s">
        <v>10</v>
      </c>
      <c r="R11" s="10" t="s">
        <v>3</v>
      </c>
      <c r="S11" s="10" t="s">
        <v>19</v>
      </c>
      <c r="T11" s="10"/>
      <c r="U11" s="31"/>
      <c r="Y11" s="6"/>
      <c r="Z11" s="30"/>
    </row>
    <row r="12" spans="2:26" x14ac:dyDescent="0.65">
      <c r="B12" s="21">
        <f t="shared" ref="B12:C29" si="4">B11+1</f>
        <v>2</v>
      </c>
      <c r="C12" s="28">
        <f t="shared" si="4"/>
        <v>2</v>
      </c>
      <c r="D12" s="6">
        <v>1.0679386190747573</v>
      </c>
      <c r="E12" s="6">
        <f t="shared" si="2"/>
        <v>6.7938619074757289E-2</v>
      </c>
      <c r="F12" s="6">
        <f t="shared" si="3"/>
        <v>-2.6891506421148303</v>
      </c>
      <c r="G12" s="6">
        <f t="shared" si="0"/>
        <v>1.0993489469333066</v>
      </c>
      <c r="H12" s="6">
        <f t="shared" si="1"/>
        <v>-3.1410327858549358E-2</v>
      </c>
      <c r="I12" s="37"/>
      <c r="J12" s="6"/>
      <c r="K12" s="6">
        <f t="shared" ref="K12:K47" si="5">1+$R$13*$Q$13^$B12</f>
        <v>1.0617822428486501</v>
      </c>
      <c r="L12" s="6">
        <f t="shared" ref="L12:L20" si="6">D12-K12</f>
        <v>6.1563762261072075E-3</v>
      </c>
      <c r="M12" s="6"/>
      <c r="N12" s="22"/>
      <c r="O12" s="6"/>
      <c r="P12" s="7" t="s">
        <v>11</v>
      </c>
      <c r="Q12" s="33">
        <f>EXP(Q9)</f>
        <v>0.63729418456654685</v>
      </c>
      <c r="R12" s="33">
        <f>EXP(R9)</f>
        <v>0.24461515337924436</v>
      </c>
      <c r="S12" s="6">
        <f>PRODUCT(G21:G47)</f>
        <v>1.0047584882511278</v>
      </c>
      <c r="T12" s="6"/>
      <c r="U12" s="30"/>
      <c r="Y12" s="6"/>
      <c r="Z12" s="30"/>
    </row>
    <row r="13" spans="2:26" x14ac:dyDescent="0.65">
      <c r="B13" s="21">
        <f t="shared" si="4"/>
        <v>3</v>
      </c>
      <c r="C13" s="28">
        <f t="shared" si="4"/>
        <v>3</v>
      </c>
      <c r="D13" s="6">
        <v>1.0330080258939325</v>
      </c>
      <c r="E13" s="6">
        <f t="shared" si="2"/>
        <v>3.300802589393248E-2</v>
      </c>
      <c r="F13" s="6">
        <f t="shared" si="3"/>
        <v>-3.4110045381791037</v>
      </c>
      <c r="G13" s="6">
        <f t="shared" si="0"/>
        <v>1.0633145061234068</v>
      </c>
      <c r="H13" s="6">
        <f t="shared" si="1"/>
        <v>-3.0306480229474353E-2</v>
      </c>
      <c r="I13" s="37"/>
      <c r="J13" s="6"/>
      <c r="K13" s="6">
        <f t="shared" si="5"/>
        <v>1.0432975722178348</v>
      </c>
      <c r="L13" s="6">
        <f t="shared" si="6"/>
        <v>-1.0289546323902332E-2</v>
      </c>
      <c r="M13" s="6">
        <f t="shared" ref="M13:M29" si="7">1+$R$14*$Q$14^$B13</f>
        <v>1.0264858705507987</v>
      </c>
      <c r="N13" s="22">
        <f t="shared" ref="N13:N16" si="8">D13-M13</f>
        <v>6.5221553431338286E-3</v>
      </c>
      <c r="O13" s="6"/>
      <c r="P13" s="31" t="s">
        <v>21</v>
      </c>
      <c r="Q13" s="36">
        <f>EXP(LINEST(F11:F20,B11:B20,TRUE))</f>
        <v>0.70080933001902057</v>
      </c>
      <c r="R13" s="33">
        <f>EXP(INTERCEPT(F11:F20,B11:B20))</f>
        <v>0.12579515660376328</v>
      </c>
      <c r="S13" s="6">
        <f>PRODUCT(K21:K47)</f>
        <v>1.0084487390056027</v>
      </c>
      <c r="T13" s="6"/>
      <c r="U13" s="30"/>
      <c r="Y13" s="6"/>
      <c r="Z13" s="30"/>
    </row>
    <row r="14" spans="2:26" x14ac:dyDescent="0.65">
      <c r="B14" s="21">
        <f t="shared" si="4"/>
        <v>4</v>
      </c>
      <c r="C14" s="28">
        <f t="shared" si="4"/>
        <v>4</v>
      </c>
      <c r="D14" s="6">
        <v>1.0225796785638588</v>
      </c>
      <c r="E14" s="6">
        <f t="shared" si="2"/>
        <v>2.2579678563858785E-2</v>
      </c>
      <c r="F14" s="6">
        <f t="shared" si="3"/>
        <v>-3.7907049557977834</v>
      </c>
      <c r="G14" s="6">
        <f t="shared" si="0"/>
        <v>1.0403499665511502</v>
      </c>
      <c r="H14" s="6">
        <f t="shared" si="1"/>
        <v>-1.7770287987291411E-2</v>
      </c>
      <c r="I14" s="37"/>
      <c r="J14" s="6"/>
      <c r="K14" s="6">
        <f t="shared" si="5"/>
        <v>1.0303433425774311</v>
      </c>
      <c r="L14" s="6">
        <f t="shared" si="6"/>
        <v>-7.7636640135723134E-3</v>
      </c>
      <c r="M14" s="6">
        <f t="shared" si="7"/>
        <v>1.0207167125772387</v>
      </c>
      <c r="N14" s="22">
        <f t="shared" si="8"/>
        <v>1.8629659866200576E-3</v>
      </c>
      <c r="O14" s="6"/>
      <c r="P14" s="7" t="s">
        <v>18</v>
      </c>
      <c r="Q14" s="33">
        <f>EXP(LINEST(F13:F20,B13:B20,TRUE))</f>
        <v>0.7821797866717296</v>
      </c>
      <c r="R14" s="33">
        <f>EXP(INTERCEPT(F13:F20,B13:B20))</f>
        <v>5.5347051073441136E-2</v>
      </c>
      <c r="S14" s="6">
        <f>PRODUCT(M21:M47)</f>
        <v>1.0171411736345797</v>
      </c>
      <c r="T14" s="6"/>
      <c r="U14" s="30"/>
      <c r="Y14" s="6"/>
      <c r="Z14" s="30"/>
    </row>
    <row r="15" spans="2:26" x14ac:dyDescent="0.65">
      <c r="B15" s="21">
        <f t="shared" si="4"/>
        <v>5</v>
      </c>
      <c r="C15" s="28">
        <f t="shared" si="4"/>
        <v>5</v>
      </c>
      <c r="D15" s="6">
        <v>1.0145918797043163</v>
      </c>
      <c r="E15" s="6">
        <f t="shared" si="2"/>
        <v>1.4591879704316302E-2</v>
      </c>
      <c r="F15" s="6">
        <f t="shared" si="3"/>
        <v>-4.2272900896317651</v>
      </c>
      <c r="G15" s="6">
        <f t="shared" si="0"/>
        <v>1.0257147990305027</v>
      </c>
      <c r="H15" s="6">
        <f t="shared" si="1"/>
        <v>-1.1122919326186365E-2</v>
      </c>
      <c r="I15" s="37"/>
      <c r="J15" s="6"/>
      <c r="K15" s="6">
        <f t="shared" si="5"/>
        <v>1.0212648975822272</v>
      </c>
      <c r="L15" s="6">
        <f t="shared" si="6"/>
        <v>-6.6730178779108584E-3</v>
      </c>
      <c r="M15" s="6">
        <f t="shared" si="7"/>
        <v>1.0162041938242041</v>
      </c>
      <c r="N15" s="22">
        <f t="shared" si="8"/>
        <v>-1.6123141198878255E-3</v>
      </c>
      <c r="O15" s="6"/>
      <c r="Y15" s="6"/>
      <c r="Z15" s="30"/>
    </row>
    <row r="16" spans="2:26" x14ac:dyDescent="0.65">
      <c r="B16" s="21">
        <f t="shared" si="4"/>
        <v>6</v>
      </c>
      <c r="C16" s="28">
        <f t="shared" si="4"/>
        <v>6</v>
      </c>
      <c r="D16" s="6">
        <v>1.0113450250708893</v>
      </c>
      <c r="E16" s="6">
        <f t="shared" si="2"/>
        <v>1.1345025070889303E-2</v>
      </c>
      <c r="F16" s="6">
        <f t="shared" si="3"/>
        <v>-4.4789759508903408</v>
      </c>
      <c r="G16" s="6">
        <f t="shared" si="0"/>
        <v>1.0163878918794369</v>
      </c>
      <c r="H16" s="6">
        <f t="shared" si="1"/>
        <v>-5.0428668085475969E-3</v>
      </c>
      <c r="I16" s="37"/>
      <c r="J16" s="6"/>
      <c r="K16" s="6">
        <f t="shared" si="5"/>
        <v>1.0149026386275237</v>
      </c>
      <c r="L16" s="6">
        <f t="shared" si="6"/>
        <v>-3.5576135566344202E-3</v>
      </c>
      <c r="M16" s="6">
        <f t="shared" si="7"/>
        <v>1.0126745928686034</v>
      </c>
      <c r="N16" s="22">
        <f t="shared" si="8"/>
        <v>-1.3295677977140929E-3</v>
      </c>
      <c r="O16" s="6"/>
      <c r="S16" s="30"/>
      <c r="Y16" s="6"/>
      <c r="Z16" s="30"/>
    </row>
    <row r="17" spans="2:26" x14ac:dyDescent="0.65">
      <c r="B17" s="21">
        <f t="shared" si="4"/>
        <v>7</v>
      </c>
      <c r="C17" s="28">
        <f t="shared" si="4"/>
        <v>7</v>
      </c>
      <c r="D17" s="6">
        <v>1.0087400099976809</v>
      </c>
      <c r="E17" s="6">
        <f t="shared" si="2"/>
        <v>8.7400099976808754E-3</v>
      </c>
      <c r="F17" s="6">
        <f t="shared" si="3"/>
        <v>-4.7398439454159336</v>
      </c>
      <c r="G17" s="6">
        <f t="shared" si="0"/>
        <v>1.0104439081920704</v>
      </c>
      <c r="H17" s="6">
        <f t="shared" si="1"/>
        <v>-1.7038981943895415E-3</v>
      </c>
      <c r="I17" s="37"/>
      <c r="J17" s="6"/>
      <c r="K17" s="6">
        <f t="shared" si="5"/>
        <v>1.0104439081920704</v>
      </c>
      <c r="L17" s="6">
        <f t="shared" si="6"/>
        <v>-1.7038981943895415E-3</v>
      </c>
      <c r="M17" s="6">
        <f t="shared" si="7"/>
        <v>1.0099138103461152</v>
      </c>
      <c r="N17" s="22">
        <f t="shared" ref="N17:N20" si="9">D17-M17</f>
        <v>-1.173800348434284E-3</v>
      </c>
      <c r="O17" s="6"/>
      <c r="Y17" s="6"/>
      <c r="Z17" s="30"/>
    </row>
    <row r="18" spans="2:26" x14ac:dyDescent="0.65">
      <c r="B18" s="21">
        <f t="shared" si="4"/>
        <v>8</v>
      </c>
      <c r="C18" s="28">
        <f t="shared" si="4"/>
        <v>8</v>
      </c>
      <c r="D18" s="6">
        <v>1.0066166186595176</v>
      </c>
      <c r="E18" s="6">
        <f t="shared" si="2"/>
        <v>6.6166186595175702E-3</v>
      </c>
      <c r="F18" s="6">
        <f t="shared" si="3"/>
        <v>-5.0181708160318967</v>
      </c>
      <c r="G18" s="6">
        <f t="shared" si="0"/>
        <v>1.0066558419549534</v>
      </c>
      <c r="H18" s="6">
        <f t="shared" si="1"/>
        <v>-3.9223295435819594E-5</v>
      </c>
      <c r="I18" s="37"/>
      <c r="J18" s="6"/>
      <c r="K18" s="6">
        <f t="shared" si="5"/>
        <v>1.0073191883028649</v>
      </c>
      <c r="L18" s="6">
        <f t="shared" si="6"/>
        <v>-7.0256964334736161E-4</v>
      </c>
      <c r="M18" s="6">
        <f t="shared" si="7"/>
        <v>1.0077543820616284</v>
      </c>
      <c r="N18" s="22">
        <f t="shared" si="9"/>
        <v>-1.137763402110803E-3</v>
      </c>
      <c r="O18" s="6"/>
      <c r="P18" s="11"/>
      <c r="Y18" s="6"/>
      <c r="Z18" s="30"/>
    </row>
    <row r="19" spans="2:26" x14ac:dyDescent="0.65">
      <c r="B19" s="21">
        <f t="shared" si="4"/>
        <v>9</v>
      </c>
      <c r="C19" s="16">
        <v>9</v>
      </c>
      <c r="D19" s="6">
        <v>1.0040863784742426</v>
      </c>
      <c r="E19" s="6">
        <f t="shared" ref="E19:E20" si="10">D19-1</f>
        <v>4.0863784742426468E-3</v>
      </c>
      <c r="F19" s="6">
        <f t="shared" ref="F19:F20" si="11">LN(E19)</f>
        <v>-5.500096159797855</v>
      </c>
      <c r="G19" s="6">
        <f t="shared" si="0"/>
        <v>1.0042417293712858</v>
      </c>
      <c r="H19" s="6">
        <f t="shared" si="1"/>
        <v>-1.5535089704310501E-4</v>
      </c>
      <c r="J19" s="6"/>
      <c r="K19" s="6">
        <f t="shared" si="5"/>
        <v>1.0051293554508138</v>
      </c>
      <c r="L19" s="6">
        <f t="shared" si="6"/>
        <v>-1.042976976571186E-3</v>
      </c>
      <c r="M19" s="6">
        <f t="shared" si="7"/>
        <v>1.0060653209067356</v>
      </c>
      <c r="N19" s="22">
        <f t="shared" si="9"/>
        <v>-1.9789424324929694E-3</v>
      </c>
      <c r="O19" s="34"/>
    </row>
    <row r="20" spans="2:26" x14ac:dyDescent="0.65">
      <c r="B20" s="21">
        <f t="shared" si="4"/>
        <v>10</v>
      </c>
      <c r="C20" s="16">
        <v>10</v>
      </c>
      <c r="D20" s="6">
        <v>1.0085498376415254</v>
      </c>
      <c r="E20" s="6">
        <f t="shared" si="10"/>
        <v>8.5498376415253929E-3</v>
      </c>
      <c r="F20" s="6">
        <f t="shared" si="11"/>
        <v>-4.7618429855090429</v>
      </c>
      <c r="G20" s="6">
        <f t="shared" si="0"/>
        <v>1.0027032294608256</v>
      </c>
      <c r="H20" s="6">
        <f t="shared" si="1"/>
        <v>5.8466081806998194E-3</v>
      </c>
      <c r="J20" s="6"/>
      <c r="K20" s="6">
        <f t="shared" si="5"/>
        <v>1.0035947001569143</v>
      </c>
      <c r="L20" s="6">
        <f t="shared" si="6"/>
        <v>4.9551374846110718E-3</v>
      </c>
      <c r="M20" s="6">
        <f t="shared" si="7"/>
        <v>1.0047441714129259</v>
      </c>
      <c r="N20" s="22">
        <f t="shared" si="9"/>
        <v>3.805666228599458E-3</v>
      </c>
      <c r="O20" s="29"/>
      <c r="P20" s="5"/>
      <c r="Q20" s="6"/>
      <c r="R20" s="13"/>
      <c r="S20" s="12"/>
    </row>
    <row r="21" spans="2:26" x14ac:dyDescent="0.65">
      <c r="B21" s="21">
        <f t="shared" si="4"/>
        <v>11</v>
      </c>
      <c r="C21" s="16"/>
      <c r="D21" s="6"/>
      <c r="E21" s="12"/>
      <c r="F21" s="6"/>
      <c r="G21" s="6">
        <f t="shared" si="0"/>
        <v>1.001722752414933</v>
      </c>
      <c r="H21" s="6"/>
      <c r="I21" s="37">
        <f>(G20-1)/(G19-1)</f>
        <v>0.6372941845665584</v>
      </c>
      <c r="J21" s="6"/>
      <c r="K21" s="6">
        <f t="shared" si="5"/>
        <v>1.0025191994085865</v>
      </c>
      <c r="L21" s="6"/>
      <c r="M21" s="6">
        <f t="shared" si="7"/>
        <v>1.0037107949836965</v>
      </c>
      <c r="N21" s="22"/>
      <c r="O21" s="29"/>
    </row>
    <row r="22" spans="2:26" ht="15.75" x14ac:dyDescent="0.9">
      <c r="B22" s="21">
        <f t="shared" si="4"/>
        <v>12</v>
      </c>
      <c r="G22" s="6">
        <f t="shared" si="0"/>
        <v>1.0010979000954849</v>
      </c>
      <c r="H22" s="6"/>
      <c r="I22" s="37">
        <f>(G21-1)/(G20-1)</f>
        <v>0.63729418456651965</v>
      </c>
      <c r="J22" s="6"/>
      <c r="K22" s="6">
        <f t="shared" si="5"/>
        <v>1.0017654784497156</v>
      </c>
      <c r="L22" s="6"/>
      <c r="M22" s="6">
        <f t="shared" si="7"/>
        <v>1.0029025088287302</v>
      </c>
      <c r="N22" s="22"/>
      <c r="O22" s="29"/>
      <c r="T22" s="11" t="s">
        <v>16</v>
      </c>
    </row>
    <row r="23" spans="2:26" x14ac:dyDescent="0.65">
      <c r="B23" s="21">
        <f t="shared" si="4"/>
        <v>13</v>
      </c>
      <c r="G23" s="6">
        <f t="shared" si="0"/>
        <v>1.0006996853460874</v>
      </c>
      <c r="H23" s="6"/>
      <c r="I23" s="37"/>
      <c r="J23" s="6"/>
      <c r="K23" s="6">
        <f t="shared" si="5"/>
        <v>1.0012372637695084</v>
      </c>
      <c r="L23" s="6"/>
      <c r="M23" s="6">
        <f t="shared" si="7"/>
        <v>1.002270283736469</v>
      </c>
      <c r="N23" s="22"/>
      <c r="O23" s="29"/>
    </row>
    <row r="24" spans="2:26" x14ac:dyDescent="0.65">
      <c r="B24" s="21">
        <f t="shared" si="4"/>
        <v>14</v>
      </c>
      <c r="G24" s="6">
        <f t="shared" si="0"/>
        <v>1.000445905402088</v>
      </c>
      <c r="H24" s="6"/>
      <c r="I24" s="37"/>
      <c r="J24" s="6"/>
      <c r="K24" s="6">
        <f t="shared" si="5"/>
        <v>1.0008670859933659</v>
      </c>
      <c r="L24" s="6"/>
      <c r="M24" s="6">
        <f t="shared" si="7"/>
        <v>1.0017757700486758</v>
      </c>
      <c r="N24" s="22"/>
      <c r="O24" s="29"/>
    </row>
    <row r="25" spans="2:26" x14ac:dyDescent="0.65">
      <c r="B25" s="21">
        <f t="shared" si="4"/>
        <v>15</v>
      </c>
      <c r="G25" s="6">
        <f t="shared" si="0"/>
        <v>1.0002841729196175</v>
      </c>
      <c r="H25" s="6"/>
      <c r="I25" s="37"/>
      <c r="J25" s="6"/>
      <c r="K25" s="6">
        <f t="shared" si="5"/>
        <v>1.0006076619540796</v>
      </c>
      <c r="L25" s="6"/>
      <c r="M25" s="6">
        <f t="shared" si="7"/>
        <v>1.0013889714378512</v>
      </c>
      <c r="N25" s="22"/>
      <c r="O25" s="29"/>
    </row>
    <row r="26" spans="2:26" x14ac:dyDescent="0.65">
      <c r="B26" s="21">
        <f t="shared" si="4"/>
        <v>16</v>
      </c>
      <c r="G26" s="6">
        <f t="shared" si="0"/>
        <v>1.0001811017490836</v>
      </c>
      <c r="H26" s="6"/>
      <c r="I26" s="37"/>
      <c r="J26" s="6"/>
      <c r="K26" s="6">
        <f t="shared" si="5"/>
        <v>1.0004258551669165</v>
      </c>
      <c r="L26" s="6"/>
      <c r="M26" s="6">
        <f t="shared" si="7"/>
        <v>1.0010864253829517</v>
      </c>
      <c r="N26" s="22"/>
      <c r="O26" s="29"/>
    </row>
    <row r="27" spans="2:26" x14ac:dyDescent="0.65">
      <c r="B27" s="21">
        <f t="shared" si="4"/>
        <v>17</v>
      </c>
      <c r="G27" s="6">
        <f t="shared" si="0"/>
        <v>1.0001154150915057</v>
      </c>
      <c r="H27" s="6"/>
      <c r="I27" s="37"/>
      <c r="J27" s="6"/>
      <c r="K27" s="6">
        <f t="shared" si="5"/>
        <v>1.0002984432742119</v>
      </c>
      <c r="L27" s="6"/>
      <c r="M27" s="6">
        <f t="shared" si="7"/>
        <v>1.0008497799742717</v>
      </c>
      <c r="N27" s="22"/>
      <c r="O27" s="29"/>
    </row>
    <row r="28" spans="2:26" x14ac:dyDescent="0.65">
      <c r="B28" s="21">
        <f t="shared" si="4"/>
        <v>18</v>
      </c>
      <c r="G28" s="6">
        <f t="shared" si="0"/>
        <v>1.0000735533666278</v>
      </c>
      <c r="H28" s="6"/>
      <c r="I28" s="37"/>
      <c r="J28" s="6"/>
      <c r="K28" s="6">
        <f t="shared" si="5"/>
        <v>1.0002091518310492</v>
      </c>
      <c r="L28" s="6"/>
      <c r="M28" s="6">
        <f t="shared" si="7"/>
        <v>1.0006646807189938</v>
      </c>
      <c r="N28" s="22"/>
      <c r="O28" s="29"/>
    </row>
    <row r="29" spans="2:26" x14ac:dyDescent="0.65">
      <c r="B29" s="21">
        <f t="shared" si="4"/>
        <v>19</v>
      </c>
      <c r="C29" s="16"/>
      <c r="D29" s="16"/>
      <c r="E29" s="16"/>
      <c r="F29" s="16"/>
      <c r="G29" s="6">
        <f t="shared" si="0"/>
        <v>1.0000468751328073</v>
      </c>
      <c r="H29" s="6"/>
      <c r="I29" s="37"/>
      <c r="J29" s="6"/>
      <c r="K29" s="6">
        <f t="shared" si="5"/>
        <v>1.0001465755545897</v>
      </c>
      <c r="L29" s="6"/>
      <c r="M29" s="6">
        <f t="shared" si="7"/>
        <v>1.0005198998229874</v>
      </c>
      <c r="N29" s="22"/>
      <c r="O29" s="29"/>
    </row>
    <row r="30" spans="2:26" x14ac:dyDescent="0.65">
      <c r="B30" s="21">
        <f t="shared" ref="B30" si="12">B29+1</f>
        <v>20</v>
      </c>
      <c r="C30" s="23"/>
      <c r="D30" s="23"/>
      <c r="E30" s="23"/>
      <c r="F30" s="23"/>
      <c r="G30" s="6">
        <f t="shared" si="0"/>
        <v>1.0000298732495387</v>
      </c>
      <c r="H30" s="23"/>
      <c r="I30" s="37"/>
      <c r="J30" s="23"/>
      <c r="K30" s="6">
        <f t="shared" si="5"/>
        <v>1.0001027215162093</v>
      </c>
      <c r="L30" s="23"/>
      <c r="M30" s="6">
        <f t="shared" ref="M30:M47" si="13">1+$R$14*$Q$14^$B30</f>
        <v>1.0004066551326349</v>
      </c>
      <c r="N30" s="24"/>
    </row>
    <row r="31" spans="2:26" x14ac:dyDescent="0.65">
      <c r="B31" s="21">
        <f t="shared" ref="B31" si="14">B30+1</f>
        <v>21</v>
      </c>
      <c r="G31" s="6">
        <f t="shared" si="0"/>
        <v>1.0000190380482052</v>
      </c>
      <c r="I31" s="37"/>
      <c r="K31" s="6">
        <f t="shared" si="5"/>
        <v>1.0000719881969531</v>
      </c>
      <c r="M31" s="6">
        <f t="shared" si="13"/>
        <v>1.0003180774248934</v>
      </c>
    </row>
    <row r="32" spans="2:26" x14ac:dyDescent="0.65">
      <c r="B32" s="21">
        <f t="shared" ref="B32" si="15">B31+1</f>
        <v>22</v>
      </c>
      <c r="G32" s="6">
        <f t="shared" si="0"/>
        <v>1.0000121328374068</v>
      </c>
      <c r="I32" s="37"/>
      <c r="K32" s="6">
        <f t="shared" si="5"/>
        <v>1.000050450000076</v>
      </c>
      <c r="M32" s="6">
        <f t="shared" si="13"/>
        <v>1.0002487937323481</v>
      </c>
    </row>
    <row r="33" spans="2:15" x14ac:dyDescent="0.65">
      <c r="B33" s="21">
        <f t="shared" ref="B33" si="16">B32+1</f>
        <v>23</v>
      </c>
      <c r="G33" s="6">
        <f t="shared" si="0"/>
        <v>1.0000077321867216</v>
      </c>
      <c r="I33" s="37"/>
      <c r="K33" s="6">
        <f t="shared" si="5"/>
        <v>1.0000353558307526</v>
      </c>
      <c r="M33" s="6">
        <f t="shared" si="13"/>
        <v>1.0001946014284935</v>
      </c>
      <c r="O33" s="14"/>
    </row>
    <row r="34" spans="2:15" x14ac:dyDescent="0.65">
      <c r="B34" s="21">
        <f t="shared" ref="B34" si="17">B33+1</f>
        <v>24</v>
      </c>
      <c r="G34" s="6">
        <f t="shared" si="0"/>
        <v>1.0000049276776317</v>
      </c>
      <c r="I34" s="37"/>
      <c r="K34" s="6">
        <f t="shared" si="5"/>
        <v>1.000024777696062</v>
      </c>
      <c r="M34" s="6">
        <f t="shared" si="13"/>
        <v>1.000152213303825</v>
      </c>
    </row>
    <row r="35" spans="2:15" x14ac:dyDescent="0.65">
      <c r="B35" s="21">
        <f t="shared" ref="B35" si="18">B34+1</f>
        <v>25</v>
      </c>
      <c r="G35" s="6">
        <f t="shared" si="0"/>
        <v>1.000003140380298</v>
      </c>
      <c r="I35" s="37"/>
      <c r="K35" s="6">
        <f t="shared" si="5"/>
        <v>1.0000173644405768</v>
      </c>
      <c r="M35" s="6">
        <f t="shared" si="13"/>
        <v>1.0001190581695145</v>
      </c>
      <c r="O35" s="15"/>
    </row>
    <row r="36" spans="2:15" x14ac:dyDescent="0.65">
      <c r="B36" s="21">
        <f t="shared" ref="B36" si="19">B35+1</f>
        <v>26</v>
      </c>
      <c r="G36" s="6">
        <f t="shared" si="0"/>
        <v>1.0000020013461013</v>
      </c>
      <c r="I36" s="37"/>
      <c r="K36" s="6">
        <f t="shared" si="5"/>
        <v>1.0000121691619668</v>
      </c>
      <c r="M36" s="6">
        <f t="shared" si="13"/>
        <v>1.0000931248936322</v>
      </c>
    </row>
    <row r="37" spans="2:15" x14ac:dyDescent="0.65">
      <c r="B37" s="21">
        <f t="shared" ref="B37" si="20">B36+1</f>
        <v>27</v>
      </c>
      <c r="G37" s="6">
        <f t="shared" si="0"/>
        <v>1.0000012754462317</v>
      </c>
      <c r="I37" s="37"/>
      <c r="K37" s="6">
        <f t="shared" si="5"/>
        <v>1.0000085282622448</v>
      </c>
      <c r="M37" s="6">
        <f t="shared" si="13"/>
        <v>1.0000728404094352</v>
      </c>
    </row>
    <row r="38" spans="2:15" x14ac:dyDescent="0.65">
      <c r="B38" s="21">
        <f t="shared" ref="B38" si="21">B37+1</f>
        <v>28</v>
      </c>
      <c r="G38" s="6">
        <f t="shared" si="0"/>
        <v>1.0000008128344662</v>
      </c>
      <c r="I38" s="37"/>
      <c r="K38" s="6">
        <f t="shared" si="5"/>
        <v>1.0000059766857501</v>
      </c>
      <c r="M38" s="6">
        <f t="shared" si="13"/>
        <v>1.0000569742959131</v>
      </c>
    </row>
    <row r="39" spans="2:15" x14ac:dyDescent="0.65">
      <c r="B39" s="21">
        <f t="shared" ref="B39" si="22">B38+1</f>
        <v>29</v>
      </c>
      <c r="G39" s="6">
        <f t="shared" si="0"/>
        <v>1.0000005180146783</v>
      </c>
      <c r="I39" s="37"/>
      <c r="K39" s="6">
        <f t="shared" si="5"/>
        <v>1.0000041885171362</v>
      </c>
      <c r="M39" s="6">
        <f t="shared" si="13"/>
        <v>1.000044564142623</v>
      </c>
    </row>
    <row r="40" spans="2:15" x14ac:dyDescent="0.65">
      <c r="B40" s="21">
        <f t="shared" ref="B40" si="23">B39+1</f>
        <v>30</v>
      </c>
      <c r="G40" s="6">
        <f t="shared" si="0"/>
        <v>1.000000330127742</v>
      </c>
      <c r="I40" s="37"/>
      <c r="K40" s="6">
        <f t="shared" si="5"/>
        <v>1.000002935351888</v>
      </c>
      <c r="M40" s="6">
        <f t="shared" si="13"/>
        <v>1.00003485717157</v>
      </c>
    </row>
    <row r="41" spans="2:15" x14ac:dyDescent="0.65">
      <c r="B41" s="21">
        <f t="shared" ref="B41" si="24">B40+1</f>
        <v>31</v>
      </c>
      <c r="G41" s="6">
        <f t="shared" si="0"/>
        <v>1.0000002103884902</v>
      </c>
      <c r="I41" s="37"/>
      <c r="K41" s="6">
        <f t="shared" si="5"/>
        <v>1.0000020571219901</v>
      </c>
      <c r="M41" s="6">
        <f t="shared" si="13"/>
        <v>1.0000272645750228</v>
      </c>
    </row>
    <row r="42" spans="2:15" x14ac:dyDescent="0.65">
      <c r="B42" s="21">
        <f t="shared" ref="B42" si="25">B41+1</f>
        <v>32</v>
      </c>
      <c r="G42" s="6">
        <f t="shared" si="0"/>
        <v>1.0000001340793612</v>
      </c>
      <c r="I42" s="37"/>
      <c r="K42" s="6">
        <f t="shared" si="5"/>
        <v>1.0000014416502836</v>
      </c>
      <c r="M42" s="6">
        <f t="shared" si="13"/>
        <v>1.000021325799475</v>
      </c>
    </row>
    <row r="43" spans="2:15" x14ac:dyDescent="0.65">
      <c r="B43" s="21">
        <f t="shared" ref="B43" si="26">B42+1</f>
        <v>33</v>
      </c>
      <c r="G43" s="6">
        <f t="shared" si="0"/>
        <v>1.0000000854479971</v>
      </c>
      <c r="I43" s="37"/>
      <c r="K43" s="6">
        <f t="shared" si="5"/>
        <v>1.0000010103219694</v>
      </c>
      <c r="M43" s="6">
        <f t="shared" si="13"/>
        <v>1.0000166806092838</v>
      </c>
    </row>
    <row r="44" spans="2:15" x14ac:dyDescent="0.65">
      <c r="B44" s="21">
        <f t="shared" ref="B44" si="27">B43+1</f>
        <v>34</v>
      </c>
      <c r="G44" s="6">
        <f t="shared" si="0"/>
        <v>1.0000000544555117</v>
      </c>
      <c r="I44" s="37"/>
      <c r="K44" s="6">
        <f t="shared" si="5"/>
        <v>1.0000007080430624</v>
      </c>
      <c r="M44" s="6">
        <f t="shared" si="13"/>
        <v>1.0000130472354112</v>
      </c>
    </row>
    <row r="45" spans="2:15" x14ac:dyDescent="0.65">
      <c r="B45" s="21">
        <f t="shared" ref="B45" si="28">B44+1</f>
        <v>35</v>
      </c>
      <c r="G45" s="6">
        <f t="shared" si="0"/>
        <v>1.0000000347041809</v>
      </c>
      <c r="I45" s="37"/>
      <c r="K45" s="6">
        <f t="shared" si="5"/>
        <v>1.0000004962031843</v>
      </c>
      <c r="M45" s="6">
        <f t="shared" si="13"/>
        <v>1.0000102052838107</v>
      </c>
    </row>
    <row r="46" spans="2:15" x14ac:dyDescent="0.65">
      <c r="B46" s="21">
        <f t="shared" ref="B46" si="29">B45+1</f>
        <v>36</v>
      </c>
      <c r="G46" s="6">
        <f t="shared" si="0"/>
        <v>1.0000000221167726</v>
      </c>
      <c r="I46" s="37"/>
      <c r="K46" s="6">
        <f t="shared" si="5"/>
        <v>1.0000003477438211</v>
      </c>
      <c r="M46" s="6">
        <f t="shared" si="13"/>
        <v>1.0000079823667138</v>
      </c>
    </row>
    <row r="47" spans="2:15" x14ac:dyDescent="0.65">
      <c r="B47" s="21">
        <f t="shared" ref="B47" si="30">B46+1</f>
        <v>37</v>
      </c>
      <c r="G47" s="44">
        <f t="shared" si="0"/>
        <v>1.0000000140948906</v>
      </c>
      <c r="I47" s="37"/>
      <c r="K47" s="6">
        <f t="shared" si="5"/>
        <v>1.0000002437021143</v>
      </c>
      <c r="M47" s="6">
        <f t="shared" si="13"/>
        <v>1.0000062436458934</v>
      </c>
    </row>
    <row r="48" spans="2:15" x14ac:dyDescent="0.65">
      <c r="G48" s="6"/>
    </row>
    <row r="56" spans="2:14" x14ac:dyDescent="0.65">
      <c r="B56" s="39" t="s">
        <v>23</v>
      </c>
      <c r="C56" s="39"/>
      <c r="D56" s="39"/>
      <c r="E56" s="39"/>
      <c r="H56" s="30">
        <f>SUM(H10:H29)</f>
        <v>0.7136512516895237</v>
      </c>
      <c r="I56" s="30"/>
      <c r="L56" s="30">
        <f>SUM(L10:L29)</f>
        <v>7.9939455071265098E-2</v>
      </c>
      <c r="N56" s="30">
        <f>SUM(N10:N29)</f>
        <v>4.9583994577133694E-3</v>
      </c>
    </row>
  </sheetData>
  <mergeCells count="9">
    <mergeCell ref="S9:T9"/>
    <mergeCell ref="C1:O1"/>
    <mergeCell ref="C2:O2"/>
    <mergeCell ref="C4:O4"/>
    <mergeCell ref="G7:N7"/>
    <mergeCell ref="B8:C9"/>
    <mergeCell ref="M8:N8"/>
    <mergeCell ref="K8:L8"/>
    <mergeCell ref="G8:H8"/>
  </mergeCells>
  <printOptions horizontalCentered="1"/>
  <pageMargins left="0.5" right="0.5" top="1" bottom="1" header="0.5" footer="0.5"/>
  <pageSetup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8ACB-B27F-44F5-877E-D7D571B7D9D4}">
  <dimension ref="A1:H18"/>
  <sheetViews>
    <sheetView workbookViewId="0">
      <selection activeCell="L13" sqref="L13"/>
    </sheetView>
  </sheetViews>
  <sheetFormatPr defaultRowHeight="13" x14ac:dyDescent="0.6"/>
  <cols>
    <col min="2" max="2" width="15.58984375" bestFit="1" customWidth="1"/>
    <col min="3" max="3" width="12.90625" bestFit="1" customWidth="1"/>
    <col min="4" max="4" width="15.08984375" bestFit="1" customWidth="1"/>
    <col min="5" max="5" width="11.04296875" bestFit="1" customWidth="1"/>
    <col min="6" max="6" width="13.58984375" bestFit="1" customWidth="1"/>
    <col min="7" max="7" width="16.86328125" bestFit="1" customWidth="1"/>
    <col min="8" max="8" width="15.953125" bestFit="1" customWidth="1"/>
  </cols>
  <sheetData>
    <row r="1" spans="1:8" ht="13.25" x14ac:dyDescent="0.65">
      <c r="A1" s="2"/>
      <c r="B1" s="2"/>
      <c r="C1" s="2"/>
      <c r="D1" s="2"/>
      <c r="E1" s="2"/>
      <c r="F1" s="2"/>
      <c r="G1" s="2"/>
      <c r="H1" s="2"/>
    </row>
    <row r="2" spans="1:8" ht="13.25" x14ac:dyDescent="0.65">
      <c r="A2" s="2"/>
      <c r="B2" s="50" t="s">
        <v>24</v>
      </c>
      <c r="C2" s="50"/>
      <c r="D2" s="50"/>
      <c r="E2" s="50"/>
      <c r="F2" s="50"/>
      <c r="G2" s="50"/>
      <c r="H2" s="50"/>
    </row>
    <row r="3" spans="1:8" ht="13.25" x14ac:dyDescent="0.65">
      <c r="A3" s="2"/>
      <c r="B3" s="2"/>
      <c r="C3" s="2"/>
      <c r="D3" s="2" t="s">
        <v>28</v>
      </c>
      <c r="E3" s="42" t="s">
        <v>24</v>
      </c>
      <c r="F3" s="43" t="s">
        <v>11</v>
      </c>
      <c r="G3" s="42" t="str">
        <f>CurveFit_Exponential!P13</f>
        <v>Using Last 10 Points</v>
      </c>
      <c r="H3" s="42" t="str">
        <f>CurveFit_Exponential!P14</f>
        <v>Using Last 8 Points</v>
      </c>
    </row>
    <row r="4" spans="1:8" ht="13.25" x14ac:dyDescent="0.65">
      <c r="A4" s="2"/>
      <c r="B4" s="2" t="s">
        <v>25</v>
      </c>
      <c r="C4" s="2" t="s">
        <v>26</v>
      </c>
      <c r="D4" s="2" t="s">
        <v>27</v>
      </c>
      <c r="E4" s="47">
        <v>1.0124522638391824</v>
      </c>
      <c r="F4" s="47">
        <f>CurveFit_Exponential!S12</f>
        <v>1.0047584882511278</v>
      </c>
      <c r="G4" s="47">
        <f>CurveFit_Exponential!S13</f>
        <v>1.0084487390056027</v>
      </c>
      <c r="H4" s="47">
        <f>CurveFit_Exponential!S14</f>
        <v>1.0171411736345797</v>
      </c>
    </row>
    <row r="5" spans="1:8" ht="13.25" x14ac:dyDescent="0.65">
      <c r="A5" s="2">
        <v>1993</v>
      </c>
      <c r="B5" s="40">
        <v>85774.613178299987</v>
      </c>
      <c r="C5" s="34">
        <v>1</v>
      </c>
      <c r="D5" s="40">
        <f>B5*C5-B5</f>
        <v>0</v>
      </c>
      <c r="E5" s="40">
        <f>$B5*$C5*E$4-$B5</f>
        <v>1068.0881139999983</v>
      </c>
      <c r="F5" s="40">
        <f>$B5*$C5*F$4-$B5</f>
        <v>408.15748905397777</v>
      </c>
      <c r="G5" s="40">
        <f>$B5*$C5*G$4-$B5</f>
        <v>724.6873200499831</v>
      </c>
      <c r="H5" s="40">
        <f>$B5*$C5*H$4-$B5</f>
        <v>1470.277537928152</v>
      </c>
    </row>
    <row r="6" spans="1:8" ht="13.25" x14ac:dyDescent="0.65">
      <c r="A6" s="2">
        <v>1994</v>
      </c>
      <c r="B6" s="40">
        <v>96325.02158249999</v>
      </c>
      <c r="C6" s="34">
        <v>1.0085498376415254</v>
      </c>
      <c r="D6" s="40">
        <f>B6*C6-B6</f>
        <v>823.56329534680117</v>
      </c>
      <c r="E6" s="40">
        <f>B6*C6*$E$4-B6</f>
        <v>2033.2831058489537</v>
      </c>
      <c r="F6" s="40">
        <f>$B6*$C6*F$4-$B6</f>
        <v>1285.8436951017211</v>
      </c>
      <c r="G6" s="40">
        <f>$B6*$C6*G$4-$B6</f>
        <v>1644.3463337433786</v>
      </c>
      <c r="H6" s="40">
        <f>$B6*$C6*H$4-$B6</f>
        <v>2488.8040570916783</v>
      </c>
    </row>
    <row r="7" spans="1:8" ht="13.25" x14ac:dyDescent="0.65">
      <c r="A7" s="2">
        <v>1995</v>
      </c>
      <c r="B7" s="40">
        <v>105007.48487610002</v>
      </c>
      <c r="C7" s="34">
        <v>1.0126711539882647</v>
      </c>
      <c r="D7" s="40">
        <f>B7*C7-B7</f>
        <v>1330.5660107854346</v>
      </c>
      <c r="E7" s="40">
        <f>B7*C7*$E$4-B7</f>
        <v>2654.715476573343</v>
      </c>
      <c r="F7" s="40">
        <f>$B7*$C7*F$4-$B7</f>
        <v>1836.574376578501</v>
      </c>
      <c r="G7" s="40">
        <f>$B7*$C7*G$4-$B7</f>
        <v>2228.9884490932309</v>
      </c>
      <c r="H7" s="40">
        <f>$B7*$C7*H$4-$B7</f>
        <v>3153.3250050003116</v>
      </c>
    </row>
    <row r="8" spans="1:8" ht="13.25" x14ac:dyDescent="0.65">
      <c r="A8" s="2">
        <v>1996</v>
      </c>
      <c r="B8" s="40">
        <v>114674.41313589999</v>
      </c>
      <c r="C8" s="34">
        <v>1.0193716128416985</v>
      </c>
      <c r="D8" s="40">
        <f>B8*C8-B8</f>
        <v>2221.4283341176488</v>
      </c>
      <c r="E8" s="40">
        <f>B8*C8*$E$4-B8</f>
        <v>3677.0461938055523</v>
      </c>
      <c r="F8" s="40">
        <f>$B8*$C8*F$4-$B8</f>
        <v>2777.6758223584184</v>
      </c>
      <c r="G8" s="40">
        <f>$B8*$C8*G$4-$B8</f>
        <v>3209.0507895381452</v>
      </c>
      <c r="H8" s="40">
        <f>$B8*$C8*H$4-$B8</f>
        <v>4225.1602499155269</v>
      </c>
    </row>
    <row r="9" spans="1:8" ht="13.25" x14ac:dyDescent="0.65">
      <c r="A9" s="2">
        <v>1997</v>
      </c>
      <c r="B9" s="40">
        <v>118289.46107000002</v>
      </c>
      <c r="C9" s="34">
        <v>1.0282809309292871</v>
      </c>
      <c r="D9" s="40">
        <f>B9*C9-B9</f>
        <v>3345.3360781832598</v>
      </c>
      <c r="E9" s="40">
        <f>B9*C9*$E$4-B9</f>
        <v>4859.9646642978769</v>
      </c>
      <c r="F9" s="40">
        <f>$B9*$C9*F$4-$B9</f>
        <v>3924.1338313411979</v>
      </c>
      <c r="G9" s="40">
        <f>$B9*$C9*G$4-$B9</f>
        <v>4372.996733287684</v>
      </c>
      <c r="H9" s="40">
        <f>$B9*$C9*H$4-$B9</f>
        <v>5430.2992561071442</v>
      </c>
    </row>
    <row r="10" spans="1:8" ht="13.25" x14ac:dyDescent="0.65">
      <c r="A10" s="2">
        <v>1998</v>
      </c>
      <c r="B10" s="40">
        <v>132138.57105614999</v>
      </c>
      <c r="C10" s="34">
        <v>1.0399468038705972</v>
      </c>
      <c r="D10" s="40">
        <f>B10*C10-B10</f>
        <v>5278.5135817209957</v>
      </c>
      <c r="E10" s="40">
        <f>B10*C10*$E$4-B10</f>
        <v>6989.6673756430391</v>
      </c>
      <c r="F10" s="40">
        <f>$B10*$C10*F$4-$B10</f>
        <v>5932.4111644745281</v>
      </c>
      <c r="G10" s="40">
        <f>$B10*$C10*G$4-$B10</f>
        <v>6439.5146647371876</v>
      </c>
      <c r="H10" s="40">
        <f>$B10*$C10*H$4-$B10</f>
        <v>7634.0036898564722</v>
      </c>
    </row>
    <row r="11" spans="1:8" ht="13.25" x14ac:dyDescent="0.65">
      <c r="A11" s="2">
        <v>1999</v>
      </c>
      <c r="B11" s="40">
        <v>138291.0141644</v>
      </c>
      <c r="C11" s="34">
        <v>1.0551215825315654</v>
      </c>
      <c r="D11" s="40">
        <f>B11*C11-B11</f>
        <v>7622.8195506368647</v>
      </c>
      <c r="E11" s="40">
        <f>B11*C11*$E$4-B11</f>
        <v>9439.7771058430953</v>
      </c>
      <c r="F11" s="40">
        <f>$B11*$C11*F$4-$B11</f>
        <v>8317.1488140468718</v>
      </c>
      <c r="G11" s="40">
        <f>$B11*$C11*G$4-$B11</f>
        <v>8855.6074490021274</v>
      </c>
      <c r="H11" s="40">
        <f>$B11*$C11*H$4-$B11</f>
        <v>10123.95391003351</v>
      </c>
    </row>
    <row r="12" spans="1:8" ht="13.25" x14ac:dyDescent="0.65">
      <c r="A12" s="2">
        <v>2000</v>
      </c>
      <c r="B12" s="40">
        <v>129900.41042400002</v>
      </c>
      <c r="C12" s="34">
        <v>1.078945888710918</v>
      </c>
      <c r="D12" s="40">
        <f>B12*C12-B12</f>
        <v>10255.103344835676</v>
      </c>
      <c r="E12" s="40">
        <f>B12*C12*$E$4-B12</f>
        <v>12000.35678080139</v>
      </c>
      <c r="F12" s="40">
        <f>$B12*$C12*F$4-$B12</f>
        <v>10922.031710435447</v>
      </c>
      <c r="G12" s="40">
        <f>$B12*$C12*G$4-$B12</f>
        <v>11439.240700864713</v>
      </c>
      <c r="H12" s="40">
        <f>$B12*$C12*H$4-$B12</f>
        <v>12657.533342191004</v>
      </c>
    </row>
    <row r="13" spans="1:8" ht="13.25" x14ac:dyDescent="0.65">
      <c r="A13" s="2">
        <v>2001</v>
      </c>
      <c r="B13" s="40">
        <v>124786.08131000001</v>
      </c>
      <c r="C13" s="34">
        <v>1.1145597625436401</v>
      </c>
      <c r="D13" s="40">
        <f>B13*C13-B13</f>
        <v>14295.463843624952</v>
      </c>
      <c r="E13" s="40">
        <f>B13*C13*$E$4-B13</f>
        <v>16027.343939039041</v>
      </c>
      <c r="F13" s="40">
        <f>$B13*$C13*F$4-$B13</f>
        <v>14957.281742187188</v>
      </c>
      <c r="G13" s="40">
        <f>$B13*$C13*G$4-$B13</f>
        <v>15470.527519123891</v>
      </c>
      <c r="H13" s="40">
        <f>$B13*$C13*H$4-$B13</f>
        <v>16679.484758468869</v>
      </c>
    </row>
    <row r="14" spans="1:8" ht="13.25" x14ac:dyDescent="0.65">
      <c r="A14" s="2">
        <v>2002</v>
      </c>
      <c r="B14" s="40">
        <v>121799.75327999999</v>
      </c>
      <c r="C14" s="34">
        <v>1.1902814136871442</v>
      </c>
      <c r="D14" s="40">
        <f>B14*C14-B14</f>
        <v>23176.229240863773</v>
      </c>
      <c r="E14" s="40">
        <f>B14*C14*$E$4-B14</f>
        <v>24981.508425558262</v>
      </c>
      <c r="F14" s="40">
        <f>$B14*$C14*F$4-$B14</f>
        <v>23866.095750385008</v>
      </c>
      <c r="G14" s="40">
        <f>$B14*$C14*G$4-$B14</f>
        <v>24401.093479263378</v>
      </c>
      <c r="H14" s="40">
        <f>$B14*$C14*H$4-$B14</f>
        <v>25661.287730097698</v>
      </c>
    </row>
    <row r="15" spans="1:8" ht="13.25" x14ac:dyDescent="0.65">
      <c r="A15" s="2">
        <v>2003</v>
      </c>
      <c r="B15" s="40">
        <v>112342</v>
      </c>
      <c r="C15" s="34">
        <v>1.4149109023444812</v>
      </c>
      <c r="D15" s="40">
        <f>B15*C15-B15</f>
        <v>46611.920591183705</v>
      </c>
      <c r="E15" s="40">
        <f>B15*C15*$E$4-B15</f>
        <v>48591.256748657586</v>
      </c>
      <c r="F15" s="40">
        <f>$B15*$C15*F$4-$B15</f>
        <v>47368.300954787555</v>
      </c>
      <c r="G15" s="40">
        <f>$B15*$C15*G$4-$B15</f>
        <v>47954.88078017591</v>
      </c>
      <c r="H15" s="40">
        <f>$B15*$C15*H$4-$B15</f>
        <v>49336.577343934361</v>
      </c>
    </row>
    <row r="16" spans="1:8" ht="13.25" x14ac:dyDescent="0.65">
      <c r="A16" s="2">
        <v>2004</v>
      </c>
      <c r="B16" s="40">
        <v>60361.276160000001</v>
      </c>
      <c r="C16" s="34">
        <v>2.8540780733960247</v>
      </c>
      <c r="D16" s="40">
        <f>B16*C16-B16</f>
        <v>111914.51861045818</v>
      </c>
      <c r="E16" s="40">
        <f>B16*C16*$E$4-B16</f>
        <v>114059.74226004476</v>
      </c>
      <c r="F16" s="40">
        <f>$B16*$C16*F$4-$B16</f>
        <v>112734.29095582711</v>
      </c>
      <c r="G16" s="40">
        <f>$B16*$C16*G$4-$B16</f>
        <v>113370.03183745657</v>
      </c>
      <c r="H16" s="40">
        <f>$B16*$C16*H$4-$B16</f>
        <v>114867.52792165382</v>
      </c>
    </row>
    <row r="17" spans="1:8" ht="13.25" x14ac:dyDescent="0.65">
      <c r="A17" s="30"/>
      <c r="B17" s="40"/>
      <c r="C17" s="2"/>
      <c r="D17" s="41">
        <f>SUM(D5:D16)</f>
        <v>226875.46248175728</v>
      </c>
      <c r="E17" s="41">
        <f>SUM(E5:E16)</f>
        <v>246382.75019011289</v>
      </c>
      <c r="F17" s="41">
        <f>SUM(F5:F16)</f>
        <v>234329.94630657753</v>
      </c>
      <c r="G17" s="41">
        <f>SUM(G5:G16)</f>
        <v>240110.96605633618</v>
      </c>
      <c r="H17" s="41">
        <f>SUM(H5:H16)</f>
        <v>253728.23480227854</v>
      </c>
    </row>
    <row r="18" spans="1:8" ht="13.25" x14ac:dyDescent="0.65">
      <c r="A18" s="2"/>
      <c r="B18" s="2"/>
      <c r="C18" s="49" t="s">
        <v>32</v>
      </c>
      <c r="D18" s="49"/>
      <c r="E18" s="48">
        <f>E17/$D$17-1</f>
        <v>8.5982360079702946E-2</v>
      </c>
      <c r="F18" s="48">
        <f>F17/$D$17-1</f>
        <v>3.2857162001023621E-2</v>
      </c>
      <c r="G18" s="48">
        <f>G17/$D$17-1</f>
        <v>5.8338188845094452E-2</v>
      </c>
      <c r="H18" s="48">
        <f>H17/$D$17-1</f>
        <v>0.11835908575913301</v>
      </c>
    </row>
  </sheetData>
  <mergeCells count="2">
    <mergeCell ref="C18:D18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CurveFit_Exponential</vt:lpstr>
      <vt:lpstr>Reserve in different scenarios</vt:lpstr>
      <vt:lpstr>CurveFit_Exponential!Print_Area</vt:lpstr>
    </vt:vector>
  </TitlesOfParts>
  <Company>Auto-Owners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Auto-Owners Insurance Company</dc:creator>
  <cp:lastModifiedBy>Clemente Gian Paolo (gianpaolo.clemente)</cp:lastModifiedBy>
  <cp:lastPrinted>2008-05-22T20:48:50Z</cp:lastPrinted>
  <dcterms:created xsi:type="dcterms:W3CDTF">2008-02-08T17:54:28Z</dcterms:created>
  <dcterms:modified xsi:type="dcterms:W3CDTF">2021-09-13T08:32:49Z</dcterms:modified>
</cp:coreProperties>
</file>