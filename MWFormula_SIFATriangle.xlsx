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ink/ink3.xml" ContentType="application/inkml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cattolica-my.sharepoint.com/personal/gianpaolo_clemente_unicatt_it/Documents/Unicatt/Lezioni/TAAd/2022-23/"/>
    </mc:Choice>
  </mc:AlternateContent>
  <xr:revisionPtr revIDLastSave="725" documentId="8_{4DE7E47B-CBB0-4E2F-8857-0665AF8CA755}" xr6:coauthVersionLast="47" xr6:coauthVersionMax="47" xr10:uidLastSave="{9F287C16-0F13-42E0-844F-589AAAC460C3}"/>
  <bookViews>
    <workbookView xWindow="-90" yWindow="-90" windowWidth="19380" windowHeight="11580" xr2:uid="{4A247CFB-76C5-4E5C-81D0-B490BBDACF5C}"/>
  </bookViews>
  <sheets>
    <sheet name="Mack &amp; MW" sheetId="3" r:id="rId1"/>
    <sheet name="MW_metodo2" sheetId="5" r:id="rId2"/>
  </sheets>
  <externalReferences>
    <externalReference r:id="rId3"/>
    <externalReference r:id="rId4"/>
  </externalReferences>
  <definedNames>
    <definedName name="LatestYear">2020</definedName>
    <definedName name="nCol" localSheetId="1">COUNTA([1]input!$Y$7:$AJ$7)-1</definedName>
    <definedName name="nCol">COUNTA(#REF!)-1</definedName>
    <definedName name="nRow" localSheetId="1">COUNTA([1]input!$B$5:$B$16)</definedName>
    <definedName name="nRow">COUNTA(#REF!)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0" i="5" l="1"/>
  <c r="N80" i="5"/>
  <c r="M80" i="5"/>
  <c r="L80" i="5"/>
  <c r="K80" i="5"/>
  <c r="J80" i="5"/>
  <c r="I80" i="5"/>
  <c r="H80" i="5"/>
  <c r="G80" i="5"/>
  <c r="F80" i="5"/>
  <c r="E80" i="5"/>
  <c r="D80" i="5"/>
  <c r="N79" i="5"/>
  <c r="M79" i="5"/>
  <c r="L79" i="5"/>
  <c r="K79" i="5"/>
  <c r="J79" i="5"/>
  <c r="I79" i="5"/>
  <c r="H79" i="5"/>
  <c r="G79" i="5"/>
  <c r="F79" i="5"/>
  <c r="E79" i="5"/>
  <c r="D79" i="5"/>
  <c r="M78" i="5"/>
  <c r="L78" i="5"/>
  <c r="K78" i="5"/>
  <c r="J78" i="5"/>
  <c r="I78" i="5"/>
  <c r="H78" i="5"/>
  <c r="G78" i="5"/>
  <c r="F78" i="5"/>
  <c r="E78" i="5"/>
  <c r="D78" i="5"/>
  <c r="L77" i="5"/>
  <c r="K77" i="5"/>
  <c r="J77" i="5"/>
  <c r="I77" i="5"/>
  <c r="H77" i="5"/>
  <c r="G77" i="5"/>
  <c r="F77" i="5"/>
  <c r="E77" i="5"/>
  <c r="D77" i="5"/>
  <c r="K76" i="5"/>
  <c r="J76" i="5"/>
  <c r="I76" i="5"/>
  <c r="H76" i="5"/>
  <c r="G76" i="5"/>
  <c r="F76" i="5"/>
  <c r="E76" i="5"/>
  <c r="D76" i="5"/>
  <c r="J75" i="5"/>
  <c r="I75" i="5"/>
  <c r="H75" i="5"/>
  <c r="G75" i="5"/>
  <c r="F75" i="5"/>
  <c r="E75" i="5"/>
  <c r="D75" i="5"/>
  <c r="I74" i="5"/>
  <c r="H74" i="5"/>
  <c r="G74" i="5"/>
  <c r="F74" i="5"/>
  <c r="E74" i="5"/>
  <c r="D74" i="5"/>
  <c r="H73" i="5"/>
  <c r="G73" i="5"/>
  <c r="F73" i="5"/>
  <c r="E73" i="5"/>
  <c r="D73" i="5"/>
  <c r="Y72" i="5"/>
  <c r="G72" i="5"/>
  <c r="F72" i="5"/>
  <c r="E72" i="5"/>
  <c r="D72" i="5"/>
  <c r="F71" i="5"/>
  <c r="E71" i="5"/>
  <c r="D71" i="5"/>
  <c r="Y70" i="5"/>
  <c r="V70" i="5"/>
  <c r="E70" i="5"/>
  <c r="D70" i="5"/>
  <c r="Y69" i="5"/>
  <c r="V69" i="5"/>
  <c r="D69" i="5"/>
  <c r="Y68" i="5"/>
  <c r="V68" i="5"/>
  <c r="Y67" i="5"/>
  <c r="V67" i="5"/>
  <c r="Y66" i="5"/>
  <c r="V66" i="5"/>
  <c r="Y65" i="5"/>
  <c r="V65" i="5"/>
  <c r="Y64" i="5"/>
  <c r="V64" i="5"/>
  <c r="Y63" i="5"/>
  <c r="V63" i="5"/>
  <c r="Y62" i="5"/>
  <c r="V62" i="5"/>
  <c r="Y61" i="5"/>
  <c r="V61" i="5"/>
  <c r="Y60" i="5"/>
  <c r="V60" i="5"/>
  <c r="Y59" i="5"/>
  <c r="V59" i="5"/>
  <c r="W59" i="5" s="1"/>
  <c r="N59" i="5"/>
  <c r="N60" i="5" s="1"/>
  <c r="M59" i="5"/>
  <c r="N55" i="5"/>
  <c r="M55" i="5"/>
  <c r="L55" i="5"/>
  <c r="K55" i="5"/>
  <c r="J55" i="5"/>
  <c r="I55" i="5"/>
  <c r="H55" i="5"/>
  <c r="G55" i="5"/>
  <c r="F55" i="5"/>
  <c r="E55" i="5"/>
  <c r="D55" i="5"/>
  <c r="C55" i="5"/>
  <c r="N54" i="5"/>
  <c r="M54" i="5"/>
  <c r="L54" i="5"/>
  <c r="K54" i="5"/>
  <c r="J54" i="5"/>
  <c r="I54" i="5"/>
  <c r="H54" i="5"/>
  <c r="G54" i="5"/>
  <c r="F54" i="5"/>
  <c r="E54" i="5"/>
  <c r="D54" i="5"/>
  <c r="N53" i="5"/>
  <c r="M53" i="5"/>
  <c r="L53" i="5"/>
  <c r="K53" i="5"/>
  <c r="J53" i="5"/>
  <c r="I53" i="5"/>
  <c r="H53" i="5"/>
  <c r="G53" i="5"/>
  <c r="F53" i="5"/>
  <c r="E53" i="5"/>
  <c r="N52" i="5"/>
  <c r="M52" i="5"/>
  <c r="L52" i="5"/>
  <c r="K52" i="5"/>
  <c r="J52" i="5"/>
  <c r="I52" i="5"/>
  <c r="H52" i="5"/>
  <c r="G52" i="5"/>
  <c r="F52" i="5"/>
  <c r="N51" i="5"/>
  <c r="M51" i="5"/>
  <c r="L51" i="5"/>
  <c r="K51" i="5"/>
  <c r="J51" i="5"/>
  <c r="I51" i="5"/>
  <c r="H51" i="5"/>
  <c r="G51" i="5"/>
  <c r="N50" i="5"/>
  <c r="M50" i="5"/>
  <c r="L50" i="5"/>
  <c r="K50" i="5"/>
  <c r="J50" i="5"/>
  <c r="I50" i="5"/>
  <c r="H50" i="5"/>
  <c r="N49" i="5"/>
  <c r="M49" i="5"/>
  <c r="L49" i="5"/>
  <c r="K49" i="5"/>
  <c r="J49" i="5"/>
  <c r="I49" i="5"/>
  <c r="N48" i="5"/>
  <c r="M48" i="5"/>
  <c r="L48" i="5"/>
  <c r="K48" i="5"/>
  <c r="J48" i="5"/>
  <c r="N47" i="5"/>
  <c r="M47" i="5"/>
  <c r="L47" i="5"/>
  <c r="K47" i="5"/>
  <c r="N46" i="5"/>
  <c r="M46" i="5"/>
  <c r="L46" i="5"/>
  <c r="N45" i="5"/>
  <c r="M45" i="5"/>
  <c r="N44" i="5"/>
  <c r="N39" i="5"/>
  <c r="K38" i="5" a="1"/>
  <c r="K38" i="5" s="1"/>
  <c r="K44" i="5" s="1"/>
  <c r="F38" i="5" a="1"/>
  <c r="F38" i="5" s="1"/>
  <c r="C38" i="5" a="1"/>
  <c r="C38" i="5" s="1"/>
  <c r="N35" i="5"/>
  <c r="M35" i="5"/>
  <c r="L35" i="5"/>
  <c r="K35" i="5"/>
  <c r="J35" i="5"/>
  <c r="I35" i="5"/>
  <c r="H35" i="5"/>
  <c r="G35" i="5"/>
  <c r="F35" i="5"/>
  <c r="E35" i="5"/>
  <c r="D35" i="5"/>
  <c r="C35" i="5"/>
  <c r="N34" i="5"/>
  <c r="M34" i="5"/>
  <c r="L34" i="5"/>
  <c r="K34" i="5"/>
  <c r="J34" i="5"/>
  <c r="I34" i="5"/>
  <c r="H34" i="5"/>
  <c r="G34" i="5"/>
  <c r="F34" i="5"/>
  <c r="E34" i="5"/>
  <c r="D34" i="5"/>
  <c r="C34" i="5"/>
  <c r="N33" i="5"/>
  <c r="M33" i="5"/>
  <c r="L33" i="5"/>
  <c r="K33" i="5"/>
  <c r="J33" i="5"/>
  <c r="I33" i="5"/>
  <c r="H33" i="5"/>
  <c r="G33" i="5"/>
  <c r="F33" i="5"/>
  <c r="E33" i="5"/>
  <c r="D33" i="5"/>
  <c r="C33" i="5"/>
  <c r="N32" i="5"/>
  <c r="M32" i="5"/>
  <c r="L32" i="5"/>
  <c r="K32" i="5"/>
  <c r="J32" i="5"/>
  <c r="I32" i="5"/>
  <c r="H32" i="5"/>
  <c r="G32" i="5"/>
  <c r="F32" i="5"/>
  <c r="E32" i="5"/>
  <c r="D32" i="5"/>
  <c r="C32" i="5"/>
  <c r="N31" i="5"/>
  <c r="M31" i="5"/>
  <c r="L31" i="5"/>
  <c r="K31" i="5"/>
  <c r="J31" i="5"/>
  <c r="I31" i="5"/>
  <c r="H31" i="5"/>
  <c r="G31" i="5"/>
  <c r="F31" i="5"/>
  <c r="E31" i="5"/>
  <c r="D31" i="5"/>
  <c r="C31" i="5"/>
  <c r="N30" i="5"/>
  <c r="M30" i="5"/>
  <c r="L30" i="5"/>
  <c r="K30" i="5"/>
  <c r="J30" i="5"/>
  <c r="I30" i="5"/>
  <c r="H30" i="5"/>
  <c r="G30" i="5"/>
  <c r="F30" i="5"/>
  <c r="E30" i="5"/>
  <c r="D30" i="5"/>
  <c r="C30" i="5"/>
  <c r="N29" i="5"/>
  <c r="M29" i="5"/>
  <c r="L29" i="5"/>
  <c r="K29" i="5"/>
  <c r="J29" i="5"/>
  <c r="I29" i="5"/>
  <c r="H29" i="5"/>
  <c r="G29" i="5"/>
  <c r="F29" i="5"/>
  <c r="E29" i="5"/>
  <c r="D29" i="5"/>
  <c r="C29" i="5"/>
  <c r="N28" i="5"/>
  <c r="M28" i="5"/>
  <c r="L28" i="5"/>
  <c r="K28" i="5"/>
  <c r="J28" i="5"/>
  <c r="I28" i="5"/>
  <c r="H28" i="5"/>
  <c r="G28" i="5"/>
  <c r="F28" i="5"/>
  <c r="E28" i="5"/>
  <c r="D28" i="5"/>
  <c r="C28" i="5"/>
  <c r="N27" i="5"/>
  <c r="M27" i="5"/>
  <c r="L27" i="5"/>
  <c r="K27" i="5"/>
  <c r="J27" i="5"/>
  <c r="I27" i="5"/>
  <c r="H27" i="5"/>
  <c r="G27" i="5"/>
  <c r="F27" i="5"/>
  <c r="E27" i="5"/>
  <c r="D27" i="5"/>
  <c r="C27" i="5"/>
  <c r="N26" i="5"/>
  <c r="M26" i="5"/>
  <c r="L26" i="5"/>
  <c r="K26" i="5"/>
  <c r="J26" i="5"/>
  <c r="I26" i="5"/>
  <c r="H26" i="5"/>
  <c r="G26" i="5"/>
  <c r="F26" i="5"/>
  <c r="E26" i="5"/>
  <c r="D26" i="5"/>
  <c r="C26" i="5"/>
  <c r="N25" i="5"/>
  <c r="M25" i="5"/>
  <c r="L25" i="5"/>
  <c r="K25" i="5"/>
  <c r="J25" i="5"/>
  <c r="I25" i="5"/>
  <c r="H25" i="5"/>
  <c r="G25" i="5"/>
  <c r="F25" i="5"/>
  <c r="E25" i="5"/>
  <c r="D25" i="5"/>
  <c r="C25" i="5"/>
  <c r="M24" i="5"/>
  <c r="L24" i="5"/>
  <c r="K24" i="5"/>
  <c r="J24" i="5"/>
  <c r="J38" i="5" s="1" a="1"/>
  <c r="J38" i="5" s="1"/>
  <c r="I24" i="5"/>
  <c r="H24" i="5"/>
  <c r="H38" i="5" s="1" a="1"/>
  <c r="H38" i="5" s="1"/>
  <c r="G24" i="5"/>
  <c r="F24" i="5"/>
  <c r="E24" i="5"/>
  <c r="D24" i="5"/>
  <c r="C24" i="5"/>
  <c r="J46" i="5" l="1"/>
  <c r="F47" i="5"/>
  <c r="F51" i="5"/>
  <c r="M60" i="5"/>
  <c r="C69" i="5"/>
  <c r="X59" i="5"/>
  <c r="C48" i="5"/>
  <c r="K46" i="5"/>
  <c r="C54" i="5"/>
  <c r="H46" i="5"/>
  <c r="H48" i="5"/>
  <c r="F44" i="5"/>
  <c r="F45" i="5"/>
  <c r="F48" i="5"/>
  <c r="F46" i="5"/>
  <c r="F50" i="5"/>
  <c r="F49" i="5"/>
  <c r="J47" i="5"/>
  <c r="J45" i="5"/>
  <c r="J44" i="5"/>
  <c r="C46" i="5"/>
  <c r="C52" i="5"/>
  <c r="C49" i="5"/>
  <c r="C45" i="5"/>
  <c r="C53" i="5"/>
  <c r="C50" i="5"/>
  <c r="C51" i="5"/>
  <c r="C47" i="5"/>
  <c r="C44" i="5"/>
  <c r="H44" i="5"/>
  <c r="G38" i="5" a="1"/>
  <c r="G38" i="5" s="1"/>
  <c r="L38" i="5" a="1"/>
  <c r="L38" i="5" s="1"/>
  <c r="I38" i="5" a="1"/>
  <c r="I38" i="5" s="1"/>
  <c r="I47" i="5" s="1"/>
  <c r="V72" i="5"/>
  <c r="K45" i="5"/>
  <c r="AA59" i="5"/>
  <c r="H45" i="5"/>
  <c r="H47" i="5"/>
  <c r="H49" i="5"/>
  <c r="D38" i="5" a="1"/>
  <c r="D38" i="5" s="1"/>
  <c r="D47" i="5" s="1"/>
  <c r="E38" i="5" a="1"/>
  <c r="E38" i="5" s="1"/>
  <c r="E52" i="5" s="1"/>
  <c r="M38" i="5" a="1"/>
  <c r="M38" i="5" s="1"/>
  <c r="M39" i="5" s="1"/>
  <c r="W60" i="5" s="1"/>
  <c r="J39" i="5" l="1"/>
  <c r="W63" i="5" s="1"/>
  <c r="C73" i="5" s="1"/>
  <c r="D46" i="5"/>
  <c r="D51" i="5"/>
  <c r="E46" i="5"/>
  <c r="K57" i="5"/>
  <c r="K58" i="5" s="1"/>
  <c r="K61" i="5" s="1"/>
  <c r="D49" i="5"/>
  <c r="I45" i="5"/>
  <c r="K39" i="5"/>
  <c r="W62" i="5" s="1"/>
  <c r="X62" i="5" s="1"/>
  <c r="L44" i="5"/>
  <c r="E44" i="5"/>
  <c r="F39" i="5"/>
  <c r="W67" i="5" s="1"/>
  <c r="C77" i="5" s="1"/>
  <c r="G47" i="5"/>
  <c r="M44" i="5"/>
  <c r="M57" i="5" s="1"/>
  <c r="C39" i="5"/>
  <c r="W70" i="5" s="1"/>
  <c r="X70" i="5" s="1"/>
  <c r="I48" i="5"/>
  <c r="J57" i="5"/>
  <c r="J58" i="5" s="1"/>
  <c r="J62" i="5" s="1"/>
  <c r="E47" i="5"/>
  <c r="C70" i="5"/>
  <c r="X60" i="5"/>
  <c r="I39" i="5"/>
  <c r="W64" i="5" s="1"/>
  <c r="I44" i="5"/>
  <c r="I46" i="5"/>
  <c r="X63" i="5"/>
  <c r="L39" i="5"/>
  <c r="W61" i="5" s="1"/>
  <c r="E45" i="5"/>
  <c r="L45" i="5"/>
  <c r="D39" i="5"/>
  <c r="W69" i="5" s="1"/>
  <c r="D44" i="5"/>
  <c r="AC59" i="5"/>
  <c r="AB59" i="5"/>
  <c r="G39" i="5"/>
  <c r="W66" i="5" s="1"/>
  <c r="G48" i="5"/>
  <c r="G50" i="5"/>
  <c r="G45" i="5"/>
  <c r="G49" i="5"/>
  <c r="G46" i="5"/>
  <c r="H57" i="5"/>
  <c r="H58" i="5" s="1"/>
  <c r="D45" i="5"/>
  <c r="F57" i="5"/>
  <c r="F58" i="5" s="1"/>
  <c r="D48" i="5"/>
  <c r="H39" i="5"/>
  <c r="W65" i="5" s="1"/>
  <c r="G44" i="5"/>
  <c r="E39" i="5"/>
  <c r="W68" i="5" s="1"/>
  <c r="E50" i="5"/>
  <c r="D52" i="5"/>
  <c r="E51" i="5"/>
  <c r="C57" i="5"/>
  <c r="C58" i="5" s="1"/>
  <c r="E48" i="5"/>
  <c r="D50" i="5"/>
  <c r="E49" i="5"/>
  <c r="D53" i="5"/>
  <c r="X67" i="5" l="1"/>
  <c r="J59" i="5"/>
  <c r="L57" i="5"/>
  <c r="L58" i="5" s="1"/>
  <c r="M58" i="5" s="1"/>
  <c r="K62" i="5"/>
  <c r="C72" i="5"/>
  <c r="C80" i="5"/>
  <c r="I59" i="5"/>
  <c r="E57" i="5"/>
  <c r="E58" i="5" s="1"/>
  <c r="E61" i="5" s="1"/>
  <c r="J61" i="5"/>
  <c r="I57" i="5"/>
  <c r="I58" i="5" s="1"/>
  <c r="X61" i="5"/>
  <c r="C71" i="5"/>
  <c r="C74" i="5"/>
  <c r="X64" i="5"/>
  <c r="F61" i="5"/>
  <c r="E59" i="5"/>
  <c r="F62" i="5"/>
  <c r="C76" i="5"/>
  <c r="X66" i="5"/>
  <c r="C62" i="5"/>
  <c r="C61" i="5"/>
  <c r="X68" i="5"/>
  <c r="C78" i="5"/>
  <c r="G59" i="5"/>
  <c r="H61" i="5"/>
  <c r="H62" i="5"/>
  <c r="D57" i="5"/>
  <c r="D58" i="5" s="1"/>
  <c r="G57" i="5"/>
  <c r="G58" i="5" s="1"/>
  <c r="C75" i="5"/>
  <c r="X65" i="5"/>
  <c r="C79" i="5"/>
  <c r="X69" i="5"/>
  <c r="W72" i="5"/>
  <c r="L61" i="5" l="1"/>
  <c r="L62" i="5"/>
  <c r="K59" i="5"/>
  <c r="E62" i="5"/>
  <c r="D59" i="5"/>
  <c r="D68" i="5" a="1"/>
  <c r="K68" i="5" s="1"/>
  <c r="X72" i="5"/>
  <c r="G61" i="5"/>
  <c r="F59" i="5"/>
  <c r="G62" i="5"/>
  <c r="D62" i="5"/>
  <c r="D61" i="5"/>
  <c r="C59" i="5"/>
  <c r="M61" i="5"/>
  <c r="M62" i="5"/>
  <c r="L59" i="5"/>
  <c r="H59" i="5"/>
  <c r="I62" i="5"/>
  <c r="I61" i="5"/>
  <c r="D68" i="5" l="1"/>
  <c r="E68" i="5"/>
  <c r="E69" i="5" s="1"/>
  <c r="H68" i="5"/>
  <c r="H70" i="5" s="1"/>
  <c r="G60" i="5"/>
  <c r="AA66" i="5" s="1"/>
  <c r="AB66" i="5" s="1"/>
  <c r="G68" i="5"/>
  <c r="G70" i="5" s="1"/>
  <c r="N68" i="5"/>
  <c r="N70" i="5" s="1"/>
  <c r="F68" i="5"/>
  <c r="F70" i="5" s="1"/>
  <c r="O68" i="5"/>
  <c r="O76" i="5" s="1"/>
  <c r="J68" i="5"/>
  <c r="J70" i="5" s="1"/>
  <c r="I68" i="5"/>
  <c r="I69" i="5" s="1"/>
  <c r="L68" i="5"/>
  <c r="L72" i="5" s="1"/>
  <c r="M68" i="5"/>
  <c r="M75" i="5" s="1"/>
  <c r="AA60" i="5"/>
  <c r="F60" i="5"/>
  <c r="AA67" i="5" s="1"/>
  <c r="L60" i="5"/>
  <c r="AA61" i="5" s="1"/>
  <c r="J60" i="5"/>
  <c r="AA63" i="5" s="1"/>
  <c r="K60" i="5"/>
  <c r="AA62" i="5" s="1"/>
  <c r="D60" i="5"/>
  <c r="AA69" i="5" s="1"/>
  <c r="I60" i="5"/>
  <c r="AA64" i="5" s="1"/>
  <c r="E60" i="5"/>
  <c r="AA68" i="5" s="1"/>
  <c r="F69" i="5"/>
  <c r="C60" i="5"/>
  <c r="I71" i="5"/>
  <c r="H60" i="5"/>
  <c r="AA65" i="5" s="1"/>
  <c r="K74" i="5"/>
  <c r="K69" i="5"/>
  <c r="K72" i="5"/>
  <c r="K75" i="5"/>
  <c r="K71" i="5"/>
  <c r="K73" i="5"/>
  <c r="K70" i="5"/>
  <c r="H69" i="5" l="1"/>
  <c r="H72" i="5"/>
  <c r="H71" i="5"/>
  <c r="N74" i="5"/>
  <c r="G69" i="5"/>
  <c r="G71" i="5"/>
  <c r="I73" i="5"/>
  <c r="N75" i="5"/>
  <c r="N72" i="5"/>
  <c r="N69" i="5"/>
  <c r="L74" i="5"/>
  <c r="M70" i="5"/>
  <c r="M72" i="5"/>
  <c r="O73" i="5"/>
  <c r="O70" i="5"/>
  <c r="O79" i="5"/>
  <c r="Z69" i="5" s="1"/>
  <c r="O78" i="5"/>
  <c r="O72" i="5"/>
  <c r="J73" i="5"/>
  <c r="O71" i="5"/>
  <c r="N71" i="5"/>
  <c r="O69" i="5"/>
  <c r="O75" i="5"/>
  <c r="N76" i="5"/>
  <c r="N77" i="5"/>
  <c r="J69" i="5"/>
  <c r="N73" i="5"/>
  <c r="O77" i="5"/>
  <c r="O74" i="5"/>
  <c r="J74" i="5"/>
  <c r="N78" i="5"/>
  <c r="J71" i="5"/>
  <c r="I70" i="5"/>
  <c r="L76" i="5"/>
  <c r="AC66" i="5"/>
  <c r="L71" i="5"/>
  <c r="L73" i="5"/>
  <c r="L69" i="5"/>
  <c r="M77" i="5"/>
  <c r="M69" i="5"/>
  <c r="M74" i="5"/>
  <c r="L70" i="5"/>
  <c r="M76" i="5"/>
  <c r="M71" i="5"/>
  <c r="I72" i="5"/>
  <c r="L75" i="5"/>
  <c r="J72" i="5"/>
  <c r="M73" i="5"/>
  <c r="Z70" i="5"/>
  <c r="AA70" i="5"/>
  <c r="AC68" i="5"/>
  <c r="AB68" i="5"/>
  <c r="AB63" i="5"/>
  <c r="AC63" i="5"/>
  <c r="AB65" i="5"/>
  <c r="AC65" i="5"/>
  <c r="AB64" i="5"/>
  <c r="AC64" i="5"/>
  <c r="AC61" i="5"/>
  <c r="AB61" i="5"/>
  <c r="AB69" i="5"/>
  <c r="AC69" i="5"/>
  <c r="AB67" i="5"/>
  <c r="AC67" i="5"/>
  <c r="AC60" i="5"/>
  <c r="AB60" i="5"/>
  <c r="AB62" i="5"/>
  <c r="AC62" i="5"/>
  <c r="Z61" i="5" l="1"/>
  <c r="Z68" i="5"/>
  <c r="Z65" i="5"/>
  <c r="Z60" i="5"/>
  <c r="Z66" i="5"/>
  <c r="Z63" i="5"/>
  <c r="Z59" i="5"/>
  <c r="Z67" i="5"/>
  <c r="Z64" i="5"/>
  <c r="Z62" i="5"/>
  <c r="AC70" i="5"/>
  <c r="AB70" i="5"/>
  <c r="Z72" i="5" l="1"/>
  <c r="AA72" i="5" s="1"/>
  <c r="AC72" i="5" s="1"/>
  <c r="AB72" i="5" l="1"/>
  <c r="AD39" i="3"/>
  <c r="AD38" i="3"/>
  <c r="AC39" i="3"/>
  <c r="AB39" i="3"/>
  <c r="AA26" i="3"/>
  <c r="AA27" i="3"/>
  <c r="AA28" i="3"/>
  <c r="AA29" i="3"/>
  <c r="AA30" i="3"/>
  <c r="AA31" i="3"/>
  <c r="AA32" i="3"/>
  <c r="AA33" i="3"/>
  <c r="AA34" i="3"/>
  <c r="AA35" i="3"/>
  <c r="AA36" i="3"/>
  <c r="AA25" i="3"/>
  <c r="AC20" i="3"/>
  <c r="Z25" i="3"/>
  <c r="Y25" i="3"/>
  <c r="E102" i="3"/>
  <c r="X25" i="3"/>
  <c r="F93" i="3"/>
  <c r="F102" i="3" s="1"/>
  <c r="E99" i="3"/>
  <c r="F99" i="3" s="1"/>
  <c r="G99" i="3" s="1"/>
  <c r="H99" i="3" s="1"/>
  <c r="I99" i="3" s="1"/>
  <c r="J99" i="3" s="1"/>
  <c r="K99" i="3" s="1"/>
  <c r="L99" i="3" s="1"/>
  <c r="M99" i="3" s="1"/>
  <c r="T26" i="3"/>
  <c r="T27" i="3" s="1"/>
  <c r="T28" i="3" s="1"/>
  <c r="T29" i="3" s="1"/>
  <c r="T30" i="3" s="1"/>
  <c r="T31" i="3" s="1"/>
  <c r="T32" i="3" s="1"/>
  <c r="T33" i="3" s="1"/>
  <c r="T34" i="3" s="1"/>
  <c r="T35" i="3" s="1"/>
  <c r="T36" i="3" s="1"/>
  <c r="B80" i="3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62" i="3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45" i="3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26" i="3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7" i="3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AA39" i="3" l="1"/>
  <c r="G93" i="3"/>
  <c r="Z26" i="3"/>
  <c r="AB25" i="3"/>
  <c r="AC25" i="3" s="1"/>
  <c r="M25" i="3"/>
  <c r="T5" i="3"/>
  <c r="T6" i="3" s="1"/>
  <c r="N78" i="3"/>
  <c r="M78" i="3"/>
  <c r="U15" i="3"/>
  <c r="U36" i="3" s="1"/>
  <c r="U14" i="3"/>
  <c r="U35" i="3" s="1"/>
  <c r="U13" i="3"/>
  <c r="U34" i="3" s="1"/>
  <c r="U12" i="3"/>
  <c r="U33" i="3" s="1"/>
  <c r="U11" i="3"/>
  <c r="U32" i="3" s="1"/>
  <c r="U10" i="3"/>
  <c r="U31" i="3" s="1"/>
  <c r="U9" i="3"/>
  <c r="U30" i="3" s="1"/>
  <c r="U8" i="3"/>
  <c r="U29" i="3" s="1"/>
  <c r="U7" i="3"/>
  <c r="U28" i="3" s="1"/>
  <c r="U6" i="3"/>
  <c r="U27" i="3" s="1"/>
  <c r="U5" i="3"/>
  <c r="U26" i="3" s="1"/>
  <c r="M45" i="3"/>
  <c r="M44" i="3"/>
  <c r="L46" i="3"/>
  <c r="L45" i="3"/>
  <c r="L44" i="3"/>
  <c r="K47" i="3"/>
  <c r="K46" i="3"/>
  <c r="K45" i="3"/>
  <c r="K44" i="3"/>
  <c r="J48" i="3"/>
  <c r="J47" i="3"/>
  <c r="J46" i="3"/>
  <c r="J45" i="3"/>
  <c r="J44" i="3"/>
  <c r="I49" i="3"/>
  <c r="I48" i="3"/>
  <c r="I47" i="3"/>
  <c r="I46" i="3"/>
  <c r="I45" i="3"/>
  <c r="I44" i="3"/>
  <c r="H50" i="3"/>
  <c r="H49" i="3"/>
  <c r="H48" i="3"/>
  <c r="H47" i="3"/>
  <c r="H46" i="3"/>
  <c r="H45" i="3"/>
  <c r="H44" i="3"/>
  <c r="G51" i="3"/>
  <c r="G50" i="3"/>
  <c r="G49" i="3"/>
  <c r="G48" i="3"/>
  <c r="G47" i="3"/>
  <c r="G46" i="3"/>
  <c r="G45" i="3"/>
  <c r="G44" i="3"/>
  <c r="F52" i="3"/>
  <c r="F51" i="3"/>
  <c r="F50" i="3"/>
  <c r="F49" i="3"/>
  <c r="F48" i="3"/>
  <c r="F47" i="3"/>
  <c r="F46" i="3"/>
  <c r="F45" i="3"/>
  <c r="F44" i="3"/>
  <c r="E53" i="3"/>
  <c r="E52" i="3"/>
  <c r="E51" i="3"/>
  <c r="E50" i="3"/>
  <c r="E49" i="3"/>
  <c r="E48" i="3"/>
  <c r="E47" i="3"/>
  <c r="E46" i="3"/>
  <c r="E45" i="3"/>
  <c r="E44" i="3"/>
  <c r="D54" i="3"/>
  <c r="D53" i="3"/>
  <c r="D52" i="3"/>
  <c r="D51" i="3"/>
  <c r="D50" i="3"/>
  <c r="D49" i="3"/>
  <c r="D48" i="3"/>
  <c r="D47" i="3"/>
  <c r="D46" i="3"/>
  <c r="D45" i="3"/>
  <c r="D44" i="3"/>
  <c r="C54" i="3"/>
  <c r="C53" i="3"/>
  <c r="C52" i="3"/>
  <c r="C51" i="3"/>
  <c r="C50" i="3"/>
  <c r="C49" i="3"/>
  <c r="C48" i="3"/>
  <c r="C47" i="3"/>
  <c r="C46" i="3"/>
  <c r="C45" i="3"/>
  <c r="C44" i="3"/>
  <c r="C55" i="3"/>
  <c r="E43" i="3"/>
  <c r="F43" i="3" s="1"/>
  <c r="G43" i="3" s="1"/>
  <c r="H43" i="3" s="1"/>
  <c r="I43" i="3" s="1"/>
  <c r="J43" i="3" s="1"/>
  <c r="K43" i="3" s="1"/>
  <c r="L43" i="3" s="1"/>
  <c r="M43" i="3" s="1"/>
  <c r="L78" i="3"/>
  <c r="K78" i="3"/>
  <c r="J78" i="3"/>
  <c r="I78" i="3"/>
  <c r="H78" i="3"/>
  <c r="G78" i="3"/>
  <c r="F78" i="3"/>
  <c r="E78" i="3"/>
  <c r="D78" i="3"/>
  <c r="E38" i="3"/>
  <c r="L26" i="3"/>
  <c r="L25" i="3"/>
  <c r="K27" i="3"/>
  <c r="K26" i="3"/>
  <c r="K25" i="3"/>
  <c r="J28" i="3"/>
  <c r="J27" i="3"/>
  <c r="J26" i="3"/>
  <c r="J25" i="3"/>
  <c r="I29" i="3"/>
  <c r="I28" i="3"/>
  <c r="I27" i="3"/>
  <c r="I26" i="3"/>
  <c r="I25" i="3"/>
  <c r="H30" i="3"/>
  <c r="H29" i="3"/>
  <c r="H28" i="3"/>
  <c r="H27" i="3"/>
  <c r="H26" i="3"/>
  <c r="H25" i="3"/>
  <c r="M26" i="3"/>
  <c r="M27" i="3"/>
  <c r="M28" i="3"/>
  <c r="M29" i="3"/>
  <c r="M30" i="3"/>
  <c r="G31" i="3"/>
  <c r="G30" i="3"/>
  <c r="G29" i="3"/>
  <c r="G28" i="3"/>
  <c r="G27" i="3"/>
  <c r="G26" i="3"/>
  <c r="G25" i="3"/>
  <c r="M31" i="3"/>
  <c r="F32" i="3"/>
  <c r="F31" i="3"/>
  <c r="F30" i="3"/>
  <c r="F29" i="3"/>
  <c r="F28" i="3"/>
  <c r="F27" i="3"/>
  <c r="F26" i="3"/>
  <c r="F25" i="3"/>
  <c r="E33" i="3"/>
  <c r="E32" i="3"/>
  <c r="E31" i="3"/>
  <c r="E30" i="3"/>
  <c r="E29" i="3"/>
  <c r="E28" i="3"/>
  <c r="E27" i="3"/>
  <c r="E26" i="3"/>
  <c r="E25" i="3"/>
  <c r="D34" i="3"/>
  <c r="D33" i="3"/>
  <c r="D32" i="3"/>
  <c r="D31" i="3"/>
  <c r="D30" i="3"/>
  <c r="D29" i="3"/>
  <c r="D28" i="3"/>
  <c r="D27" i="3"/>
  <c r="D26" i="3"/>
  <c r="D25" i="3"/>
  <c r="C35" i="3"/>
  <c r="C34" i="3"/>
  <c r="C33" i="3"/>
  <c r="C32" i="3"/>
  <c r="C31" i="3"/>
  <c r="C30" i="3"/>
  <c r="C29" i="3"/>
  <c r="C28" i="3"/>
  <c r="C27" i="3"/>
  <c r="C26" i="3"/>
  <c r="C25" i="3"/>
  <c r="N36" i="3"/>
  <c r="M36" i="3"/>
  <c r="L36" i="3"/>
  <c r="K36" i="3"/>
  <c r="J36" i="3"/>
  <c r="I36" i="3"/>
  <c r="H36" i="3"/>
  <c r="G36" i="3"/>
  <c r="F36" i="3"/>
  <c r="E36" i="3"/>
  <c r="D36" i="3"/>
  <c r="C36" i="3"/>
  <c r="N35" i="3"/>
  <c r="M35" i="3"/>
  <c r="L35" i="3"/>
  <c r="K35" i="3"/>
  <c r="J35" i="3"/>
  <c r="I35" i="3"/>
  <c r="H35" i="3"/>
  <c r="G35" i="3"/>
  <c r="F35" i="3"/>
  <c r="E35" i="3"/>
  <c r="D35" i="3"/>
  <c r="N34" i="3"/>
  <c r="M34" i="3"/>
  <c r="L34" i="3"/>
  <c r="K34" i="3"/>
  <c r="J34" i="3"/>
  <c r="I34" i="3"/>
  <c r="H34" i="3"/>
  <c r="G34" i="3"/>
  <c r="F34" i="3"/>
  <c r="E34" i="3"/>
  <c r="N33" i="3"/>
  <c r="M33" i="3"/>
  <c r="L33" i="3"/>
  <c r="K33" i="3"/>
  <c r="J33" i="3"/>
  <c r="I33" i="3"/>
  <c r="H33" i="3"/>
  <c r="G33" i="3"/>
  <c r="F33" i="3"/>
  <c r="N32" i="3"/>
  <c r="M32" i="3"/>
  <c r="L32" i="3"/>
  <c r="K32" i="3"/>
  <c r="J32" i="3"/>
  <c r="I32" i="3"/>
  <c r="H32" i="3"/>
  <c r="G32" i="3"/>
  <c r="N31" i="3"/>
  <c r="L31" i="3"/>
  <c r="K31" i="3"/>
  <c r="J31" i="3"/>
  <c r="I31" i="3"/>
  <c r="H31" i="3"/>
  <c r="N30" i="3"/>
  <c r="L30" i="3"/>
  <c r="K30" i="3"/>
  <c r="J30" i="3"/>
  <c r="I30" i="3"/>
  <c r="N29" i="3"/>
  <c r="L29" i="3"/>
  <c r="K29" i="3"/>
  <c r="J29" i="3"/>
  <c r="N28" i="3"/>
  <c r="L28" i="3"/>
  <c r="K28" i="3"/>
  <c r="N27" i="3"/>
  <c r="L27" i="3"/>
  <c r="N26" i="3"/>
  <c r="H93" i="3" l="1"/>
  <c r="G102" i="3"/>
  <c r="U4" i="3"/>
  <c r="N44" i="3"/>
  <c r="V4" i="3" s="1"/>
  <c r="V25" i="3" s="1"/>
  <c r="T7" i="3"/>
  <c r="F38" i="3"/>
  <c r="U17" i="3" l="1"/>
  <c r="U38" i="3" s="1"/>
  <c r="U25" i="3"/>
  <c r="I93" i="3"/>
  <c r="H102" i="3"/>
  <c r="T8" i="3"/>
  <c r="C39" i="3"/>
  <c r="D55" i="3" s="1"/>
  <c r="G38" i="3"/>
  <c r="F39" i="3"/>
  <c r="G52" i="3" s="1"/>
  <c r="D39" i="3"/>
  <c r="E54" i="3" s="1"/>
  <c r="E39" i="3"/>
  <c r="F53" i="3" s="1"/>
  <c r="W4" i="3"/>
  <c r="W25" i="3" s="1"/>
  <c r="J93" i="3" l="1"/>
  <c r="I102" i="3"/>
  <c r="F54" i="3"/>
  <c r="G54" i="3" s="1"/>
  <c r="E55" i="3"/>
  <c r="F55" i="3" s="1"/>
  <c r="G55" i="3" s="1"/>
  <c r="G53" i="3"/>
  <c r="T9" i="3"/>
  <c r="E64" i="3"/>
  <c r="E68" i="3"/>
  <c r="E61" i="3"/>
  <c r="E63" i="3"/>
  <c r="E66" i="3"/>
  <c r="E69" i="3"/>
  <c r="E65" i="3"/>
  <c r="E62" i="3"/>
  <c r="E67" i="3"/>
  <c r="D66" i="3"/>
  <c r="D70" i="3"/>
  <c r="D62" i="3"/>
  <c r="D63" i="3"/>
  <c r="D65" i="3"/>
  <c r="D68" i="3"/>
  <c r="D67" i="3"/>
  <c r="D69" i="3"/>
  <c r="D64" i="3"/>
  <c r="D61" i="3"/>
  <c r="F63" i="3"/>
  <c r="F66" i="3"/>
  <c r="F67" i="3"/>
  <c r="F62" i="3"/>
  <c r="F65" i="3"/>
  <c r="F61" i="3"/>
  <c r="F68" i="3"/>
  <c r="F64" i="3"/>
  <c r="H38" i="3"/>
  <c r="G39" i="3"/>
  <c r="H51" i="3" s="1"/>
  <c r="C69" i="3"/>
  <c r="C61" i="3"/>
  <c r="C66" i="3"/>
  <c r="C68" i="3"/>
  <c r="C62" i="3"/>
  <c r="C63" i="3"/>
  <c r="C70" i="3"/>
  <c r="C67" i="3"/>
  <c r="C71" i="3"/>
  <c r="C64" i="3"/>
  <c r="C65" i="3"/>
  <c r="Y4" i="3"/>
  <c r="AC4" i="3"/>
  <c r="AD4" i="3" s="1"/>
  <c r="AA4" i="3"/>
  <c r="K93" i="3" l="1"/>
  <c r="J102" i="3"/>
  <c r="H55" i="3"/>
  <c r="H53" i="3"/>
  <c r="T10" i="3"/>
  <c r="H54" i="3"/>
  <c r="H52" i="3"/>
  <c r="I38" i="3"/>
  <c r="H39" i="3"/>
  <c r="I50" i="3" s="1"/>
  <c r="G63" i="3"/>
  <c r="G66" i="3"/>
  <c r="G65" i="3"/>
  <c r="G62" i="3"/>
  <c r="G61" i="3"/>
  <c r="G64" i="3"/>
  <c r="G67" i="3"/>
  <c r="D74" i="3"/>
  <c r="D75" i="3" s="1"/>
  <c r="E74" i="3"/>
  <c r="E75" i="3" s="1"/>
  <c r="F74" i="3"/>
  <c r="F75" i="3" s="1"/>
  <c r="C74" i="3"/>
  <c r="C75" i="3" s="1"/>
  <c r="L93" i="3" l="1"/>
  <c r="K102" i="3"/>
  <c r="I55" i="3"/>
  <c r="I54" i="3"/>
  <c r="I52" i="3"/>
  <c r="G94" i="3"/>
  <c r="G87" i="3"/>
  <c r="G100" i="3" s="1"/>
  <c r="G88" i="3"/>
  <c r="G89" i="3"/>
  <c r="G90" i="3"/>
  <c r="F89" i="3"/>
  <c r="F94" i="3"/>
  <c r="F88" i="3"/>
  <c r="F100" i="3" s="1"/>
  <c r="F90" i="3"/>
  <c r="T11" i="3"/>
  <c r="E94" i="3"/>
  <c r="E89" i="3"/>
  <c r="E100" i="3" s="1"/>
  <c r="E90" i="3"/>
  <c r="I51" i="3"/>
  <c r="D90" i="3"/>
  <c r="D100" i="3" s="1"/>
  <c r="D94" i="3"/>
  <c r="D101" i="3" s="1"/>
  <c r="I53" i="3"/>
  <c r="G74" i="3"/>
  <c r="G75" i="3" s="1"/>
  <c r="H64" i="3"/>
  <c r="H62" i="3"/>
  <c r="H61" i="3"/>
  <c r="H65" i="3"/>
  <c r="H66" i="3"/>
  <c r="H63" i="3"/>
  <c r="J38" i="3"/>
  <c r="I39" i="3"/>
  <c r="J49" i="3" s="1"/>
  <c r="F101" i="3" l="1"/>
  <c r="F103" i="3"/>
  <c r="E101" i="3"/>
  <c r="E103" i="3"/>
  <c r="G101" i="3"/>
  <c r="G103" i="3"/>
  <c r="M93" i="3"/>
  <c r="L102" i="3"/>
  <c r="J53" i="3"/>
  <c r="H94" i="3"/>
  <c r="H87" i="3"/>
  <c r="H88" i="3"/>
  <c r="H86" i="3"/>
  <c r="H100" i="3" s="1"/>
  <c r="H89" i="3"/>
  <c r="H90" i="3"/>
  <c r="J50" i="3"/>
  <c r="J55" i="3"/>
  <c r="J54" i="3"/>
  <c r="T12" i="3"/>
  <c r="J51" i="3"/>
  <c r="J52" i="3"/>
  <c r="H74" i="3"/>
  <c r="H75" i="3" s="1"/>
  <c r="I65" i="3"/>
  <c r="I64" i="3"/>
  <c r="I61" i="3"/>
  <c r="I63" i="3"/>
  <c r="I62" i="3"/>
  <c r="K38" i="3"/>
  <c r="J39" i="3"/>
  <c r="K48" i="3" s="1"/>
  <c r="N93" i="3" l="1"/>
  <c r="N102" i="3" s="1"/>
  <c r="M102" i="3"/>
  <c r="H101" i="3"/>
  <c r="H103" i="3"/>
  <c r="T13" i="3"/>
  <c r="K52" i="3"/>
  <c r="K51" i="3"/>
  <c r="K53" i="3"/>
  <c r="K54" i="3"/>
  <c r="K49" i="3"/>
  <c r="K55" i="3"/>
  <c r="I94" i="3"/>
  <c r="I87" i="3"/>
  <c r="I86" i="3"/>
  <c r="I89" i="3"/>
  <c r="I88" i="3"/>
  <c r="I85" i="3"/>
  <c r="I100" i="3" s="1"/>
  <c r="I90" i="3"/>
  <c r="K50" i="3"/>
  <c r="I74" i="3"/>
  <c r="I75" i="3" s="1"/>
  <c r="J61" i="3"/>
  <c r="J63" i="3"/>
  <c r="J62" i="3"/>
  <c r="J64" i="3"/>
  <c r="L38" i="3"/>
  <c r="K39" i="3"/>
  <c r="L47" i="3" s="1"/>
  <c r="I101" i="3" l="1"/>
  <c r="I103" i="3"/>
  <c r="L55" i="3"/>
  <c r="L52" i="3"/>
  <c r="L49" i="3"/>
  <c r="T14" i="3"/>
  <c r="L53" i="3"/>
  <c r="L51" i="3"/>
  <c r="L48" i="3"/>
  <c r="J84" i="3"/>
  <c r="J100" i="3" s="1"/>
  <c r="J94" i="3"/>
  <c r="J87" i="3"/>
  <c r="J88" i="3"/>
  <c r="J89" i="3"/>
  <c r="J85" i="3"/>
  <c r="J86" i="3"/>
  <c r="J90" i="3"/>
  <c r="L50" i="3"/>
  <c r="L54" i="3"/>
  <c r="K63" i="3"/>
  <c r="K62" i="3"/>
  <c r="K61" i="3"/>
  <c r="J74" i="3"/>
  <c r="J75" i="3" s="1"/>
  <c r="M38" i="3"/>
  <c r="M39" i="3" s="1"/>
  <c r="L39" i="3"/>
  <c r="M46" i="3" s="1"/>
  <c r="J101" i="3" l="1"/>
  <c r="J103" i="3"/>
  <c r="N45" i="3"/>
  <c r="V5" i="3" s="1"/>
  <c r="V26" i="3" s="1"/>
  <c r="M40" i="3"/>
  <c r="E40" i="3"/>
  <c r="L40" i="3"/>
  <c r="D40" i="3"/>
  <c r="I40" i="3"/>
  <c r="K40" i="3"/>
  <c r="C40" i="3"/>
  <c r="J40" i="3"/>
  <c r="H40" i="3"/>
  <c r="G40" i="3"/>
  <c r="F40" i="3"/>
  <c r="N46" i="3"/>
  <c r="V6" i="3" s="1"/>
  <c r="M48" i="3"/>
  <c r="N48" i="3" s="1"/>
  <c r="V8" i="3" s="1"/>
  <c r="V29" i="3" s="1"/>
  <c r="M47" i="3"/>
  <c r="N47" i="3" s="1"/>
  <c r="V7" i="3" s="1"/>
  <c r="V28" i="3" s="1"/>
  <c r="M49" i="3"/>
  <c r="N49" i="3" s="1"/>
  <c r="V9" i="3" s="1"/>
  <c r="M52" i="3"/>
  <c r="N52" i="3" s="1"/>
  <c r="V12" i="3" s="1"/>
  <c r="V33" i="3" s="1"/>
  <c r="M55" i="3"/>
  <c r="N55" i="3" s="1"/>
  <c r="V15" i="3" s="1"/>
  <c r="V36" i="3" s="1"/>
  <c r="M54" i="3"/>
  <c r="N54" i="3" s="1"/>
  <c r="V14" i="3" s="1"/>
  <c r="V35" i="3" s="1"/>
  <c r="M51" i="3"/>
  <c r="N51" i="3" s="1"/>
  <c r="V11" i="3" s="1"/>
  <c r="V32" i="3" s="1"/>
  <c r="M50" i="3"/>
  <c r="N50" i="3" s="1"/>
  <c r="V10" i="3" s="1"/>
  <c r="V31" i="3" s="1"/>
  <c r="M53" i="3"/>
  <c r="N53" i="3" s="1"/>
  <c r="V13" i="3" s="1"/>
  <c r="V34" i="3" s="1"/>
  <c r="K84" i="3"/>
  <c r="K94" i="3"/>
  <c r="K87" i="3"/>
  <c r="K88" i="3"/>
  <c r="K86" i="3"/>
  <c r="K89" i="3"/>
  <c r="K83" i="3"/>
  <c r="K100" i="3" s="1"/>
  <c r="K85" i="3"/>
  <c r="K90" i="3"/>
  <c r="T15" i="3"/>
  <c r="AB15" i="3" s="1"/>
  <c r="K74" i="3"/>
  <c r="K75" i="3" s="1"/>
  <c r="L62" i="3"/>
  <c r="L61" i="3"/>
  <c r="M61" i="3"/>
  <c r="K101" i="3" l="1"/>
  <c r="K103" i="3"/>
  <c r="W9" i="3"/>
  <c r="W30" i="3" s="1"/>
  <c r="V30" i="3"/>
  <c r="X28" i="3"/>
  <c r="X34" i="3"/>
  <c r="Y34" i="3"/>
  <c r="Y29" i="3"/>
  <c r="X29" i="3"/>
  <c r="W6" i="3"/>
  <c r="W27" i="3" s="1"/>
  <c r="V27" i="3"/>
  <c r="X32" i="3"/>
  <c r="Y32" i="3"/>
  <c r="Y33" i="3"/>
  <c r="X33" i="3"/>
  <c r="Y31" i="3"/>
  <c r="X31" i="3"/>
  <c r="X35" i="3"/>
  <c r="Y35" i="3"/>
  <c r="X36" i="3"/>
  <c r="Y36" i="3"/>
  <c r="W12" i="3"/>
  <c r="W33" i="3" s="1"/>
  <c r="W10" i="3"/>
  <c r="W31" i="3" s="1"/>
  <c r="W8" i="3"/>
  <c r="W29" i="3" s="1"/>
  <c r="W7" i="3"/>
  <c r="W28" i="3" s="1"/>
  <c r="W13" i="3"/>
  <c r="W34" i="3" s="1"/>
  <c r="W15" i="3"/>
  <c r="W36" i="3" s="1"/>
  <c r="L82" i="3"/>
  <c r="L100" i="3" s="1"/>
  <c r="L94" i="3"/>
  <c r="L87" i="3"/>
  <c r="L88" i="3"/>
  <c r="L86" i="3"/>
  <c r="L89" i="3"/>
  <c r="L83" i="3"/>
  <c r="L85" i="3"/>
  <c r="L84" i="3"/>
  <c r="L90" i="3"/>
  <c r="W14" i="3"/>
  <c r="W35" i="3" s="1"/>
  <c r="W11" i="3"/>
  <c r="W32" i="3" s="1"/>
  <c r="L74" i="3"/>
  <c r="L75" i="3" s="1"/>
  <c r="W5" i="3"/>
  <c r="W26" i="3" s="1"/>
  <c r="V17" i="3"/>
  <c r="V38" i="3" s="1"/>
  <c r="Y30" i="3" l="1"/>
  <c r="X30" i="3"/>
  <c r="L101" i="3"/>
  <c r="L103" i="3"/>
  <c r="M94" i="3"/>
  <c r="M87" i="3"/>
  <c r="M88" i="3"/>
  <c r="M86" i="3"/>
  <c r="M89" i="3"/>
  <c r="M83" i="3"/>
  <c r="M85" i="3"/>
  <c r="M81" i="3"/>
  <c r="M100" i="3" s="1"/>
  <c r="X27" i="3" s="1"/>
  <c r="M84" i="3"/>
  <c r="M82" i="3"/>
  <c r="M90" i="3"/>
  <c r="W17" i="3"/>
  <c r="W38" i="3" s="1"/>
  <c r="M74" i="3"/>
  <c r="M75" i="3" s="1"/>
  <c r="Y28" i="3" l="1"/>
  <c r="M101" i="3"/>
  <c r="M103" i="3"/>
  <c r="N86" i="3"/>
  <c r="O86" i="3" s="1"/>
  <c r="X11" i="3" s="1"/>
  <c r="N89" i="3"/>
  <c r="O89" i="3" s="1"/>
  <c r="X14" i="3" s="1"/>
  <c r="N83" i="3"/>
  <c r="O83" i="3" s="1"/>
  <c r="X8" i="3" s="1"/>
  <c r="N85" i="3"/>
  <c r="O85" i="3" s="1"/>
  <c r="X10" i="3" s="1"/>
  <c r="N80" i="3"/>
  <c r="N81" i="3"/>
  <c r="O81" i="3" s="1"/>
  <c r="X6" i="3" s="1"/>
  <c r="N84" i="3"/>
  <c r="O84" i="3" s="1"/>
  <c r="X9" i="3" s="1"/>
  <c r="N82" i="3"/>
  <c r="O82" i="3" s="1"/>
  <c r="X7" i="3" s="1"/>
  <c r="N94" i="3"/>
  <c r="N103" i="3" s="1"/>
  <c r="N104" i="3" s="1"/>
  <c r="Z27" i="3" s="1"/>
  <c r="N87" i="3"/>
  <c r="O87" i="3" s="1"/>
  <c r="X12" i="3" s="1"/>
  <c r="N88" i="3"/>
  <c r="O88" i="3" s="1"/>
  <c r="X13" i="3" s="1"/>
  <c r="N90" i="3"/>
  <c r="O90" i="3" s="1"/>
  <c r="X15" i="3" s="1"/>
  <c r="L104" i="3" l="1"/>
  <c r="M104" i="3"/>
  <c r="K104" i="3"/>
  <c r="G104" i="3"/>
  <c r="H104" i="3"/>
  <c r="Y27" i="3"/>
  <c r="AB27" i="3" s="1"/>
  <c r="I104" i="3"/>
  <c r="J104" i="3"/>
  <c r="F104" i="3"/>
  <c r="E104" i="3"/>
  <c r="Z36" i="3" s="1"/>
  <c r="AB36" i="3" s="1"/>
  <c r="O80" i="3"/>
  <c r="X5" i="3" s="1"/>
  <c r="X17" i="3" s="1"/>
  <c r="N100" i="3"/>
  <c r="X26" i="3" s="1"/>
  <c r="J95" i="3"/>
  <c r="AB9" i="3" s="1"/>
  <c r="N101" i="3"/>
  <c r="I95" i="3"/>
  <c r="AB10" i="3" s="1"/>
  <c r="H95" i="3"/>
  <c r="AB11" i="3" s="1"/>
  <c r="N95" i="3"/>
  <c r="G95" i="3"/>
  <c r="F95" i="3"/>
  <c r="E95" i="3"/>
  <c r="D95" i="3"/>
  <c r="Z15" i="3" s="1"/>
  <c r="K95" i="3"/>
  <c r="L95" i="3"/>
  <c r="M95" i="3"/>
  <c r="AD27" i="3" l="1"/>
  <c r="X38" i="3"/>
  <c r="AD36" i="3"/>
  <c r="Z33" i="3"/>
  <c r="AB33" i="3" s="1"/>
  <c r="Z9" i="3"/>
  <c r="Z35" i="3"/>
  <c r="AB35" i="3" s="1"/>
  <c r="Z34" i="3"/>
  <c r="AB34" i="3" s="1"/>
  <c r="Z31" i="3"/>
  <c r="AB31" i="3" s="1"/>
  <c r="Z30" i="3"/>
  <c r="AB30" i="3" s="1"/>
  <c r="Z28" i="3"/>
  <c r="Y26" i="3"/>
  <c r="Y38" i="3" s="1"/>
  <c r="Z32" i="3"/>
  <c r="AB32" i="3" s="1"/>
  <c r="Z29" i="3"/>
  <c r="AB29" i="3" s="1"/>
  <c r="Z11" i="3"/>
  <c r="Z10" i="3"/>
  <c r="AB6" i="3"/>
  <c r="Z6" i="3"/>
  <c r="AB14" i="3"/>
  <c r="Z14" i="3"/>
  <c r="AB13" i="3"/>
  <c r="Z13" i="3"/>
  <c r="AB5" i="3"/>
  <c r="Z5" i="3"/>
  <c r="AB7" i="3"/>
  <c r="Z7" i="3"/>
  <c r="AB12" i="3"/>
  <c r="Z12" i="3"/>
  <c r="AB8" i="3"/>
  <c r="Z8" i="3"/>
  <c r="AD32" i="3" l="1"/>
  <c r="AD31" i="3"/>
  <c r="AD33" i="3"/>
  <c r="AD34" i="3"/>
  <c r="AD35" i="3"/>
  <c r="AB26" i="3"/>
  <c r="AB28" i="3"/>
  <c r="Z38" i="3"/>
  <c r="AB38" i="3" s="1"/>
  <c r="AD29" i="3"/>
  <c r="AD30" i="3"/>
  <c r="AC5" i="3"/>
  <c r="AD20" i="3"/>
  <c r="AC19" i="3"/>
  <c r="AD19" i="3" s="1"/>
  <c r="AB18" i="3"/>
  <c r="AD26" i="3" l="1"/>
  <c r="AC26" i="3"/>
  <c r="AD28" i="3"/>
  <c r="Y5" i="3"/>
  <c r="AA10" i="3"/>
  <c r="AA8" i="3" l="1"/>
  <c r="AA9" i="3"/>
  <c r="Y8" i="3"/>
  <c r="AC10" i="3"/>
  <c r="Y10" i="3"/>
  <c r="Y13" i="3"/>
  <c r="Y7" i="3"/>
  <c r="Y11" i="3"/>
  <c r="AA7" i="3"/>
  <c r="Y6" i="3"/>
  <c r="Y14" i="3"/>
  <c r="Y17" i="3"/>
  <c r="Y9" i="3"/>
  <c r="Y15" i="3"/>
  <c r="Y12" i="3"/>
  <c r="AA11" i="3"/>
  <c r="AA12" i="3"/>
  <c r="AA13" i="3"/>
  <c r="AA14" i="3"/>
  <c r="AA15" i="3"/>
  <c r="AA6" i="3"/>
  <c r="AD10" i="3" l="1"/>
  <c r="AC31" i="3"/>
  <c r="AC9" i="3"/>
  <c r="AC14" i="3"/>
  <c r="AC13" i="3"/>
  <c r="AC8" i="3"/>
  <c r="AC7" i="3"/>
  <c r="AC12" i="3"/>
  <c r="AC15" i="3"/>
  <c r="AC6" i="3"/>
  <c r="AC11" i="3"/>
  <c r="AD5" i="3"/>
  <c r="AA5" i="3"/>
  <c r="Z17" i="3"/>
  <c r="AC17" i="3" s="1"/>
  <c r="AD13" i="3" l="1"/>
  <c r="AC34" i="3"/>
  <c r="AD14" i="3"/>
  <c r="AC35" i="3"/>
  <c r="AD12" i="3"/>
  <c r="AC33" i="3"/>
  <c r="AD8" i="3"/>
  <c r="AC29" i="3"/>
  <c r="AD11" i="3"/>
  <c r="AC32" i="3"/>
  <c r="AD9" i="3"/>
  <c r="AC30" i="3"/>
  <c r="AD17" i="3"/>
  <c r="AC38" i="3"/>
  <c r="AD6" i="3"/>
  <c r="AC27" i="3"/>
  <c r="AD7" i="3"/>
  <c r="AC28" i="3"/>
  <c r="AD15" i="3"/>
  <c r="AC36" i="3"/>
  <c r="AC18" i="3"/>
  <c r="Z18" i="3"/>
  <c r="AA18" i="3" s="1"/>
  <c r="AA17" i="3"/>
  <c r="AD18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<sst xmlns="http://schemas.openxmlformats.org/spreadsheetml/2006/main" count="166" uniqueCount="82">
  <si>
    <t>CDF</t>
  </si>
  <si>
    <t>Claim Reserve</t>
  </si>
  <si>
    <t>Total</t>
  </si>
  <si>
    <t>AY</t>
  </si>
  <si>
    <t>DY</t>
  </si>
  <si>
    <t/>
  </si>
  <si>
    <t>Total Error</t>
  </si>
  <si>
    <t>Estim. Covariance Component</t>
  </si>
  <si>
    <t>Process Error</t>
  </si>
  <si>
    <t>Ultimate</t>
  </si>
  <si>
    <t>Diagonal</t>
  </si>
  <si>
    <t>σ^2</t>
  </si>
  <si>
    <t>Weighted Squared Deviations</t>
  </si>
  <si>
    <t>Development factors</t>
  </si>
  <si>
    <t>Link ratios (a.k.a. age-to-age factors)</t>
  </si>
  <si>
    <t>Cumulative paid claim amount</t>
  </si>
  <si>
    <t>i/j</t>
  </si>
  <si>
    <t>lambda</t>
  </si>
  <si>
    <t>σ^2/lambda^2</t>
  </si>
  <si>
    <t>Cumulative Amounts</t>
  </si>
  <si>
    <t>Process CV</t>
  </si>
  <si>
    <t xml:space="preserve">Estim. Error </t>
  </si>
  <si>
    <t>(without Dependence)</t>
  </si>
  <si>
    <t>VaR(lambda)/lambda^2</t>
  </si>
  <si>
    <t>Cumulate</t>
  </si>
  <si>
    <t>With dependence</t>
  </si>
  <si>
    <t>Estim. CV</t>
  </si>
  <si>
    <t>CV (%)</t>
  </si>
  <si>
    <t>Independence</t>
  </si>
  <si>
    <t>Full Correlation EV</t>
  </si>
  <si>
    <t>Full Correlation Total</t>
  </si>
  <si>
    <t>Component Process Variance (Mack)</t>
  </si>
  <si>
    <t>Component Estimation Variance (Mack)</t>
  </si>
  <si>
    <t>Merz-Wuthrich</t>
  </si>
  <si>
    <t>Component Process Variance Incremental Payments</t>
  </si>
  <si>
    <t>Component Estimation Variance Incremental Payments</t>
  </si>
  <si>
    <t>Scaling Factor</t>
  </si>
  <si>
    <t>Mack Formula</t>
  </si>
  <si>
    <t>Merz-Wuthrich Formula</t>
  </si>
  <si>
    <t>Process Error of X</t>
  </si>
  <si>
    <t>Estim. Error of X</t>
  </si>
  <si>
    <t>Component EV of R * scaling factor</t>
  </si>
  <si>
    <t>Estim. Error of R</t>
  </si>
  <si>
    <t>OY/Total Run-Off</t>
  </si>
  <si>
    <t>Total Error (CDR)</t>
  </si>
  <si>
    <t>CV - Y (%)</t>
  </si>
  <si>
    <t>(amounts in USD .000)</t>
  </si>
  <si>
    <t>0-&gt;1</t>
  </si>
  <si>
    <t>1-&gt;2</t>
  </si>
  <si>
    <t>2-&gt;3</t>
  </si>
  <si>
    <t>3-&gt;4</t>
  </si>
  <si>
    <t>4-&gt;5</t>
  </si>
  <si>
    <t>5-&gt;6</t>
  </si>
  <si>
    <t>6-&gt;7</t>
  </si>
  <si>
    <t>7-&gt;8</t>
  </si>
  <si>
    <t>8-&gt;9</t>
  </si>
  <si>
    <t>9-&gt;10</t>
  </si>
  <si>
    <t>10-&gt;11</t>
  </si>
  <si>
    <t>Vol W Avg.</t>
  </si>
  <si>
    <t>Cumulative to Ult.</t>
  </si>
  <si>
    <t>EV coefficient after</t>
  </si>
  <si>
    <t>diag.</t>
  </si>
  <si>
    <t>EV coeff. Diag</t>
  </si>
  <si>
    <t>PV Coeff. Diag</t>
  </si>
  <si>
    <t>EV component</t>
  </si>
  <si>
    <t>Sigma^2</t>
  </si>
  <si>
    <t>Sigma^2 adjusted</t>
  </si>
  <si>
    <t>Mack Total Error</t>
  </si>
  <si>
    <t>MW Total Error</t>
  </si>
  <si>
    <t>MW Total Error (%)</t>
  </si>
  <si>
    <t>One-Year/Run-Off</t>
  </si>
  <si>
    <t>EV coefficient after diag.</t>
  </si>
  <si>
    <t>EV coefficient diag.</t>
  </si>
  <si>
    <t>PV coefficient diag.</t>
  </si>
  <si>
    <t>Estimation Covariance Coefficient</t>
  </si>
  <si>
    <t>UV</t>
  </si>
  <si>
    <t>N.B.</t>
  </si>
  <si>
    <t>nCol variable is defined as equal to 11 (i.e. n - 1)</t>
  </si>
  <si>
    <t>nRow variable is defined as equal to 12 (i.e. n)</t>
  </si>
  <si>
    <t>Check different definition in Formulas --&gt; Name Manager</t>
  </si>
  <si>
    <t>If in 'Mack' sheet implementation formulas 'nRow-1' is replaced by 'nCol', results shouldn't change.</t>
  </si>
  <si>
    <t>Mack and Merz &amp; Wuthrich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</si>
</sst>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0.0000"/>
    <numFmt numFmtId="165" formatCode="_-* #,##0.00\ _€_-;\-* #,##0.00\ _€_-;_-* &quot;-&quot;??\ _€_-;_-@_-"/>
    <numFmt numFmtId="166" formatCode="_-* #,##0\ _€_-;\-* #,##0\ _€_-;_-* &quot;-&quot;??\ _€_-;_-@_-"/>
    <numFmt numFmtId="167" formatCode="_-* #,##0_-;\-* #,##0_-;_-* &quot;-&quot;??_-;_-@_-"/>
    <numFmt numFmtId="168" formatCode="_-* #,##0.000\ _€_-;\-* #,##0.000\ _€_-;_-* &quot;-&quot;??\ _€_-;_-@_-"/>
    <numFmt numFmtId="169" formatCode="_-* #,##0.000_-;\-* #,##0.000_-;_-* &quot;-&quot;??_-;_-@_-"/>
    <numFmt numFmtId="170" formatCode="0.000"/>
    <numFmt numFmtId="171" formatCode="_-* #,##0.0000_-;\-* #,##0.0000_-;_-* &quot;-&quot;??_-;_-@_-"/>
    <numFmt numFmtId="172" formatCode="_-* #,##0.00000\ _€_-;\-* #,##0.00000\ _€_-;_-* &quot;-&quot;??\ _€_-;_-@_-"/>
    <numFmt numFmtId="173" formatCode="_-* #,##0.0000000\ _€_-;\-* #,##0.0000000\ _€_-;_-* &quot;-&quot;??\ _€_-;_-@_-"/>
    <numFmt numFmtId="174" formatCode="0.0%"/>
  </numFmts>
  <fonts count="18">
    <font>
      <sz val="16"/>
      <color theme="1"/>
      <name val="Body Font"/>
      <family val="2"/>
    </font>
    <font>
      <sz val="16"/>
      <color theme="1"/>
      <name val="Body Font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Body Font"/>
      <family val="2"/>
    </font>
    <font>
      <b/>
      <sz val="9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9"/>
      <name val="Arial"/>
      <family val="2"/>
    </font>
    <font>
      <sz val="9"/>
      <color rgb="FFFF0000"/>
      <name val="Calibri"/>
      <family val="2"/>
      <scheme val="minor"/>
    </font>
    <font>
      <sz val="9"/>
      <name val="Arial"/>
      <family val="2"/>
    </font>
    <font>
      <b/>
      <sz val="9"/>
      <color theme="1"/>
      <name val="Body Font"/>
      <family val="2"/>
    </font>
    <font>
      <b/>
      <sz val="9"/>
      <color theme="1"/>
      <name val="Body Font"/>
    </font>
    <font>
      <i/>
      <sz val="9"/>
      <color theme="1"/>
      <name val="Body Font"/>
    </font>
    <font>
      <b/>
      <sz val="10"/>
      <color rgb="FFFF000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03">
    <xf numFmtId="0" fontId="0" fillId="0" borderId="0" xfId="0"/>
    <xf numFmtId="0" fontId="3" fillId="2" borderId="0" xfId="3" applyFont="1" applyFill="1"/>
    <xf numFmtId="167" fontId="4" fillId="2" borderId="0" xfId="4" applyNumberFormat="1" applyFont="1" applyFill="1"/>
    <xf numFmtId="167" fontId="5" fillId="2" borderId="0" xfId="4" applyNumberFormat="1" applyFont="1" applyFill="1"/>
    <xf numFmtId="167" fontId="6" fillId="2" borderId="0" xfId="4" applyNumberFormat="1" applyFont="1" applyFill="1" applyAlignment="1">
      <alignment horizontal="center"/>
    </xf>
    <xf numFmtId="167" fontId="6" fillId="2" borderId="0" xfId="4" applyNumberFormat="1" applyFont="1" applyFill="1" applyBorder="1" applyAlignment="1">
      <alignment horizontal="center"/>
    </xf>
    <xf numFmtId="0" fontId="3" fillId="2" borderId="0" xfId="3" applyFont="1" applyFill="1" applyAlignment="1">
      <alignment horizontal="center"/>
    </xf>
    <xf numFmtId="0" fontId="7" fillId="2" borderId="2" xfId="4" applyNumberFormat="1" applyFont="1" applyFill="1" applyBorder="1" applyAlignment="1">
      <alignment horizontal="center"/>
    </xf>
    <xf numFmtId="167" fontId="4" fillId="2" borderId="0" xfId="4" applyNumberFormat="1" applyFont="1" applyFill="1" applyBorder="1"/>
    <xf numFmtId="0" fontId="8" fillId="2" borderId="0" xfId="3" applyFont="1" applyFill="1"/>
    <xf numFmtId="0" fontId="7" fillId="2" borderId="0" xfId="4" applyNumberFormat="1" applyFont="1" applyFill="1" applyAlignment="1">
      <alignment horizontal="center"/>
    </xf>
    <xf numFmtId="169" fontId="3" fillId="2" borderId="0" xfId="3" applyNumberFormat="1" applyFont="1" applyFill="1"/>
    <xf numFmtId="1" fontId="7" fillId="2" borderId="2" xfId="4" applyNumberFormat="1" applyFont="1" applyFill="1" applyBorder="1" applyAlignment="1">
      <alignment horizontal="center"/>
    </xf>
    <xf numFmtId="171" fontId="4" fillId="2" borderId="0" xfId="4" applyNumberFormat="1" applyFont="1" applyFill="1" applyBorder="1"/>
    <xf numFmtId="0" fontId="7" fillId="2" borderId="0" xfId="4" applyNumberFormat="1" applyFont="1" applyFill="1" applyBorder="1" applyAlignment="1">
      <alignment horizontal="center"/>
    </xf>
    <xf numFmtId="167" fontId="6" fillId="2" borderId="0" xfId="4" applyNumberFormat="1" applyFont="1" applyFill="1" applyAlignment="1">
      <alignment horizontal="right"/>
    </xf>
    <xf numFmtId="1" fontId="3" fillId="2" borderId="0" xfId="4" applyNumberFormat="1" applyFont="1" applyFill="1" applyAlignment="1">
      <alignment horizontal="right"/>
    </xf>
    <xf numFmtId="164" fontId="3" fillId="2" borderId="0" xfId="4" applyNumberFormat="1" applyFont="1" applyFill="1" applyAlignment="1">
      <alignment horizontal="right"/>
    </xf>
    <xf numFmtId="166" fontId="4" fillId="2" borderId="0" xfId="4" applyNumberFormat="1" applyFont="1" applyFill="1"/>
    <xf numFmtId="170" fontId="3" fillId="2" borderId="0" xfId="4" applyNumberFormat="1" applyFont="1" applyFill="1" applyAlignment="1">
      <alignment horizontal="right"/>
    </xf>
    <xf numFmtId="0" fontId="6" fillId="2" borderId="0" xfId="3" applyFont="1" applyFill="1"/>
    <xf numFmtId="43" fontId="3" fillId="2" borderId="0" xfId="1" applyFont="1" applyFill="1"/>
    <xf numFmtId="43" fontId="3" fillId="7" borderId="0" xfId="1" applyFont="1" applyFill="1"/>
    <xf numFmtId="165" fontId="4" fillId="2" borderId="0" xfId="4" applyFont="1" applyFill="1" applyBorder="1"/>
    <xf numFmtId="0" fontId="6" fillId="2" borderId="0" xfId="3" applyFont="1" applyFill="1" applyAlignment="1">
      <alignment horizontal="right"/>
    </xf>
    <xf numFmtId="165" fontId="3" fillId="2" borderId="0" xfId="4" applyFont="1" applyFill="1" applyAlignment="1">
      <alignment horizontal="right"/>
    </xf>
    <xf numFmtId="165" fontId="3" fillId="2" borderId="0" xfId="4" applyFont="1" applyFill="1" applyAlignment="1">
      <alignment horizontal="right" vertical="top"/>
    </xf>
    <xf numFmtId="0" fontId="6" fillId="2" borderId="0" xfId="3" applyFont="1" applyFill="1" applyAlignment="1">
      <alignment horizontal="center"/>
    </xf>
    <xf numFmtId="0" fontId="6" fillId="2" borderId="0" xfId="3" applyFont="1" applyFill="1" applyAlignment="1">
      <alignment horizontal="center" wrapText="1"/>
    </xf>
    <xf numFmtId="0" fontId="6" fillId="2" borderId="0" xfId="3" applyFont="1" applyFill="1" applyAlignment="1">
      <alignment horizontal="right" vertical="top"/>
    </xf>
    <xf numFmtId="168" fontId="3" fillId="2" borderId="0" xfId="4" applyNumberFormat="1" applyFont="1" applyFill="1" applyAlignment="1">
      <alignment horizontal="right"/>
    </xf>
    <xf numFmtId="1" fontId="7" fillId="2" borderId="1" xfId="4" applyNumberFormat="1" applyFont="1" applyFill="1" applyBorder="1" applyAlignment="1">
      <alignment horizontal="center"/>
    </xf>
    <xf numFmtId="166" fontId="9" fillId="4" borderId="1" xfId="4" applyNumberFormat="1" applyFont="1" applyFill="1" applyBorder="1" applyAlignment="1">
      <alignment horizontal="center"/>
    </xf>
    <xf numFmtId="166" fontId="4" fillId="3" borderId="1" xfId="4" applyNumberFormat="1" applyFont="1" applyFill="1" applyBorder="1" applyAlignment="1">
      <alignment horizontal="right"/>
    </xf>
    <xf numFmtId="167" fontId="3" fillId="6" borderId="1" xfId="3" applyNumberFormat="1" applyFont="1" applyFill="1" applyBorder="1" applyAlignment="1">
      <alignment horizontal="right"/>
    </xf>
    <xf numFmtId="165" fontId="4" fillId="4" borderId="1" xfId="4" applyFont="1" applyFill="1" applyBorder="1"/>
    <xf numFmtId="10" fontId="4" fillId="5" borderId="1" xfId="5" applyNumberFormat="1" applyFont="1" applyFill="1" applyBorder="1"/>
    <xf numFmtId="166" fontId="4" fillId="4" borderId="1" xfId="4" applyNumberFormat="1" applyFont="1" applyFill="1" applyBorder="1"/>
    <xf numFmtId="166" fontId="3" fillId="2" borderId="0" xfId="3" applyNumberFormat="1" applyFont="1" applyFill="1"/>
    <xf numFmtId="165" fontId="3" fillId="2" borderId="0" xfId="3" applyNumberFormat="1" applyFont="1" applyFill="1"/>
    <xf numFmtId="10" fontId="10" fillId="5" borderId="1" xfId="5" applyNumberFormat="1" applyFont="1" applyFill="1" applyBorder="1"/>
    <xf numFmtId="10" fontId="3" fillId="2" borderId="0" xfId="2" applyNumberFormat="1" applyFont="1" applyFill="1"/>
    <xf numFmtId="166" fontId="7" fillId="4" borderId="1" xfId="4" applyNumberFormat="1" applyFont="1" applyFill="1" applyBorder="1" applyAlignment="1">
      <alignment horizontal="center"/>
    </xf>
    <xf numFmtId="166" fontId="10" fillId="3" borderId="1" xfId="4" applyNumberFormat="1" applyFont="1" applyFill="1" applyBorder="1" applyAlignment="1">
      <alignment horizontal="right"/>
    </xf>
    <xf numFmtId="167" fontId="6" fillId="6" borderId="1" xfId="3" applyNumberFormat="1" applyFont="1" applyFill="1" applyBorder="1" applyAlignment="1">
      <alignment horizontal="right"/>
    </xf>
    <xf numFmtId="165" fontId="12" fillId="4" borderId="1" xfId="4" applyFont="1" applyFill="1" applyBorder="1"/>
    <xf numFmtId="166" fontId="11" fillId="4" borderId="1" xfId="4" applyNumberFormat="1" applyFont="1" applyFill="1" applyBorder="1"/>
    <xf numFmtId="172" fontId="3" fillId="2" borderId="0" xfId="3" applyNumberFormat="1" applyFont="1" applyFill="1"/>
    <xf numFmtId="172" fontId="3" fillId="2" borderId="0" xfId="4" applyNumberFormat="1" applyFont="1" applyFill="1" applyAlignment="1">
      <alignment horizontal="right"/>
    </xf>
    <xf numFmtId="166" fontId="3" fillId="2" borderId="0" xfId="4" applyNumberFormat="1" applyFont="1" applyFill="1" applyAlignment="1">
      <alignment horizontal="right"/>
    </xf>
    <xf numFmtId="171" fontId="3" fillId="2" borderId="0" xfId="1" applyNumberFormat="1" applyFont="1" applyFill="1"/>
    <xf numFmtId="167" fontId="3" fillId="2" borderId="0" xfId="3" applyNumberFormat="1" applyFont="1" applyFill="1"/>
    <xf numFmtId="167" fontId="0" fillId="2" borderId="0" xfId="4" applyNumberFormat="1" applyFont="1" applyFill="1"/>
    <xf numFmtId="167" fontId="13" fillId="2" borderId="0" xfId="4" applyNumberFormat="1" applyFont="1" applyFill="1"/>
    <xf numFmtId="0" fontId="2" fillId="2" borderId="0" xfId="3" applyFill="1"/>
    <xf numFmtId="167" fontId="14" fillId="2" borderId="0" xfId="4" applyNumberFormat="1" applyFont="1" applyFill="1" applyAlignment="1">
      <alignment horizontal="center"/>
    </xf>
    <xf numFmtId="167" fontId="14" fillId="2" borderId="0" xfId="4" applyNumberFormat="1" applyFont="1" applyFill="1" applyBorder="1" applyAlignment="1">
      <alignment horizontal="center"/>
    </xf>
    <xf numFmtId="0" fontId="15" fillId="2" borderId="2" xfId="4" applyNumberFormat="1" applyFont="1" applyFill="1" applyBorder="1" applyAlignment="1">
      <alignment horizontal="center"/>
    </xf>
    <xf numFmtId="0" fontId="15" fillId="2" borderId="1" xfId="4" applyNumberFormat="1" applyFont="1" applyFill="1" applyBorder="1" applyAlignment="1">
      <alignment horizontal="center"/>
    </xf>
    <xf numFmtId="167" fontId="0" fillId="2" borderId="0" xfId="4" applyNumberFormat="1" applyFont="1" applyFill="1" applyBorder="1"/>
    <xf numFmtId="0" fontId="15" fillId="2" borderId="0" xfId="4" applyNumberFormat="1" applyFont="1" applyFill="1" applyAlignment="1">
      <alignment horizontal="center"/>
    </xf>
    <xf numFmtId="169" fontId="2" fillId="2" borderId="0" xfId="3" applyNumberFormat="1" applyFill="1"/>
    <xf numFmtId="1" fontId="15" fillId="2" borderId="2" xfId="4" applyNumberFormat="1" applyFont="1" applyFill="1" applyBorder="1" applyAlignment="1">
      <alignment horizontal="center"/>
    </xf>
    <xf numFmtId="171" fontId="0" fillId="2" borderId="0" xfId="4" applyNumberFormat="1" applyFont="1" applyFill="1" applyBorder="1"/>
    <xf numFmtId="0" fontId="15" fillId="2" borderId="0" xfId="4" applyNumberFormat="1" applyFont="1" applyFill="1" applyBorder="1" applyAlignment="1">
      <alignment horizontal="center"/>
    </xf>
    <xf numFmtId="0" fontId="2" fillId="9" borderId="0" xfId="3" applyFill="1"/>
    <xf numFmtId="167" fontId="14" fillId="9" borderId="0" xfId="4" applyNumberFormat="1" applyFont="1" applyFill="1" applyAlignment="1">
      <alignment horizontal="right"/>
    </xf>
    <xf numFmtId="164" fontId="2" fillId="9" borderId="0" xfId="4" applyNumberFormat="1" applyFont="1" applyFill="1" applyAlignment="1">
      <alignment horizontal="right"/>
    </xf>
    <xf numFmtId="1" fontId="2" fillId="2" borderId="0" xfId="4" applyNumberFormat="1" applyFont="1" applyFill="1" applyAlignment="1">
      <alignment horizontal="right"/>
    </xf>
    <xf numFmtId="164" fontId="2" fillId="2" borderId="0" xfId="4" applyNumberFormat="1" applyFont="1" applyFill="1" applyAlignment="1">
      <alignment horizontal="right"/>
    </xf>
    <xf numFmtId="166" fontId="0" fillId="2" borderId="0" xfId="4" applyNumberFormat="1" applyFont="1" applyFill="1"/>
    <xf numFmtId="165" fontId="0" fillId="2" borderId="0" xfId="4" applyFont="1" applyFill="1" applyBorder="1"/>
    <xf numFmtId="0" fontId="14" fillId="2" borderId="0" xfId="3" applyFont="1" applyFill="1" applyAlignment="1">
      <alignment horizontal="right"/>
    </xf>
    <xf numFmtId="168" fontId="2" fillId="2" borderId="0" xfId="4" applyNumberFormat="1" applyFont="1" applyFill="1" applyAlignment="1">
      <alignment horizontal="right"/>
    </xf>
    <xf numFmtId="0" fontId="14" fillId="2" borderId="0" xfId="3" applyFont="1" applyFill="1" applyAlignment="1">
      <alignment horizontal="center"/>
    </xf>
    <xf numFmtId="0" fontId="14" fillId="2" borderId="0" xfId="3" applyFont="1" applyFill="1" applyAlignment="1">
      <alignment vertical="top"/>
    </xf>
    <xf numFmtId="0" fontId="14" fillId="2" borderId="0" xfId="3" applyFont="1" applyFill="1" applyAlignment="1">
      <alignment horizontal="right" vertical="top"/>
    </xf>
    <xf numFmtId="168" fontId="2" fillId="2" borderId="0" xfId="4" applyNumberFormat="1" applyFont="1" applyFill="1" applyAlignment="1">
      <alignment horizontal="right" vertical="top"/>
    </xf>
    <xf numFmtId="1" fontId="2" fillId="2" borderId="0" xfId="4" applyNumberFormat="1" applyFont="1" applyFill="1" applyAlignment="1">
      <alignment horizontal="right" vertical="top"/>
    </xf>
    <xf numFmtId="0" fontId="14" fillId="2" borderId="0" xfId="3" applyFont="1" applyFill="1" applyAlignment="1">
      <alignment horizontal="center" wrapText="1"/>
    </xf>
    <xf numFmtId="0" fontId="14" fillId="9" borderId="0" xfId="3" applyFont="1" applyFill="1"/>
    <xf numFmtId="0" fontId="14" fillId="9" borderId="0" xfId="3" applyFont="1" applyFill="1" applyAlignment="1">
      <alignment horizontal="right"/>
    </xf>
    <xf numFmtId="11" fontId="2" fillId="9" borderId="0" xfId="4" applyNumberFormat="1" applyFont="1" applyFill="1" applyAlignment="1">
      <alignment horizontal="right"/>
    </xf>
    <xf numFmtId="1" fontId="15" fillId="2" borderId="1" xfId="4" applyNumberFormat="1" applyFont="1" applyFill="1" applyBorder="1" applyAlignment="1">
      <alignment horizontal="center"/>
    </xf>
    <xf numFmtId="166" fontId="16" fillId="4" borderId="1" xfId="4" applyNumberFormat="1" applyFont="1" applyFill="1" applyBorder="1" applyAlignment="1">
      <alignment horizontal="center"/>
    </xf>
    <xf numFmtId="166" fontId="0" fillId="3" borderId="1" xfId="4" applyNumberFormat="1" applyFont="1" applyFill="1" applyBorder="1" applyAlignment="1">
      <alignment horizontal="right"/>
    </xf>
    <xf numFmtId="167" fontId="2" fillId="6" borderId="1" xfId="3" applyNumberFormat="1" applyFill="1" applyBorder="1" applyAlignment="1">
      <alignment horizontal="right"/>
    </xf>
    <xf numFmtId="166" fontId="0" fillId="5" borderId="1" xfId="4" applyNumberFormat="1" applyFont="1" applyFill="1" applyBorder="1"/>
    <xf numFmtId="10" fontId="0" fillId="5" borderId="1" xfId="5" applyNumberFormat="1" applyFont="1" applyFill="1" applyBorder="1"/>
    <xf numFmtId="2" fontId="0" fillId="4" borderId="1" xfId="4" applyNumberFormat="1" applyFont="1" applyFill="1" applyBorder="1"/>
    <xf numFmtId="168" fontId="2" fillId="9" borderId="0" xfId="4" applyNumberFormat="1" applyFont="1" applyFill="1" applyAlignment="1">
      <alignment horizontal="right"/>
    </xf>
    <xf numFmtId="173" fontId="2" fillId="9" borderId="0" xfId="4" applyNumberFormat="1" applyFont="1" applyFill="1" applyAlignment="1">
      <alignment horizontal="right"/>
    </xf>
    <xf numFmtId="166" fontId="0" fillId="5" borderId="3" xfId="4" applyNumberFormat="1" applyFont="1" applyFill="1" applyBorder="1"/>
    <xf numFmtId="166" fontId="2" fillId="5" borderId="4" xfId="3" applyNumberFormat="1" applyFill="1" applyBorder="1"/>
    <xf numFmtId="166" fontId="0" fillId="5" borderId="1" xfId="5" applyNumberFormat="1" applyFont="1" applyFill="1" applyBorder="1"/>
    <xf numFmtId="0" fontId="14" fillId="2" borderId="0" xfId="3" applyFont="1" applyFill="1"/>
    <xf numFmtId="174" fontId="10" fillId="5" borderId="1" xfId="5" applyNumberFormat="1" applyFont="1" applyFill="1" applyBorder="1"/>
    <xf numFmtId="174" fontId="3" fillId="2" borderId="0" xfId="2" applyNumberFormat="1" applyFont="1" applyFill="1"/>
    <xf numFmtId="174" fontId="6" fillId="4" borderId="0" xfId="2" applyNumberFormat="1" applyFont="1" applyFill="1"/>
    <xf numFmtId="0" fontId="3" fillId="2" borderId="0" xfId="3" applyFont="1" applyFill="1" applyAlignment="1">
      <alignment horizontal="center"/>
    </xf>
    <xf numFmtId="0" fontId="6" fillId="2" borderId="0" xfId="3" applyFont="1" applyFill="1" applyAlignment="1">
      <alignment horizontal="center"/>
    </xf>
    <xf numFmtId="0" fontId="6" fillId="8" borderId="0" xfId="3" applyFont="1" applyFill="1" applyAlignment="1">
      <alignment horizontal="center"/>
    </xf>
    <xf numFmtId="0" fontId="17" fillId="7" borderId="0" xfId="3" applyFont="1" applyFill="1" applyAlignment="1">
      <alignment horizontal="center"/>
    </xf>
  </cellXfs>
  <cellStyles count="6">
    <cellStyle name="Migliaia" xfId="1" builtinId="3"/>
    <cellStyle name="Migliaia 2" xfId="4" xr:uid="{867881AA-E225-4875-BFCC-AF43D0143FA0}"/>
    <cellStyle name="Normale" xfId="0" builtinId="0"/>
    <cellStyle name="Normale 2" xfId="3" xr:uid="{013A8034-BAB8-4D65-8475-808ACF2F38B9}"/>
    <cellStyle name="Percentuale" xfId="2" builtinId="5"/>
    <cellStyle name="Percentuale 2" xfId="5" xr:uid="{A88BBB63-DA20-4434-9BE9-106B5960C217}"/>
  </cellStyles>
  <dxfs count="9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Prediction Error (R)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81D2-4A0C-86C7-0FC8CE9DF3F8}"/>
              </c:ext>
            </c:extLst>
          </c:dPt>
          <c:cat>
            <c:strRef>
              <c:f>('Mack &amp; MW'!$T$25:$T$36,'Mack &amp; MW'!$T$38)</c:f>
              <c:strCach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Total</c:v>
                </c:pt>
              </c:strCache>
            </c:strRef>
          </c:cat>
          <c:val>
            <c:numRef>
              <c:f>('Mack &amp; MW'!$AC$4:$AC$15,'Mack &amp; MW'!$AC$18)</c:f>
              <c:numCache>
                <c:formatCode>_-* #,##0\ _€_-;\-* #,##0\ _€_-;_-* "-"??\ _€_-;_-@_-</c:formatCode>
                <c:ptCount val="13"/>
                <c:pt idx="0">
                  <c:v>0</c:v>
                </c:pt>
                <c:pt idx="1">
                  <c:v>47.053705075477161</c:v>
                </c:pt>
                <c:pt idx="2">
                  <c:v>136.24662142354632</c:v>
                </c:pt>
                <c:pt idx="3">
                  <c:v>394.48820777829934</c:v>
                </c:pt>
                <c:pt idx="4">
                  <c:v>454.88808316986825</c:v>
                </c:pt>
                <c:pt idx="5">
                  <c:v>562.43711977749729</c:v>
                </c:pt>
                <c:pt idx="6">
                  <c:v>795.41872483807299</c:v>
                </c:pt>
                <c:pt idx="7">
                  <c:v>1084.7862795829028</c:v>
                </c:pt>
                <c:pt idx="8">
                  <c:v>1458.1786429384333</c:v>
                </c:pt>
                <c:pt idx="9">
                  <c:v>2057.2667880670829</c:v>
                </c:pt>
                <c:pt idx="10">
                  <c:v>3024.6781569736745</c:v>
                </c:pt>
                <c:pt idx="11">
                  <c:v>5986.2296398031485</c:v>
                </c:pt>
                <c:pt idx="12">
                  <c:v>8296.2607163959237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CF-42D7-BD85-710CB76FDDF1}"/>
            </c:ext>
          </c:extLst>
        </c:ser>
        <c:ser>
          <c:idx val="1"/>
          <c:order val="1"/>
          <c:tx>
            <c:v>"Prediction Error (CDR)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1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F3CF-42D7-BD85-710CB76FDDF1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2B5E2994-1262-4E62-ABDA-AF918306F292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F3CF-42D7-BD85-710CB76FDDF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12C8729-821E-4DAA-9D51-A3240B61FE3C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F3CF-42D7-BD85-710CB76FDDF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8267DBC-C69D-4482-AC2B-061B97083FD1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F3CF-42D7-BD85-710CB76FDDF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16C0384-7AA5-4CE7-B659-12AD9EA7E9BC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F3CF-42D7-BD85-710CB76FDDF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4A3E6F3-37BB-4394-B511-A187D7CCFEEF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F3CF-42D7-BD85-710CB76FDDF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CEAE72D8-0CB3-4B1F-A49A-2CF1EF73C561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F3CF-42D7-BD85-710CB76FDDF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06910449-3F75-4018-8390-B92A5731DAC2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F3CF-42D7-BD85-710CB76FDDF1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4AD65A7E-3C86-4709-B099-A9ACDEBCB065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F3CF-42D7-BD85-710CB76FDDF1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2BD13677-14BC-47AC-ADA4-511848A24BDB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F3CF-42D7-BD85-710CB76FDDF1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C7E2D106-191D-4289-B783-9B2D4A54E735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F3CF-42D7-BD85-710CB76FDDF1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A127DE9B-3C57-4194-8BE2-B7D325933BF4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F3CF-42D7-BD85-710CB76FDDF1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CFDAA3FE-BBA9-4094-86F2-7558ACDC37C2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F3CF-42D7-BD85-710CB76FDDF1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4527EEF1-BA21-4DAA-A415-F6F2C3B59A13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F3CF-42D7-BD85-710CB76FDDF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('Mack &amp; MW'!$T$25:$T$36,'Mack &amp; MW'!$T$38)</c:f>
              <c:strCach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Total</c:v>
                </c:pt>
              </c:strCache>
            </c:strRef>
          </c:cat>
          <c:val>
            <c:numRef>
              <c:f>('Mack &amp; MW'!$AB$25:$AB$36,'Mack &amp; MW'!$AB$39)</c:f>
              <c:numCache>
                <c:formatCode>_-* #,##0.00\ _€_-;\-* #,##0.00\ _€_-;_-* "-"??\ _€_-;_-@_-</c:formatCode>
                <c:ptCount val="13"/>
                <c:pt idx="0">
                  <c:v>0</c:v>
                </c:pt>
                <c:pt idx="1">
                  <c:v>47.053705075477161</c:v>
                </c:pt>
                <c:pt idx="2">
                  <c:v>129.48408557886432</c:v>
                </c:pt>
                <c:pt idx="3">
                  <c:v>371.40057855002595</c:v>
                </c:pt>
                <c:pt idx="4">
                  <c:v>242.60299746407176</c:v>
                </c:pt>
                <c:pt idx="5">
                  <c:v>311.02634399997805</c:v>
                </c:pt>
                <c:pt idx="6">
                  <c:v>565.96501757660985</c:v>
                </c:pt>
                <c:pt idx="7">
                  <c:v>781.70245968791971</c:v>
                </c:pt>
                <c:pt idx="8">
                  <c:v>1004.0293212440572</c:v>
                </c:pt>
                <c:pt idx="9">
                  <c:v>1438.5469170592307</c:v>
                </c:pt>
                <c:pt idx="10">
                  <c:v>2135.2480108283576</c:v>
                </c:pt>
                <c:pt idx="11">
                  <c:v>5100.0459756513565</c:v>
                </c:pt>
                <c:pt idx="12">
                  <c:v>6532.7878503094871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('Mack &amp; MW'!$AC$25:$AC$36,'Mack &amp; MW'!$AC$39)</c15:f>
                <c15:dlblRangeCache>
                  <c:ptCount val="13"/>
                  <c:pt idx="1">
                    <c:v>100,0%</c:v>
                  </c:pt>
                  <c:pt idx="2">
                    <c:v>95,0%</c:v>
                  </c:pt>
                  <c:pt idx="3">
                    <c:v>94,1%</c:v>
                  </c:pt>
                  <c:pt idx="4">
                    <c:v>53,3%</c:v>
                  </c:pt>
                  <c:pt idx="5">
                    <c:v>55,3%</c:v>
                  </c:pt>
                  <c:pt idx="6">
                    <c:v>71,2%</c:v>
                  </c:pt>
                  <c:pt idx="7">
                    <c:v>72,1%</c:v>
                  </c:pt>
                  <c:pt idx="8">
                    <c:v>68,9%</c:v>
                  </c:pt>
                  <c:pt idx="9">
                    <c:v>69,9%</c:v>
                  </c:pt>
                  <c:pt idx="10">
                    <c:v>70,6%</c:v>
                  </c:pt>
                  <c:pt idx="11">
                    <c:v>85,2%</c:v>
                  </c:pt>
                  <c:pt idx="12">
                    <c:v>78,7%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F3CF-42D7-BD85-710CB76FDD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9960111"/>
        <c:axId val="1299960527"/>
      </c:barChart>
      <c:catAx>
        <c:axId val="1299960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99960527"/>
        <c:crosses val="autoZero"/>
        <c:auto val="1"/>
        <c:lblAlgn val="ctr"/>
        <c:lblOffset val="100"/>
        <c:noMultiLvlLbl val="0"/>
      </c:catAx>
      <c:valAx>
        <c:axId val="129996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\ _€_-;\-* #,##0\ _€_-;_-* &quot;-&quot;??\ _€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99960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CV(R)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('Mack &amp; MW'!$T$5:$T$15,'Mack &amp; MW'!$T$17)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Total</c:v>
                </c:pt>
              </c:strCache>
            </c:strRef>
          </c:cat>
          <c:val>
            <c:numRef>
              <c:f>('Mack &amp; MW'!$AD$5:$AD$15,'Mack &amp; MW'!$AD$18)</c:f>
              <c:numCache>
                <c:formatCode>0.00%</c:formatCode>
                <c:ptCount val="12"/>
                <c:pt idx="0">
                  <c:v>2.3141738078736734E-2</c:v>
                </c:pt>
                <c:pt idx="1">
                  <c:v>5.1322494868418403E-2</c:v>
                </c:pt>
                <c:pt idx="2">
                  <c:v>0.10728399562748611</c:v>
                </c:pt>
                <c:pt idx="3">
                  <c:v>9.359905155515906E-2</c:v>
                </c:pt>
                <c:pt idx="4">
                  <c:v>8.0466936343412745E-2</c:v>
                </c:pt>
                <c:pt idx="5">
                  <c:v>8.4262447716665301E-2</c:v>
                </c:pt>
                <c:pt idx="6">
                  <c:v>9.0396168997107118E-2</c:v>
                </c:pt>
                <c:pt idx="7">
                  <c:v>9.0980679548944607E-2</c:v>
                </c:pt>
                <c:pt idx="8">
                  <c:v>8.2351583940476522E-2</c:v>
                </c:pt>
                <c:pt idx="9">
                  <c:v>6.2247374514700901E-2</c:v>
                </c:pt>
                <c:pt idx="10">
                  <c:v>5.2483282192196667E-2</c:v>
                </c:pt>
                <c:pt idx="11">
                  <c:v>3.3818853900472831E-2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D1-4BFA-9F1E-881388109E71}"/>
            </c:ext>
          </c:extLst>
        </c:ser>
        <c:ser>
          <c:idx val="1"/>
          <c:order val="1"/>
          <c:tx>
            <c:v>CV(Y)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('Mack &amp; MW'!$AD$26:$AD$36,'Mack &amp; MW'!$AD$39)</c:f>
              <c:numCache>
                <c:formatCode>0.00%</c:formatCode>
                <c:ptCount val="12"/>
                <c:pt idx="0">
                  <c:v>2.3141738078736734E-2</c:v>
                </c:pt>
                <c:pt idx="1">
                  <c:v>4.8775127399339965E-2</c:v>
                </c:pt>
                <c:pt idx="2">
                  <c:v>0.10100514352408654</c:v>
                </c:pt>
                <c:pt idx="3">
                  <c:v>4.9918675180145741E-2</c:v>
                </c:pt>
                <c:pt idx="4">
                  <c:v>4.449801790051048E-2</c:v>
                </c:pt>
                <c:pt idx="5">
                  <c:v>5.9955336999036615E-2</c:v>
                </c:pt>
                <c:pt idx="6">
                  <c:v>6.5139934917478118E-2</c:v>
                </c:pt>
                <c:pt idx="7">
                  <c:v>6.2644772899548465E-2</c:v>
                </c:pt>
                <c:pt idx="8">
                  <c:v>5.7584469782756262E-2</c:v>
                </c:pt>
                <c:pt idx="9">
                  <c:v>4.3943049711043923E-2</c:v>
                </c:pt>
                <c:pt idx="10">
                  <c:v>4.4713812907132153E-2</c:v>
                </c:pt>
                <c:pt idx="11">
                  <c:v>2.6630238058427114E-2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D1-4BFA-9F1E-881388109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8711967"/>
        <c:axId val="1358712799"/>
      </c:lineChart>
      <c:catAx>
        <c:axId val="1358711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58712799"/>
        <c:crosses val="autoZero"/>
        <c:auto val="1"/>
        <c:lblAlgn val="ctr"/>
        <c:lblOffset val="100"/>
        <c:noMultiLvlLbl val="0"/>
      </c:catAx>
      <c:valAx>
        <c:axId val="1358712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58711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8" Type="http://schemas.openxmlformats.org/officeDocument/2006/relationships/chart" Target="../charts/chart1.xml"/><Relationship Id="rId17" Type="http://schemas.openxmlformats.org/officeDocument/2006/relationships/image" Target="../media/image90.PNG"/><Relationship Id="rId1" Type="http://schemas.openxmlformats.org/officeDocument/2006/relationships/customXml" Target="../ink/ink1.xml"/><Relationship Id="rId10" Type="http://schemas.openxmlformats.org/officeDocument/2006/relationships/customXml" Target="../ink/ink2.xml"/><Relationship Id="rId19" Type="http://schemas.openxmlformats.org/officeDocument/2006/relationships/chart" Target="../charts/chart2.xml"/><Relationship Id="rId9" Type="http://schemas.openxmlformats.org/officeDocument/2006/relationships/image" Target="../media/image40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ustomXml" Target="../ink/ink3.xml"/><Relationship Id="rId11" Type="http://schemas.openxmlformats.org/officeDocument/2006/relationships/image" Target="../media/image2.PNG"/><Relationship Id="rId10" Type="http://schemas.openxmlformats.org/officeDocument/2006/relationships/image" Target="../media/image1.PNG"/><Relationship Id="rId9" Type="http://schemas.openxmlformats.org/officeDocument/2006/relationships/image" Target="../media/image4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700618</xdr:colOff>
      <xdr:row>19</xdr:row>
      <xdr:rowOff>713</xdr:rowOff>
    </xdr:from>
    <xdr:ext cx="6710" cy="353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C3274B69-76C0-485A-A16A-E959AFDE69C1}"/>
                </a:ext>
              </a:extLst>
            </xdr14:cNvPr>
            <xdr14:cNvContentPartPr/>
          </xdr14:nvContentPartPr>
          <xdr14:nvPr macro=""/>
          <xdr14:xfrm>
            <a:off x="7279218" y="2956638"/>
            <a:ext cx="6710" cy="3535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07D54D6C-3212-405C-8E1F-3AF876A897B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4925160" y="3296434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</xdr:col>
      <xdr:colOff>917809</xdr:colOff>
      <xdr:row>13</xdr:row>
      <xdr:rowOff>60709</xdr:rowOff>
    </xdr:from>
    <xdr:ext cx="3535" cy="353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9" name="Ink 18">
              <a:extLst>
                <a:ext uri="{FF2B5EF4-FFF2-40B4-BE49-F238E27FC236}">
                  <a16:creationId xmlns:a16="http://schemas.microsoft.com/office/drawing/2014/main" id="{9860C976-9C5A-44CE-85D9-125575B34529}"/>
                </a:ext>
              </a:extLst>
            </xdr14:cNvPr>
            <xdr14:cNvContentPartPr/>
          </xdr14:nvContentPartPr>
          <xdr14:nvPr macro=""/>
          <xdr14:xfrm>
            <a:off x="12434400" y="2242800"/>
            <a:ext cx="360" cy="36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322C3B92-579E-42DA-807A-E1E8B288CAA7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2425400" y="22338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twoCellAnchor>
    <xdr:from>
      <xdr:col>19</xdr:col>
      <xdr:colOff>360362</xdr:colOff>
      <xdr:row>39</xdr:row>
      <xdr:rowOff>128586</xdr:rowOff>
    </xdr:from>
    <xdr:to>
      <xdr:col>25</xdr:col>
      <xdr:colOff>349250</xdr:colOff>
      <xdr:row>63</xdr:row>
      <xdr:rowOff>76199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77C2014F-5AEA-00C5-0EEE-6DE6D8833A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25</xdr:col>
      <xdr:colOff>841375</xdr:colOff>
      <xdr:row>40</xdr:row>
      <xdr:rowOff>123825</xdr:rowOff>
    </xdr:from>
    <xdr:to>
      <xdr:col>29</xdr:col>
      <xdr:colOff>387350</xdr:colOff>
      <xdr:row>58</xdr:row>
      <xdr:rowOff>66675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EB97949D-AF53-4B01-92C6-0FA1F46DF3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557743</xdr:colOff>
      <xdr:row>17</xdr:row>
      <xdr:rowOff>159463</xdr:rowOff>
    </xdr:from>
    <xdr:to>
      <xdr:col>5</xdr:col>
      <xdr:colOff>570803</xdr:colOff>
      <xdr:row>17</xdr:row>
      <xdr:rowOff>165453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845F40DC-A198-489D-9A5C-699661191213}"/>
                </a:ext>
              </a:extLst>
            </xdr14:cNvPr>
            <xdr14:cNvContentPartPr/>
          </xdr14:nvContentPartPr>
          <xdr14:nvPr macro=""/>
          <xdr14:xfrm>
            <a:off x="4933800" y="3305434"/>
            <a:ext cx="360" cy="36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07D54D6C-3212-405C-8E1F-3AF876A897B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4925160" y="3296434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514350</xdr:colOff>
      <xdr:row>46</xdr:row>
      <xdr:rowOff>44389</xdr:rowOff>
    </xdr:from>
    <xdr:to>
      <xdr:col>22</xdr:col>
      <xdr:colOff>516314</xdr:colOff>
      <xdr:row>49</xdr:row>
      <xdr:rowOff>39118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2A993E-2DA2-4A4A-BB0B-594CF801E1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636250" y="8661339"/>
          <a:ext cx="7218739" cy="77181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24</xdr:col>
      <xdr:colOff>538902</xdr:colOff>
      <xdr:row>43</xdr:row>
      <xdr:rowOff>133350</xdr:rowOff>
    </xdr:from>
    <xdr:to>
      <xdr:col>34</xdr:col>
      <xdr:colOff>58577</xdr:colOff>
      <xdr:row>50</xdr:row>
      <xdr:rowOff>33321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317A9CC-618D-4090-BD6B-38BA9FC883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731652" y="8188325"/>
          <a:ext cx="7212700" cy="1712896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>
    <xdr:from>
      <xdr:col>21</xdr:col>
      <xdr:colOff>418351</xdr:colOff>
      <xdr:row>49</xdr:row>
      <xdr:rowOff>134470</xdr:rowOff>
    </xdr:from>
    <xdr:to>
      <xdr:col>23</xdr:col>
      <xdr:colOff>386521</xdr:colOff>
      <xdr:row>52</xdr:row>
      <xdr:rowOff>126999</xdr:rowOff>
    </xdr:to>
    <xdr:sp macro="" textlink="">
      <xdr:nvSpPr>
        <xdr:cNvPr id="5" name="Right Brace 4">
          <a:extLst>
            <a:ext uri="{FF2B5EF4-FFF2-40B4-BE49-F238E27FC236}">
              <a16:creationId xmlns:a16="http://schemas.microsoft.com/office/drawing/2014/main" id="{AFB12EC2-6BAE-43AE-B15C-BAE5EA6C95B4}"/>
            </a:ext>
          </a:extLst>
        </xdr:cNvPr>
        <xdr:cNvSpPr/>
      </xdr:nvSpPr>
      <xdr:spPr>
        <a:xfrm rot="5400000">
          <a:off x="16419284" y="8577862"/>
          <a:ext cx="554504" cy="2025570"/>
        </a:xfrm>
        <a:prstGeom prst="rightBrac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16</xdr:col>
      <xdr:colOff>529166</xdr:colOff>
      <xdr:row>49</xdr:row>
      <xdr:rowOff>63501</xdr:rowOff>
    </xdr:from>
    <xdr:to>
      <xdr:col>18</xdr:col>
      <xdr:colOff>52916</xdr:colOff>
      <xdr:row>52</xdr:row>
      <xdr:rowOff>56030</xdr:rowOff>
    </xdr:to>
    <xdr:sp macro="" textlink="">
      <xdr:nvSpPr>
        <xdr:cNvPr id="6" name="Right Brace 5">
          <a:extLst>
            <a:ext uri="{FF2B5EF4-FFF2-40B4-BE49-F238E27FC236}">
              <a16:creationId xmlns:a16="http://schemas.microsoft.com/office/drawing/2014/main" id="{B7F4F1B1-28E9-4B53-860E-81FD9F545EB3}"/>
            </a:ext>
          </a:extLst>
        </xdr:cNvPr>
        <xdr:cNvSpPr/>
      </xdr:nvSpPr>
      <xdr:spPr>
        <a:xfrm rot="5400000">
          <a:off x="12840789" y="9148203"/>
          <a:ext cx="554504" cy="742950"/>
        </a:xfrm>
        <a:prstGeom prst="rightBrac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18</xdr:col>
      <xdr:colOff>253999</xdr:colOff>
      <xdr:row>44</xdr:row>
      <xdr:rowOff>74082</xdr:rowOff>
    </xdr:from>
    <xdr:to>
      <xdr:col>20</xdr:col>
      <xdr:colOff>253999</xdr:colOff>
      <xdr:row>47</xdr:row>
      <xdr:rowOff>66611</xdr:rowOff>
    </xdr:to>
    <xdr:sp macro="" textlink="">
      <xdr:nvSpPr>
        <xdr:cNvPr id="7" name="Right Brace 6">
          <a:extLst>
            <a:ext uri="{FF2B5EF4-FFF2-40B4-BE49-F238E27FC236}">
              <a16:creationId xmlns:a16="http://schemas.microsoft.com/office/drawing/2014/main" id="{AAC22191-CD6B-45A8-BA16-0FF91554AD62}"/>
            </a:ext>
          </a:extLst>
        </xdr:cNvPr>
        <xdr:cNvSpPr/>
      </xdr:nvSpPr>
      <xdr:spPr>
        <a:xfrm rot="16200000">
          <a:off x="14022947" y="7984034"/>
          <a:ext cx="554504" cy="1219200"/>
        </a:xfrm>
        <a:prstGeom prst="rightBrac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20</xdr:col>
      <xdr:colOff>476249</xdr:colOff>
      <xdr:row>43</xdr:row>
      <xdr:rowOff>179914</xdr:rowOff>
    </xdr:from>
    <xdr:to>
      <xdr:col>23</xdr:col>
      <xdr:colOff>386522</xdr:colOff>
      <xdr:row>46</xdr:row>
      <xdr:rowOff>172443</xdr:rowOff>
    </xdr:to>
    <xdr:sp macro="" textlink="">
      <xdr:nvSpPr>
        <xdr:cNvPr id="8" name="Right Brace 7">
          <a:extLst>
            <a:ext uri="{FF2B5EF4-FFF2-40B4-BE49-F238E27FC236}">
              <a16:creationId xmlns:a16="http://schemas.microsoft.com/office/drawing/2014/main" id="{4787B5DD-C109-4C66-91C5-8B0C629AD13D}"/>
            </a:ext>
          </a:extLst>
        </xdr:cNvPr>
        <xdr:cNvSpPr/>
      </xdr:nvSpPr>
      <xdr:spPr>
        <a:xfrm rot="16200000">
          <a:off x="16143434" y="7223504"/>
          <a:ext cx="554504" cy="2577273"/>
        </a:xfrm>
        <a:prstGeom prst="rightBrac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raining_final(4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ackFormul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"/>
      <sheetName val="preprocess_and_diagnostics"/>
      <sheetName val="chlp"/>
      <sheetName val="chlr"/>
      <sheetName val="bf"/>
      <sheetName val="MW"/>
      <sheetName val="references"/>
      <sheetName val="database_example"/>
    </sheetNames>
    <sheetDataSet>
      <sheetData sheetId="0">
        <row r="5">
          <cell r="B5">
            <v>2009</v>
          </cell>
        </row>
        <row r="6">
          <cell r="B6">
            <v>2010</v>
          </cell>
        </row>
        <row r="7">
          <cell r="B7">
            <v>2011</v>
          </cell>
          <cell r="Y7">
            <v>2009</v>
          </cell>
          <cell r="Z7">
            <v>2010</v>
          </cell>
          <cell r="AA7">
            <v>2011</v>
          </cell>
          <cell r="AB7">
            <v>2012</v>
          </cell>
          <cell r="AC7">
            <v>2013</v>
          </cell>
          <cell r="AD7">
            <v>2014</v>
          </cell>
          <cell r="AE7">
            <v>2015</v>
          </cell>
          <cell r="AF7">
            <v>2016</v>
          </cell>
          <cell r="AG7">
            <v>2017</v>
          </cell>
          <cell r="AH7">
            <v>2018</v>
          </cell>
          <cell r="AI7">
            <v>2019</v>
          </cell>
          <cell r="AJ7">
            <v>2020</v>
          </cell>
        </row>
        <row r="8">
          <cell r="B8">
            <v>2012</v>
          </cell>
        </row>
        <row r="9">
          <cell r="B9">
            <v>2013</v>
          </cell>
        </row>
        <row r="10">
          <cell r="B10">
            <v>2014</v>
          </cell>
        </row>
        <row r="11">
          <cell r="B11">
            <v>2015</v>
          </cell>
        </row>
        <row r="12">
          <cell r="B12">
            <v>2016</v>
          </cell>
        </row>
        <row r="13">
          <cell r="B13">
            <v>2017</v>
          </cell>
        </row>
        <row r="14">
          <cell r="B14">
            <v>2018</v>
          </cell>
        </row>
        <row r="15">
          <cell r="B15">
            <v>2019</v>
          </cell>
        </row>
        <row r="16">
          <cell r="B16">
            <v>2020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k_Metodo1"/>
      <sheetName val="Mack_Metodo 2"/>
    </sheetNames>
    <sheetDataSet>
      <sheetData sheetId="0"/>
      <sheetData sheetId="1">
        <row r="59">
          <cell r="AD59">
            <v>0</v>
          </cell>
        </row>
        <row r="60">
          <cell r="AD60">
            <v>47.053705075477168</v>
          </cell>
        </row>
        <row r="61">
          <cell r="AD61">
            <v>136.24662142354634</v>
          </cell>
        </row>
        <row r="62">
          <cell r="AD62">
            <v>394.48820777829928</v>
          </cell>
        </row>
        <row r="63">
          <cell r="AD63">
            <v>454.88808316986808</v>
          </cell>
        </row>
        <row r="64">
          <cell r="AD64">
            <v>562.43711977749706</v>
          </cell>
        </row>
        <row r="65">
          <cell r="AD65">
            <v>795.41872483807299</v>
          </cell>
        </row>
        <row r="66">
          <cell r="AD66">
            <v>1084.7862795829024</v>
          </cell>
        </row>
        <row r="67">
          <cell r="AD67">
            <v>1458.1786429384333</v>
          </cell>
        </row>
        <row r="68">
          <cell r="AD68">
            <v>2057.2667880670829</v>
          </cell>
        </row>
        <row r="69">
          <cell r="AD69">
            <v>3024.6781569736745</v>
          </cell>
        </row>
        <row r="70">
          <cell r="AD70">
            <v>5986.2296398031467</v>
          </cell>
        </row>
        <row r="72">
          <cell r="AD72">
            <v>8296.2607163959237</v>
          </cell>
        </row>
      </sheetData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2-10-09T19:58:55.242"/>
    </inkml:context>
    <inkml:brush xml:id="br0">
      <inkml:brushProperty name="width" value="0.05" units="cm"/>
      <inkml:brushProperty name="height" value="0.05" units="cm"/>
      <inkml:brushProperty name="color" value="#004F8B"/>
      <inkml:brushProperty name="ignorePressure" value="1"/>
    </inkml:brush>
  </inkml:definitions>
  <inkml:trace contextRef="#ctx0" brushRef="#br0">1 0,'0'0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10-09T19:58:55.258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0 0 24575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2-11-06T08:52:09.218"/>
    </inkml:context>
    <inkml:brush xml:id="br0">
      <inkml:brushProperty name="width" value="0.05" units="cm"/>
      <inkml:brushProperty name="height" value="0.05" units="cm"/>
      <inkml:brushProperty name="color" value="#004F8B"/>
      <inkml:brushProperty name="ignorePressure" value="1"/>
    </inkml:brush>
  </inkml:definitions>
  <inkml:trace contextRef="#ctx0" brushRef="#br0">1 0,'0'0</inkml:trace>
</inkml: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54196-34B8-4013-AE0D-60C8411507C4}">
  <sheetPr>
    <tabColor theme="5" tint="0.79998168889431442"/>
  </sheetPr>
  <dimension ref="A1:AF104"/>
  <sheetViews>
    <sheetView tabSelected="1" zoomScaleNormal="100" workbookViewId="0">
      <selection sqref="A1:N1"/>
    </sheetView>
  </sheetViews>
  <sheetFormatPr defaultRowHeight="12.25"/>
  <cols>
    <col min="1" max="1" width="7.83203125" style="1" customWidth="1"/>
    <col min="2" max="2" width="16.02734375" style="1" customWidth="1"/>
    <col min="3" max="3" width="14.1640625" style="1" bestFit="1" customWidth="1"/>
    <col min="4" max="4" width="8.75" style="1" bestFit="1" customWidth="1"/>
    <col min="5" max="5" width="20.3046875" style="1" bestFit="1" customWidth="1"/>
    <col min="6" max="14" width="9.75" style="1" bestFit="1" customWidth="1"/>
    <col min="15" max="15" width="7.109375" style="1" customWidth="1"/>
    <col min="16" max="16" width="8.609375" style="1" bestFit="1" customWidth="1"/>
    <col min="17" max="21" width="8.6640625" style="1"/>
    <col min="22" max="22" width="7.77734375" style="1" bestFit="1" customWidth="1"/>
    <col min="23" max="23" width="11.25" style="1" bestFit="1" customWidth="1"/>
    <col min="24" max="24" width="7.609375" style="1" bestFit="1" customWidth="1"/>
    <col min="25" max="25" width="10.25" style="1" bestFit="1" customWidth="1"/>
    <col min="26" max="26" width="9.27734375" style="1" bestFit="1" customWidth="1"/>
    <col min="27" max="27" width="10.25" style="1" bestFit="1" customWidth="1"/>
    <col min="28" max="28" width="8.6640625" style="1"/>
    <col min="29" max="29" width="15.77734375" style="1" bestFit="1" customWidth="1"/>
    <col min="30" max="30" width="8.75" style="1" bestFit="1" customWidth="1"/>
    <col min="31" max="31" width="7.609375" style="1" customWidth="1"/>
    <col min="32" max="32" width="11.94140625" style="1" bestFit="1" customWidth="1"/>
    <col min="33" max="16384" width="8.6640625" style="1"/>
  </cols>
  <sheetData>
    <row r="1" spans="1:30" ht="16">
      <c r="A1" s="102" t="s">
        <v>81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U1" s="101" t="s">
        <v>37</v>
      </c>
      <c r="V1" s="101"/>
      <c r="W1" s="101"/>
      <c r="X1" s="101"/>
      <c r="Y1" s="101"/>
      <c r="Z1" s="101"/>
      <c r="AA1" s="101"/>
      <c r="AB1" s="101"/>
      <c r="AC1" s="101"/>
      <c r="AD1" s="101"/>
    </row>
    <row r="2" spans="1:30" ht="24.5">
      <c r="T2" s="5" t="s">
        <v>3</v>
      </c>
      <c r="U2" s="27" t="s">
        <v>10</v>
      </c>
      <c r="V2" s="27" t="s">
        <v>9</v>
      </c>
      <c r="W2" s="27" t="s">
        <v>1</v>
      </c>
      <c r="X2" s="27" t="s">
        <v>8</v>
      </c>
      <c r="Y2" s="28" t="s">
        <v>20</v>
      </c>
      <c r="Z2" s="27" t="s">
        <v>21</v>
      </c>
      <c r="AA2" s="28" t="s">
        <v>26</v>
      </c>
      <c r="AB2" s="28" t="s">
        <v>7</v>
      </c>
      <c r="AC2" s="27" t="s">
        <v>6</v>
      </c>
      <c r="AD2" s="27" t="s">
        <v>27</v>
      </c>
    </row>
    <row r="3" spans="1:30">
      <c r="B3" s="2"/>
      <c r="C3" s="2"/>
      <c r="D3" s="2" t="s">
        <v>5</v>
      </c>
      <c r="E3" s="3" t="s">
        <v>15</v>
      </c>
      <c r="F3" s="2"/>
      <c r="G3" s="2"/>
      <c r="H3" s="2"/>
      <c r="I3" s="2"/>
      <c r="J3" s="2"/>
      <c r="K3" s="2"/>
      <c r="L3" s="2"/>
      <c r="M3" s="2"/>
      <c r="N3" s="2"/>
      <c r="R3" s="2"/>
      <c r="T3" s="5"/>
      <c r="U3" s="27"/>
      <c r="V3" s="27"/>
      <c r="W3" s="27"/>
      <c r="X3" s="27"/>
      <c r="Y3" s="28"/>
      <c r="Z3" s="27" t="s">
        <v>22</v>
      </c>
      <c r="AA3" s="28"/>
      <c r="AB3" s="28"/>
      <c r="AC3" s="27"/>
      <c r="AD3" s="27"/>
    </row>
    <row r="4" spans="1:30">
      <c r="B4" s="2"/>
      <c r="C4" s="4" t="s">
        <v>4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T4" s="31">
        <v>0</v>
      </c>
      <c r="U4" s="32">
        <f>N6</f>
        <v>86842.7012923</v>
      </c>
      <c r="V4" s="33">
        <f t="shared" ref="V4:V15" si="0">N44</f>
        <v>86842.7012923</v>
      </c>
      <c r="W4" s="34">
        <f t="shared" ref="W4:W15" si="1">V4-U4</f>
        <v>0</v>
      </c>
      <c r="X4" s="35">
        <v>0</v>
      </c>
      <c r="Y4" s="36" t="str">
        <f t="shared" ref="Y4:Y15" si="2">IFERROR(X4/W4,"")</f>
        <v/>
      </c>
      <c r="Z4" s="35">
        <v>0</v>
      </c>
      <c r="AA4" s="36" t="str">
        <f t="shared" ref="AA4:AA15" si="3">IFERROR(Z4/W4,"")</f>
        <v/>
      </c>
      <c r="AB4" s="33">
        <v>0</v>
      </c>
      <c r="AC4" s="37">
        <f t="shared" ref="AC4:AC15" si="4">SUMSQ(X4,Z4)^0.5</f>
        <v>0</v>
      </c>
      <c r="AD4" s="36" t="str">
        <f t="shared" ref="AD4:AD15" si="5">IFERROR(AC4/W4, "")</f>
        <v/>
      </c>
    </row>
    <row r="5" spans="1:30">
      <c r="B5" s="6" t="s">
        <v>16</v>
      </c>
      <c r="C5" s="7">
        <v>0</v>
      </c>
      <c r="D5" s="7">
        <v>1</v>
      </c>
      <c r="E5" s="7">
        <v>2</v>
      </c>
      <c r="F5" s="7">
        <v>3</v>
      </c>
      <c r="G5" s="7">
        <v>4</v>
      </c>
      <c r="H5" s="7">
        <v>5</v>
      </c>
      <c r="I5" s="7">
        <v>6</v>
      </c>
      <c r="J5" s="7">
        <v>7</v>
      </c>
      <c r="K5" s="7">
        <v>8</v>
      </c>
      <c r="L5" s="7">
        <v>9</v>
      </c>
      <c r="M5" s="7">
        <v>10</v>
      </c>
      <c r="N5" s="7">
        <v>11</v>
      </c>
      <c r="T5" s="31">
        <f>T4+1</f>
        <v>1</v>
      </c>
      <c r="U5" s="32">
        <f>M7</f>
        <v>96325.02158249999</v>
      </c>
      <c r="V5" s="33">
        <f t="shared" si="0"/>
        <v>98358.304688348959</v>
      </c>
      <c r="W5" s="34">
        <f t="shared" si="1"/>
        <v>2033.2831058489683</v>
      </c>
      <c r="X5" s="35">
        <f t="shared" ref="X5:X15" si="6">(V5^2*O80)^0.5</f>
        <v>32.220985344788097</v>
      </c>
      <c r="Y5" s="36">
        <f t="shared" si="2"/>
        <v>1.5846777682901509E-2</v>
      </c>
      <c r="Z5" s="35">
        <f t="shared" ref="Z5:Z15" si="7">(V5^2*HLOOKUP(11-T5,$D$93:$N$95,3,FALSE))^0.5</f>
        <v>34.290804375822624</v>
      </c>
      <c r="AA5" s="36">
        <f t="shared" si="3"/>
        <v>1.6864746614566981E-2</v>
      </c>
      <c r="AB5" s="33">
        <f>IF(T5&lt;11,HLOOKUP(11-T5,$D$93:$N$95,3,FALSE)*V5*SUM(V6:$V$15),0)</f>
        <v>16747.219690567039</v>
      </c>
      <c r="AC5" s="37">
        <f t="shared" si="4"/>
        <v>47.053705075477161</v>
      </c>
      <c r="AD5" s="40">
        <f t="shared" si="5"/>
        <v>2.3141738078736734E-2</v>
      </c>
    </row>
    <row r="6" spans="1:30">
      <c r="B6" s="31">
        <v>0</v>
      </c>
      <c r="C6" s="8">
        <v>28446.238239999999</v>
      </c>
      <c r="D6" s="8">
        <v>57697.431620000003</v>
      </c>
      <c r="E6" s="8">
        <v>70161.415410000001</v>
      </c>
      <c r="F6" s="8">
        <v>75305.500698999997</v>
      </c>
      <c r="G6" s="8">
        <v>78032.448521999991</v>
      </c>
      <c r="H6" s="8">
        <v>80391.810983999996</v>
      </c>
      <c r="I6" s="8">
        <v>81725.667088999995</v>
      </c>
      <c r="J6" s="8">
        <v>82964.097062999994</v>
      </c>
      <c r="K6" s="8">
        <v>83905.537538299992</v>
      </c>
      <c r="L6" s="8">
        <v>84765.601429799994</v>
      </c>
      <c r="M6" s="8">
        <v>85047.471108499987</v>
      </c>
      <c r="N6" s="8">
        <v>86842.7012923</v>
      </c>
      <c r="T6" s="31">
        <f t="shared" ref="T6:T15" si="8">T5+1</f>
        <v>2</v>
      </c>
      <c r="U6" s="32">
        <f>L8</f>
        <v>105007.48487610002</v>
      </c>
      <c r="V6" s="33">
        <f t="shared" si="0"/>
        <v>107662.20035267336</v>
      </c>
      <c r="W6" s="34">
        <f t="shared" si="1"/>
        <v>2654.715476573343</v>
      </c>
      <c r="X6" s="35">
        <f t="shared" si="6"/>
        <v>106.14053288039322</v>
      </c>
      <c r="Y6" s="36">
        <f t="shared" si="2"/>
        <v>3.9981886502352196E-2</v>
      </c>
      <c r="Z6" s="35">
        <f t="shared" si="7"/>
        <v>85.424405934120003</v>
      </c>
      <c r="AA6" s="36">
        <f t="shared" si="3"/>
        <v>3.217836588815319E-2</v>
      </c>
      <c r="AB6" s="33">
        <f>IF(T6&lt;11,HLOOKUP(11-T6,$D$93:$N$95,3,FALSE)*V6*SUM(V7:$V$15),0)</f>
        <v>87653.571774438838</v>
      </c>
      <c r="AC6" s="37">
        <f t="shared" si="4"/>
        <v>136.24662142354632</v>
      </c>
      <c r="AD6" s="40">
        <f t="shared" si="5"/>
        <v>5.1322494868418403E-2</v>
      </c>
    </row>
    <row r="7" spans="1:30">
      <c r="B7" s="31">
        <f>B6+1</f>
        <v>1</v>
      </c>
      <c r="C7" s="8">
        <v>31963.048289999999</v>
      </c>
      <c r="D7" s="8">
        <v>68069.343499999988</v>
      </c>
      <c r="E7" s="8">
        <v>81510.676609999995</v>
      </c>
      <c r="F7" s="8">
        <v>87378.911242000002</v>
      </c>
      <c r="G7" s="8">
        <v>90260.883564999996</v>
      </c>
      <c r="H7" s="8">
        <v>92682.871461000002</v>
      </c>
      <c r="I7" s="8">
        <v>93600.875500099995</v>
      </c>
      <c r="J7" s="8">
        <v>94676.853840099997</v>
      </c>
      <c r="K7" s="8">
        <v>95410.594865599996</v>
      </c>
      <c r="L7" s="8">
        <v>95868.750931999995</v>
      </c>
      <c r="M7" s="8">
        <v>96325.02158249999</v>
      </c>
      <c r="N7" s="8" t="s">
        <v>5</v>
      </c>
      <c r="T7" s="31">
        <f t="shared" si="8"/>
        <v>3</v>
      </c>
      <c r="U7" s="32">
        <f>K9</f>
        <v>114674.41313589999</v>
      </c>
      <c r="V7" s="33">
        <f t="shared" si="0"/>
        <v>118351.45932970554</v>
      </c>
      <c r="W7" s="34">
        <f t="shared" si="1"/>
        <v>3677.0461938055523</v>
      </c>
      <c r="X7" s="35">
        <f t="shared" si="6"/>
        <v>328.80966062344646</v>
      </c>
      <c r="Y7" s="36">
        <f t="shared" si="2"/>
        <v>8.9422227324031933E-2</v>
      </c>
      <c r="Z7" s="35">
        <f t="shared" si="7"/>
        <v>217.95676900896802</v>
      </c>
      <c r="AA7" s="36">
        <f t="shared" si="3"/>
        <v>5.9274960803088E-2</v>
      </c>
      <c r="AB7" s="33">
        <f>IF(T7&lt;11,HLOOKUP(11-T7,$D$93:$N$95,3,FALSE)*V7*SUM(V8:$V$15),0)</f>
        <v>471576.93129331543</v>
      </c>
      <c r="AC7" s="37">
        <f t="shared" si="4"/>
        <v>394.48820777829934</v>
      </c>
      <c r="AD7" s="40">
        <f t="shared" si="5"/>
        <v>0.10728399562748611</v>
      </c>
    </row>
    <row r="8" spans="1:30">
      <c r="B8" s="31">
        <f t="shared" ref="B8:B17" si="9">B7+1</f>
        <v>2</v>
      </c>
      <c r="C8" s="8">
        <v>37774.740230000003</v>
      </c>
      <c r="D8" s="8">
        <v>77900.131010000012</v>
      </c>
      <c r="E8" s="8">
        <v>90851.307410000009</v>
      </c>
      <c r="F8" s="8">
        <v>96885.06287400001</v>
      </c>
      <c r="G8" s="8">
        <v>99894.718730000008</v>
      </c>
      <c r="H8" s="8">
        <v>101159.11499700001</v>
      </c>
      <c r="I8" s="8">
        <v>102409.06751400001</v>
      </c>
      <c r="J8" s="8">
        <v>103543.77365700001</v>
      </c>
      <c r="K8" s="8">
        <v>104448.14482240002</v>
      </c>
      <c r="L8" s="8">
        <v>105007.48487610002</v>
      </c>
      <c r="M8" s="8" t="s">
        <v>5</v>
      </c>
      <c r="N8" s="8" t="s">
        <v>5</v>
      </c>
      <c r="T8" s="31">
        <f t="shared" si="8"/>
        <v>4</v>
      </c>
      <c r="U8" s="32">
        <f>J10</f>
        <v>118289.46107000002</v>
      </c>
      <c r="V8" s="33">
        <f t="shared" si="0"/>
        <v>123149.4257342979</v>
      </c>
      <c r="W8" s="34">
        <f t="shared" si="1"/>
        <v>4859.9646642978769</v>
      </c>
      <c r="X8" s="35">
        <f t="shared" si="6"/>
        <v>381.55064250659308</v>
      </c>
      <c r="Y8" s="36">
        <f t="shared" si="2"/>
        <v>7.850893347219759E-2</v>
      </c>
      <c r="Z8" s="35">
        <f t="shared" si="7"/>
        <v>247.67372774027325</v>
      </c>
      <c r="AA8" s="36">
        <f t="shared" si="3"/>
        <v>5.0962042905317063E-2</v>
      </c>
      <c r="AB8" s="33">
        <f>IF(T8&lt;11,HLOOKUP(11-T8,$D$93:$N$95,3,FALSE)*V8*SUM(V9:$V$15),0)</f>
        <v>523869.33975343953</v>
      </c>
      <c r="AC8" s="37">
        <f t="shared" si="4"/>
        <v>454.88808316986825</v>
      </c>
      <c r="AD8" s="40">
        <f t="shared" si="5"/>
        <v>9.359905155515906E-2</v>
      </c>
    </row>
    <row r="9" spans="1:30">
      <c r="B9" s="31">
        <f t="shared" si="9"/>
        <v>3</v>
      </c>
      <c r="C9" s="8">
        <v>40417.57213</v>
      </c>
      <c r="D9" s="8">
        <v>84916.51436999999</v>
      </c>
      <c r="E9" s="8">
        <v>100286.93799999999</v>
      </c>
      <c r="F9" s="8">
        <v>105880.79154599999</v>
      </c>
      <c r="G9" s="8">
        <v>108496.307886</v>
      </c>
      <c r="H9" s="8">
        <v>110480.61967799999</v>
      </c>
      <c r="I9" s="8">
        <v>112617.42437699999</v>
      </c>
      <c r="J9" s="8">
        <v>113801.77980499998</v>
      </c>
      <c r="K9" s="8">
        <v>114674.41313589999</v>
      </c>
      <c r="L9" s="8"/>
      <c r="M9" s="8" t="s">
        <v>5</v>
      </c>
      <c r="N9" s="8" t="s">
        <v>5</v>
      </c>
      <c r="T9" s="31">
        <f t="shared" si="8"/>
        <v>5</v>
      </c>
      <c r="U9" s="32">
        <f>I11</f>
        <v>132138.57105614999</v>
      </c>
      <c r="V9" s="33">
        <f t="shared" si="0"/>
        <v>139128.23843179303</v>
      </c>
      <c r="W9" s="34">
        <f t="shared" si="1"/>
        <v>6989.6673756430391</v>
      </c>
      <c r="X9" s="35">
        <f t="shared" si="6"/>
        <v>472.06329566207683</v>
      </c>
      <c r="Y9" s="36">
        <f t="shared" si="2"/>
        <v>6.7537304751736874E-2</v>
      </c>
      <c r="Z9" s="35">
        <f t="shared" si="7"/>
        <v>305.76422058878222</v>
      </c>
      <c r="AA9" s="36">
        <f t="shared" si="3"/>
        <v>4.3745174720943338E-2</v>
      </c>
      <c r="AB9" s="33">
        <f>IF(T9&lt;11,HLOOKUP(11-T9,$D$93:$N$95,3,FALSE)*V9*SUM(V10:$V$15),0)</f>
        <v>613238.25191398128</v>
      </c>
      <c r="AC9" s="37">
        <f t="shared" si="4"/>
        <v>562.43711977749729</v>
      </c>
      <c r="AD9" s="40">
        <f t="shared" si="5"/>
        <v>8.0466936343412745E-2</v>
      </c>
    </row>
    <row r="10" spans="1:30">
      <c r="B10" s="31">
        <f t="shared" si="9"/>
        <v>4</v>
      </c>
      <c r="C10" s="8">
        <v>44116.085709999999</v>
      </c>
      <c r="D10" s="8">
        <v>89606.275280000002</v>
      </c>
      <c r="E10" s="8">
        <v>104945.70165</v>
      </c>
      <c r="F10" s="8">
        <v>110423.77840700001</v>
      </c>
      <c r="G10" s="8">
        <v>112964.41806500001</v>
      </c>
      <c r="H10" s="8">
        <v>115870.78669200001</v>
      </c>
      <c r="I10" s="8">
        <v>117165.12471500001</v>
      </c>
      <c r="J10" s="8">
        <v>118289.46107000002</v>
      </c>
      <c r="K10" s="8"/>
      <c r="L10" s="8"/>
      <c r="M10" s="8" t="s">
        <v>5</v>
      </c>
      <c r="N10" s="8" t="s">
        <v>5</v>
      </c>
      <c r="T10" s="31">
        <f t="shared" si="8"/>
        <v>6</v>
      </c>
      <c r="U10" s="32">
        <f>H12</f>
        <v>138291.0141644</v>
      </c>
      <c r="V10" s="33">
        <f t="shared" si="0"/>
        <v>147730.79127024303</v>
      </c>
      <c r="W10" s="34">
        <f t="shared" si="1"/>
        <v>9439.7771058430371</v>
      </c>
      <c r="X10" s="35">
        <f t="shared" si="6"/>
        <v>689.19770710613034</v>
      </c>
      <c r="Y10" s="36">
        <f t="shared" si="2"/>
        <v>7.3009955571888496E-2</v>
      </c>
      <c r="Z10" s="35">
        <f t="shared" si="7"/>
        <v>397.11140545529355</v>
      </c>
      <c r="AA10" s="36">
        <f t="shared" si="3"/>
        <v>4.2067879463964182E-2</v>
      </c>
      <c r="AB10" s="33">
        <f>IF(T10&lt;11,HLOOKUP(11-T10,$D$93:$N$95,3,FALSE)*V10*SUM(V11:$V$15),0)</f>
        <v>816450.41592571209</v>
      </c>
      <c r="AC10" s="37">
        <f t="shared" si="4"/>
        <v>795.41872483807299</v>
      </c>
      <c r="AD10" s="40">
        <f t="shared" si="5"/>
        <v>8.4262447716665301E-2</v>
      </c>
    </row>
    <row r="11" spans="1:30">
      <c r="B11" s="31">
        <f t="shared" si="9"/>
        <v>5</v>
      </c>
      <c r="C11" s="8">
        <v>50294.259669999999</v>
      </c>
      <c r="D11" s="8">
        <v>98334.581229999996</v>
      </c>
      <c r="E11" s="8">
        <v>116177.48298999999</v>
      </c>
      <c r="F11" s="8">
        <v>123212.68218399999</v>
      </c>
      <c r="G11" s="8">
        <v>127146.28824699999</v>
      </c>
      <c r="H11" s="8">
        <v>129871.97118299999</v>
      </c>
      <c r="I11" s="8">
        <v>132138.57105614999</v>
      </c>
      <c r="J11" s="8"/>
      <c r="K11" s="8"/>
      <c r="L11" s="8"/>
      <c r="M11" s="8" t="s">
        <v>5</v>
      </c>
      <c r="N11" s="8" t="s">
        <v>5</v>
      </c>
      <c r="T11" s="31">
        <f t="shared" si="8"/>
        <v>7</v>
      </c>
      <c r="U11" s="32">
        <f>G13</f>
        <v>129900.41042400002</v>
      </c>
      <c r="V11" s="33">
        <f t="shared" si="0"/>
        <v>141900.76720480141</v>
      </c>
      <c r="W11" s="34">
        <f t="shared" si="1"/>
        <v>12000.35678080139</v>
      </c>
      <c r="X11" s="35">
        <f t="shared" si="6"/>
        <v>972.90569875580002</v>
      </c>
      <c r="Y11" s="36">
        <f t="shared" si="2"/>
        <v>8.1073064453574428E-2</v>
      </c>
      <c r="Z11" s="35">
        <f t="shared" si="7"/>
        <v>479.80805922764995</v>
      </c>
      <c r="AA11" s="36">
        <f t="shared" si="3"/>
        <v>3.9982816177204367E-2</v>
      </c>
      <c r="AB11" s="33">
        <f>IF(T11&lt;11,HLOOKUP(11-T11,$D$93:$N$95,3,FALSE)*V11*SUM(V12:$V$15),0)</f>
        <v>1010654.6998700991</v>
      </c>
      <c r="AC11" s="37">
        <f t="shared" si="4"/>
        <v>1084.7862795829028</v>
      </c>
      <c r="AD11" s="40">
        <f t="shared" si="5"/>
        <v>9.0396168997107118E-2</v>
      </c>
    </row>
    <row r="12" spans="1:30">
      <c r="B12" s="31">
        <f t="shared" si="9"/>
        <v>6</v>
      </c>
      <c r="C12" s="8">
        <v>49619.804179999999</v>
      </c>
      <c r="D12" s="8">
        <v>99611.161829999997</v>
      </c>
      <c r="E12" s="8">
        <v>119181.36549</v>
      </c>
      <c r="F12" s="8">
        <v>129228.43264</v>
      </c>
      <c r="G12" s="8">
        <v>134978.322697</v>
      </c>
      <c r="H12" s="8">
        <v>138291.0141644</v>
      </c>
      <c r="I12" s="8"/>
      <c r="J12" s="8"/>
      <c r="K12" s="8"/>
      <c r="L12" s="8"/>
      <c r="M12" s="8" t="s">
        <v>5</v>
      </c>
      <c r="N12" s="8" t="s">
        <v>5</v>
      </c>
      <c r="P12" s="9"/>
      <c r="T12" s="31">
        <f t="shared" si="8"/>
        <v>8</v>
      </c>
      <c r="U12" s="32">
        <f>F14</f>
        <v>124786.08131000001</v>
      </c>
      <c r="V12" s="33">
        <f t="shared" si="0"/>
        <v>140813.42524903908</v>
      </c>
      <c r="W12" s="34">
        <f t="shared" si="1"/>
        <v>16027.34393903907</v>
      </c>
      <c r="X12" s="35">
        <f t="shared" si="6"/>
        <v>1333.0766030912625</v>
      </c>
      <c r="Y12" s="36">
        <f t="shared" si="2"/>
        <v>8.3175141692952773E-2</v>
      </c>
      <c r="Z12" s="35">
        <f t="shared" si="7"/>
        <v>590.92446641887477</v>
      </c>
      <c r="AA12" s="36">
        <f t="shared" si="3"/>
        <v>3.6869768856679572E-2</v>
      </c>
      <c r="AB12" s="33">
        <f>IF(T12&lt;11,HLOOKUP(11-T12,$D$93:$N$95,3,FALSE)*V12*SUM(V13:$V$15),0)</f>
        <v>1195608.5828688904</v>
      </c>
      <c r="AC12" s="37">
        <f t="shared" si="4"/>
        <v>1458.1786429384333</v>
      </c>
      <c r="AD12" s="40">
        <f t="shared" si="5"/>
        <v>9.0980679548944607E-2</v>
      </c>
    </row>
    <row r="13" spans="1:30">
      <c r="B13" s="31">
        <f t="shared" si="9"/>
        <v>7</v>
      </c>
      <c r="C13" s="8">
        <v>46409.720990000002</v>
      </c>
      <c r="D13" s="8">
        <v>96104.015979999996</v>
      </c>
      <c r="E13" s="8">
        <v>116984.68296000001</v>
      </c>
      <c r="F13" s="8">
        <v>125186.24217400001</v>
      </c>
      <c r="G13" s="8">
        <v>129900.41042400002</v>
      </c>
      <c r="H13" s="8"/>
      <c r="I13" s="8"/>
      <c r="J13" s="8"/>
      <c r="K13" s="8"/>
      <c r="L13" s="8"/>
      <c r="M13" s="8" t="s">
        <v>5</v>
      </c>
      <c r="N13" s="8" t="s">
        <v>5</v>
      </c>
      <c r="P13" s="9"/>
      <c r="T13" s="31">
        <f t="shared" si="8"/>
        <v>9</v>
      </c>
      <c r="U13" s="32">
        <f>E15</f>
        <v>121799.75327999999</v>
      </c>
      <c r="V13" s="33">
        <f t="shared" si="0"/>
        <v>146781.26170555825</v>
      </c>
      <c r="W13" s="34">
        <f t="shared" si="1"/>
        <v>24981.508425558262</v>
      </c>
      <c r="X13" s="35">
        <f t="shared" si="6"/>
        <v>1902.1443645298461</v>
      </c>
      <c r="Y13" s="36">
        <f t="shared" si="2"/>
        <v>7.6142094069219082E-2</v>
      </c>
      <c r="Z13" s="35">
        <f t="shared" si="7"/>
        <v>783.7049532644279</v>
      </c>
      <c r="AA13" s="36">
        <f t="shared" si="3"/>
        <v>3.1371402395486629E-2</v>
      </c>
      <c r="AB13" s="33">
        <f>IF(T13&lt;11,HLOOKUP(11-T13,$D$93:$N$95,3,FALSE)*V13*SUM(V14:$V$15),0)</f>
        <v>1403260.866608307</v>
      </c>
      <c r="AC13" s="37">
        <f t="shared" si="4"/>
        <v>2057.2667880670829</v>
      </c>
      <c r="AD13" s="40">
        <f t="shared" si="5"/>
        <v>8.2351583940476522E-2</v>
      </c>
    </row>
    <row r="14" spans="1:30">
      <c r="B14" s="31">
        <f t="shared" si="9"/>
        <v>8</v>
      </c>
      <c r="C14" s="8">
        <v>48294.757790000003</v>
      </c>
      <c r="D14" s="8">
        <v>97648.34739000001</v>
      </c>
      <c r="E14" s="8">
        <v>115952.59353000001</v>
      </c>
      <c r="F14" s="8">
        <v>124786.08131000001</v>
      </c>
      <c r="G14" s="8"/>
      <c r="H14" s="8"/>
      <c r="I14" s="8"/>
      <c r="J14" s="8"/>
      <c r="K14" s="8"/>
      <c r="L14" s="8"/>
      <c r="M14" s="8" t="s">
        <v>5</v>
      </c>
      <c r="N14" s="8" t="s">
        <v>5</v>
      </c>
      <c r="T14" s="31">
        <f t="shared" si="8"/>
        <v>10</v>
      </c>
      <c r="U14" s="32">
        <f>D16</f>
        <v>112342</v>
      </c>
      <c r="V14" s="33">
        <f t="shared" si="0"/>
        <v>160933.25674865756</v>
      </c>
      <c r="W14" s="34">
        <f t="shared" si="1"/>
        <v>48591.256748657557</v>
      </c>
      <c r="X14" s="35">
        <f t="shared" si="6"/>
        <v>2811.3667598180295</v>
      </c>
      <c r="Y14" s="36">
        <f t="shared" si="2"/>
        <v>5.7857461361002969E-2</v>
      </c>
      <c r="Z14" s="35">
        <f t="shared" si="7"/>
        <v>1115.7485805789477</v>
      </c>
      <c r="AA14" s="36">
        <f t="shared" si="3"/>
        <v>2.2961920625972958E-2</v>
      </c>
      <c r="AB14" s="33">
        <f>IF(T14&lt;11,HLOOKUP(11-T14,$D$93:$N$95,3,FALSE)*V14*SUM(V15:$V$15),0)</f>
        <v>1349229.1140425073</v>
      </c>
      <c r="AC14" s="37">
        <f t="shared" si="4"/>
        <v>3024.6781569736745</v>
      </c>
      <c r="AD14" s="40">
        <f t="shared" si="5"/>
        <v>6.2247374514700901E-2</v>
      </c>
    </row>
    <row r="15" spans="1:30">
      <c r="B15" s="31">
        <f t="shared" si="9"/>
        <v>9</v>
      </c>
      <c r="C15" s="8">
        <v>52590.220249999998</v>
      </c>
      <c r="D15" s="8">
        <v>103196.04024999999</v>
      </c>
      <c r="E15" s="8">
        <v>121799.75327999999</v>
      </c>
      <c r="F15" s="8"/>
      <c r="G15" s="8"/>
      <c r="H15" s="8"/>
      <c r="I15" s="8"/>
      <c r="J15" s="8"/>
      <c r="K15" s="8"/>
      <c r="L15" s="8"/>
      <c r="M15" s="8" t="s">
        <v>5</v>
      </c>
      <c r="N15" s="8" t="s">
        <v>5</v>
      </c>
      <c r="P15" s="9"/>
      <c r="T15" s="31">
        <f t="shared" si="8"/>
        <v>11</v>
      </c>
      <c r="U15" s="32">
        <f>C17</f>
        <v>60361.276160000001</v>
      </c>
      <c r="V15" s="33">
        <f t="shared" si="0"/>
        <v>174421.01842004477</v>
      </c>
      <c r="W15" s="34">
        <f t="shared" si="1"/>
        <v>114059.74226004476</v>
      </c>
      <c r="X15" s="35">
        <f t="shared" si="6"/>
        <v>5615.5760032770704</v>
      </c>
      <c r="Y15" s="36">
        <f t="shared" si="2"/>
        <v>4.9233637495639089E-2</v>
      </c>
      <c r="Z15" s="35">
        <f t="shared" si="7"/>
        <v>2073.7047648776938</v>
      </c>
      <c r="AA15" s="36">
        <f t="shared" si="3"/>
        <v>1.8180864902796773E-2</v>
      </c>
      <c r="AB15" s="33">
        <f>IF(T15&lt;11,HLOOKUP(11-T15,$D$93:$N$95,3,FALSE)*V15*SUM(V$15:$V16),0)</f>
        <v>0</v>
      </c>
      <c r="AC15" s="37">
        <f t="shared" si="4"/>
        <v>5986.2296398031485</v>
      </c>
      <c r="AD15" s="40">
        <f t="shared" si="5"/>
        <v>5.2483282192196667E-2</v>
      </c>
    </row>
    <row r="16" spans="1:30">
      <c r="B16" s="31">
        <f t="shared" si="9"/>
        <v>10</v>
      </c>
      <c r="C16" s="8">
        <v>58599</v>
      </c>
      <c r="D16" s="8">
        <v>112342</v>
      </c>
      <c r="E16" s="8"/>
      <c r="F16" s="8"/>
      <c r="G16" s="8"/>
      <c r="H16" s="8"/>
      <c r="I16" s="8"/>
      <c r="J16" s="8"/>
      <c r="K16" s="8"/>
      <c r="L16" s="8"/>
      <c r="M16" s="8" t="s">
        <v>5</v>
      </c>
      <c r="N16" s="8" t="s">
        <v>5</v>
      </c>
      <c r="P16" s="9"/>
      <c r="AC16" s="38"/>
      <c r="AD16" s="20"/>
    </row>
    <row r="17" spans="2:32">
      <c r="B17" s="31">
        <f t="shared" si="9"/>
        <v>11</v>
      </c>
      <c r="C17" s="8">
        <v>60361.276160000001</v>
      </c>
      <c r="D17" s="8"/>
      <c r="E17" s="8"/>
      <c r="F17" s="8"/>
      <c r="G17" s="8"/>
      <c r="H17" s="8"/>
      <c r="I17" s="8"/>
      <c r="J17" s="8"/>
      <c r="K17" s="8"/>
      <c r="L17" s="8"/>
      <c r="M17" s="8" t="s">
        <v>5</v>
      </c>
      <c r="N17" s="8" t="s">
        <v>5</v>
      </c>
      <c r="T17" s="31" t="s">
        <v>2</v>
      </c>
      <c r="U17" s="42">
        <f>SUM(U4:U15)</f>
        <v>1340758.1883513499</v>
      </c>
      <c r="V17" s="43">
        <f>SUM(V4:V15)</f>
        <v>1586072.8504274632</v>
      </c>
      <c r="W17" s="44">
        <f>SUM(W4:W15)</f>
        <v>245314.66207611284</v>
      </c>
      <c r="X17" s="45">
        <f>+SUMSQ(X4:X15)^0.5</f>
        <v>6836.9661944176241</v>
      </c>
      <c r="Y17" s="36">
        <f>X17/W17</f>
        <v>2.7870189806658782E-2</v>
      </c>
      <c r="Z17" s="45">
        <f>+SUMSQ(Z4:Z15)^0.5</f>
        <v>2665.9439497713183</v>
      </c>
      <c r="AA17" s="36">
        <f>Z17/W17</f>
        <v>1.0867446434751488E-2</v>
      </c>
      <c r="AB17" s="1" t="s">
        <v>28</v>
      </c>
      <c r="AC17" s="37">
        <f>SQRT(X17^2+Z17^2)</f>
        <v>7338.3488529049719</v>
      </c>
      <c r="AD17" s="41">
        <f>AC17/W17</f>
        <v>2.9914024668562741E-2</v>
      </c>
    </row>
    <row r="18" spans="2:32">
      <c r="B18" s="10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Y18" s="1" t="s">
        <v>25</v>
      </c>
      <c r="Z18" s="39">
        <f>SQRT(Z17^2+AB18*2)</f>
        <v>4699.3441170874912</v>
      </c>
      <c r="AA18" s="36">
        <f>Z18/W17</f>
        <v>1.9156393169966514E-2</v>
      </c>
      <c r="AB18" s="33">
        <f>SUM(AB4:AB15)</f>
        <v>7488288.9937412571</v>
      </c>
      <c r="AC18" s="46">
        <f>(Z17^2+X17^2+2*AB18)^0.5</f>
        <v>8296.2607163959237</v>
      </c>
      <c r="AD18" s="40">
        <f>AC18/W17</f>
        <v>3.3818853900472831E-2</v>
      </c>
    </row>
    <row r="19" spans="2:32">
      <c r="AB19" s="1" t="s">
        <v>29</v>
      </c>
      <c r="AC19" s="39">
        <f>(X17^2+SUM(Z5:Z15)^2)^0.5</f>
        <v>9318.7848520287025</v>
      </c>
      <c r="AD19" s="41">
        <f>AC19/W17</f>
        <v>3.7987068417204506E-2</v>
      </c>
    </row>
    <row r="20" spans="2:32">
      <c r="X20" s="39"/>
      <c r="Z20" s="39"/>
      <c r="AB20" s="1" t="s">
        <v>30</v>
      </c>
      <c r="AC20" s="39">
        <f>SQRT(SUM(X5:X15)^2+SUM(Z5:Z15)^2)</f>
        <v>15955.350196261157</v>
      </c>
      <c r="AD20" s="41">
        <f>AC20/W17</f>
        <v>6.5040344760602817E-2</v>
      </c>
    </row>
    <row r="21" spans="2:32">
      <c r="U21" s="21"/>
      <c r="V21" s="21"/>
      <c r="W21" s="21"/>
      <c r="X21" s="21"/>
      <c r="Y21" s="41"/>
      <c r="Z21" s="41"/>
      <c r="AA21" s="41"/>
      <c r="AC21" s="41"/>
      <c r="AD21" s="41"/>
    </row>
    <row r="22" spans="2:32">
      <c r="B22" s="2"/>
      <c r="C22" s="2"/>
      <c r="D22" s="2" t="s">
        <v>5</v>
      </c>
      <c r="E22" s="3" t="s">
        <v>14</v>
      </c>
      <c r="F22" s="2"/>
      <c r="G22" s="2"/>
      <c r="H22" s="2"/>
      <c r="I22" s="2"/>
      <c r="J22" s="2"/>
      <c r="K22" s="2"/>
      <c r="L22" s="2"/>
      <c r="M22" s="2"/>
      <c r="N22" s="2"/>
      <c r="U22" s="101" t="s">
        <v>38</v>
      </c>
      <c r="V22" s="101"/>
      <c r="W22" s="101"/>
      <c r="X22" s="101"/>
      <c r="Y22" s="101"/>
      <c r="Z22" s="101"/>
      <c r="AA22" s="101"/>
      <c r="AB22" s="101"/>
      <c r="AC22" s="101"/>
      <c r="AD22" s="101"/>
    </row>
    <row r="23" spans="2:32" ht="24.5">
      <c r="B23" s="2"/>
      <c r="C23" s="4" t="s">
        <v>4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T23" s="5" t="s">
        <v>3</v>
      </c>
      <c r="U23" s="27" t="s">
        <v>10</v>
      </c>
      <c r="V23" s="27" t="s">
        <v>9</v>
      </c>
      <c r="W23" s="27" t="s">
        <v>1</v>
      </c>
      <c r="X23" s="27" t="s">
        <v>39</v>
      </c>
      <c r="Y23" s="27" t="s">
        <v>40</v>
      </c>
      <c r="Z23" s="27" t="s">
        <v>42</v>
      </c>
      <c r="AA23" s="28" t="s">
        <v>7</v>
      </c>
      <c r="AB23" s="27" t="s">
        <v>44</v>
      </c>
      <c r="AC23" s="27" t="s">
        <v>43</v>
      </c>
      <c r="AD23" s="27" t="s">
        <v>45</v>
      </c>
    </row>
    <row r="24" spans="2:32">
      <c r="B24" s="6" t="s">
        <v>16</v>
      </c>
      <c r="C24" s="12">
        <v>0</v>
      </c>
      <c r="D24" s="12">
        <v>1</v>
      </c>
      <c r="E24" s="12">
        <v>2</v>
      </c>
      <c r="F24" s="12">
        <v>3</v>
      </c>
      <c r="G24" s="12">
        <v>4</v>
      </c>
      <c r="H24" s="12">
        <v>5</v>
      </c>
      <c r="I24" s="12">
        <v>6</v>
      </c>
      <c r="J24" s="12">
        <v>7</v>
      </c>
      <c r="K24" s="12">
        <v>8</v>
      </c>
      <c r="L24" s="12">
        <v>9</v>
      </c>
      <c r="M24" s="12">
        <v>10</v>
      </c>
      <c r="N24" s="12">
        <v>11</v>
      </c>
      <c r="T24" s="5"/>
      <c r="U24" s="27"/>
      <c r="V24" s="27"/>
      <c r="W24" s="27"/>
      <c r="X24" s="27"/>
      <c r="Y24" s="27" t="s">
        <v>22</v>
      </c>
      <c r="Z24" s="27" t="s">
        <v>22</v>
      </c>
      <c r="AA24" s="28"/>
      <c r="AB24" s="28"/>
      <c r="AC24" s="27"/>
      <c r="AD24" s="27"/>
    </row>
    <row r="25" spans="2:32">
      <c r="B25" s="31">
        <v>0</v>
      </c>
      <c r="C25" s="13">
        <f t="shared" ref="C25:M25" si="10">D6/C6</f>
        <v>2.0282974196169148</v>
      </c>
      <c r="D25" s="13">
        <f t="shared" si="10"/>
        <v>1.2160231996475825</v>
      </c>
      <c r="E25" s="13">
        <f t="shared" si="10"/>
        <v>1.073317866507391</v>
      </c>
      <c r="F25" s="13">
        <f t="shared" si="10"/>
        <v>1.0362118012321537</v>
      </c>
      <c r="G25" s="13">
        <f t="shared" si="10"/>
        <v>1.0302356584560437</v>
      </c>
      <c r="H25" s="13">
        <f t="shared" si="10"/>
        <v>1.0165919400082364</v>
      </c>
      <c r="I25" s="13">
        <f t="shared" si="10"/>
        <v>1.0151535009515595</v>
      </c>
      <c r="J25" s="13">
        <f t="shared" si="10"/>
        <v>1.0113475648940662</v>
      </c>
      <c r="K25" s="13">
        <f t="shared" si="10"/>
        <v>1.0102503829512732</v>
      </c>
      <c r="L25" s="13">
        <f t="shared" si="10"/>
        <v>1.0033252837701321</v>
      </c>
      <c r="M25" s="13">
        <f t="shared" si="10"/>
        <v>1.0211085663148023</v>
      </c>
      <c r="N25" s="13"/>
      <c r="T25" s="31">
        <v>0</v>
      </c>
      <c r="U25" s="32">
        <f>U4</f>
        <v>86842.7012923</v>
      </c>
      <c r="V25" s="33">
        <f>V4</f>
        <v>86842.7012923</v>
      </c>
      <c r="W25" s="34">
        <f>W4</f>
        <v>0</v>
      </c>
      <c r="X25" s="35">
        <f t="shared" ref="X25:X36" si="11">IF(T25=0,0,SQRT(V25^2*HLOOKUP(11-T25+1,$D$99:$N$100,2,FALSE)))</f>
        <v>0</v>
      </c>
      <c r="Y25" s="35">
        <f t="shared" ref="Y25:Y36" si="12">IF(T25=0,0,SQRT(V25^2*HLOOKUP(11-T25+1,$D$99:$N$101,3,FALSE)))</f>
        <v>0</v>
      </c>
      <c r="Z25" s="35">
        <f t="shared" ref="Z25:Z36" si="13">IF(OR(T25=0,T25=1),0,SQRT(V25^2*HLOOKUP(11-T25+2,$D$99:$N$104,6,FALSE)))</f>
        <v>0</v>
      </c>
      <c r="AA25" s="1">
        <f>IF(OR(T25=0,T25=11),0,(HLOOKUP(11-T25+1,$D$99:$N$101,3,FALSE)+IF(T25=1,0,HLOOKUP(11-T25+2,$D$99:$N$104,6,FALSE)))*V25*SUM(V26:$V$36))</f>
        <v>0</v>
      </c>
      <c r="AB25" s="35">
        <f>SUMSQ(X25:Z25)^0.5</f>
        <v>0</v>
      </c>
      <c r="AC25" s="36" t="str">
        <f>IF(AB25=0,"",AB25/AC4)</f>
        <v/>
      </c>
      <c r="AD25" s="36"/>
      <c r="AF25" s="51"/>
    </row>
    <row r="26" spans="2:32">
      <c r="B26" s="31">
        <f>B25+1</f>
        <v>1</v>
      </c>
      <c r="C26" s="13">
        <f t="shared" ref="C26:D35" si="14">D7/C7</f>
        <v>2.1296261508729835</v>
      </c>
      <c r="D26" s="13">
        <f t="shared" si="14"/>
        <v>1.1974652966940986</v>
      </c>
      <c r="E26" s="13">
        <f t="shared" ref="E26:F26" si="15">F7/E7</f>
        <v>1.0719934476814301</v>
      </c>
      <c r="F26" s="13">
        <f t="shared" si="15"/>
        <v>1.0329824700495323</v>
      </c>
      <c r="G26" s="13">
        <f t="shared" ref="G26:H26" si="16">H7/G7</f>
        <v>1.0268331950712166</v>
      </c>
      <c r="H26" s="13">
        <f t="shared" si="16"/>
        <v>1.009904786338933</v>
      </c>
      <c r="I26" s="13">
        <f t="shared" ref="I26:J26" si="17">J7/I7</f>
        <v>1.0114953875618273</v>
      </c>
      <c r="J26" s="13">
        <f t="shared" si="17"/>
        <v>1.0077499515007038</v>
      </c>
      <c r="K26" s="13">
        <f t="shared" ref="K26:L26" si="18">L7/K7</f>
        <v>1.0048019411999829</v>
      </c>
      <c r="L26" s="13">
        <f t="shared" si="18"/>
        <v>1.0047593261210175</v>
      </c>
      <c r="M26" s="13" t="str">
        <f t="shared" ref="M26:M36" si="19">IFERROR(IF(N7&lt;&gt;"",IF($B26+M$24 &lt;= LatestYear,N7/M7,""),""),"")</f>
        <v/>
      </c>
      <c r="N26" s="13" t="str">
        <f>IFERROR(IF(#REF!&lt;&gt;"",IF($B26+N$24 &lt;= LatestYear,#REF!/N7,""),""),"")</f>
        <v/>
      </c>
      <c r="T26" s="31">
        <f>T25+1</f>
        <v>1</v>
      </c>
      <c r="U26" s="32">
        <f t="shared" ref="U26:V38" si="20">U5</f>
        <v>96325.02158249999</v>
      </c>
      <c r="V26" s="33">
        <f t="shared" si="20"/>
        <v>98358.304688348959</v>
      </c>
      <c r="W26" s="34">
        <f t="shared" ref="W26" si="21">W5</f>
        <v>2033.2831058489683</v>
      </c>
      <c r="X26" s="35">
        <f t="shared" si="11"/>
        <v>32.220985344788097</v>
      </c>
      <c r="Y26" s="35">
        <f t="shared" si="12"/>
        <v>34.290804375822624</v>
      </c>
      <c r="Z26" s="35">
        <f t="shared" si="13"/>
        <v>0</v>
      </c>
      <c r="AA26" s="1">
        <f>IF(OR(T26=0,T26=11),0,(HLOOKUP(11-T26+1,$D$99:$N$101,3,FALSE)+IF(T26=1,0,HLOOKUP(11-T26+2,$D$99:$N$104,6,FALSE)))*V26*SUM(V27:$V$36))</f>
        <v>16747.219690567039</v>
      </c>
      <c r="AB26" s="35">
        <f t="shared" ref="AB26:AB36" si="22">SUMSQ(X26:Z26)^0.5</f>
        <v>47.053705075477161</v>
      </c>
      <c r="AC26" s="96">
        <f t="shared" ref="AC26:AC36" si="23">IF(AB26=0,"",AB26/AC5)</f>
        <v>1</v>
      </c>
      <c r="AD26" s="40">
        <f>AB26/W26</f>
        <v>2.3141738078736734E-2</v>
      </c>
      <c r="AF26" s="51"/>
    </row>
    <row r="27" spans="2:32">
      <c r="B27" s="31">
        <f t="shared" ref="B27" si="24">B26+1</f>
        <v>2</v>
      </c>
      <c r="C27" s="13">
        <f t="shared" si="14"/>
        <v>2.0622281062870993</v>
      </c>
      <c r="D27" s="13">
        <f t="shared" si="14"/>
        <v>1.1662535894623522</v>
      </c>
      <c r="E27" s="13">
        <f t="shared" ref="E27:F27" si="25">F8/E8</f>
        <v>1.0664135237676928</v>
      </c>
      <c r="F27" s="13">
        <f t="shared" si="25"/>
        <v>1.0310641885004925</v>
      </c>
      <c r="G27" s="13">
        <f t="shared" ref="G27:H27" si="26">H8/G8</f>
        <v>1.0126572884240004</v>
      </c>
      <c r="H27" s="13">
        <f t="shared" si="26"/>
        <v>1.0123563014270842</v>
      </c>
      <c r="I27" s="13">
        <f t="shared" ref="I27:J27" si="27">J8/I8</f>
        <v>1.0110801335325594</v>
      </c>
      <c r="J27" s="13">
        <f t="shared" si="27"/>
        <v>1.0087341916704313</v>
      </c>
      <c r="K27" s="13">
        <f t="shared" ref="K27" si="28">L8/K8</f>
        <v>1.0053551937629057</v>
      </c>
      <c r="L27" s="13" t="str">
        <f t="shared" ref="L27:L36" si="29">IFERROR(IF(M8&lt;&gt;"",IF($B27+L$24 &lt;= LatestYear,M8/L8,""),""),"")</f>
        <v/>
      </c>
      <c r="M27" s="13" t="str">
        <f t="shared" si="19"/>
        <v/>
      </c>
      <c r="N27" s="13" t="str">
        <f>IFERROR(IF(#REF!&lt;&gt;"",IF($B27+N$24 &lt;= LatestYear,#REF!/N8,""),""),"")</f>
        <v/>
      </c>
      <c r="T27" s="31">
        <f t="shared" ref="T27:T36" si="30">T26+1</f>
        <v>2</v>
      </c>
      <c r="U27" s="32">
        <f t="shared" si="20"/>
        <v>105007.48487610002</v>
      </c>
      <c r="V27" s="33">
        <f t="shared" si="20"/>
        <v>107662.20035267336</v>
      </c>
      <c r="W27" s="34">
        <f t="shared" ref="W27" si="31">W6</f>
        <v>2654.715476573343</v>
      </c>
      <c r="X27" s="35">
        <f t="shared" si="11"/>
        <v>100.64500143504064</v>
      </c>
      <c r="Y27" s="35">
        <f t="shared" si="12"/>
        <v>76.736531554265227</v>
      </c>
      <c r="Z27" s="35">
        <f t="shared" si="13"/>
        <v>27.353552408354336</v>
      </c>
      <c r="AA27" s="1">
        <f>IF(OR(T27=0,T27=11),0,(HLOOKUP(11-T27+1,$D$99:$N$101,3,FALSE)+IF(T27=1,0,HLOOKUP(11-T27+2,$D$99:$N$104,6,FALSE)))*V27*SUM(V28:$V$36))</f>
        <v>79718.416215609628</v>
      </c>
      <c r="AB27" s="35">
        <f t="shared" si="22"/>
        <v>129.48408557886432</v>
      </c>
      <c r="AC27" s="96">
        <f t="shared" si="23"/>
        <v>0.95036547861499276</v>
      </c>
      <c r="AD27" s="40">
        <f t="shared" ref="AD27:AD36" si="32">AB27/W27</f>
        <v>4.8775127399339965E-2</v>
      </c>
      <c r="AF27" s="51"/>
    </row>
    <row r="28" spans="2:32">
      <c r="B28" s="31">
        <f t="shared" ref="B28" si="33">B27+1</f>
        <v>3</v>
      </c>
      <c r="C28" s="13">
        <f t="shared" si="14"/>
        <v>2.1009800909582736</v>
      </c>
      <c r="D28" s="13">
        <f t="shared" si="14"/>
        <v>1.1810062947594349</v>
      </c>
      <c r="E28" s="13">
        <f t="shared" ref="E28:F28" si="34">F9/E9</f>
        <v>1.0557784857884482</v>
      </c>
      <c r="F28" s="13">
        <f t="shared" si="34"/>
        <v>1.0247024630417849</v>
      </c>
      <c r="G28" s="13">
        <f t="shared" ref="G28:H28" si="35">H9/G9</f>
        <v>1.0182892103027594</v>
      </c>
      <c r="H28" s="13">
        <f t="shared" si="35"/>
        <v>1.0193409912546454</v>
      </c>
      <c r="I28" s="13">
        <f t="shared" ref="I28:J28" si="36">J9/I9</f>
        <v>1.0105166268412891</v>
      </c>
      <c r="J28" s="13">
        <f t="shared" si="36"/>
        <v>1.0076680112771106</v>
      </c>
      <c r="K28" s="13" t="str">
        <f t="shared" ref="K28:K36" si="37">IFERROR(IF(L9&lt;&gt;"",IF($B28+K$24 &lt;= LatestYear,L9/K9,""),""),"")</f>
        <v/>
      </c>
      <c r="L28" s="13" t="str">
        <f t="shared" si="29"/>
        <v/>
      </c>
      <c r="M28" s="13" t="str">
        <f t="shared" si="19"/>
        <v/>
      </c>
      <c r="N28" s="13" t="str">
        <f>IFERROR(IF(#REF!&lt;&gt;"",IF($B28+N$24 &lt;= LatestYear,#REF!/N9,""),""),"")</f>
        <v/>
      </c>
      <c r="T28" s="31">
        <f t="shared" si="30"/>
        <v>3</v>
      </c>
      <c r="U28" s="32">
        <f t="shared" si="20"/>
        <v>114674.41313589999</v>
      </c>
      <c r="V28" s="33">
        <f t="shared" si="20"/>
        <v>118351.45932970554</v>
      </c>
      <c r="W28" s="34">
        <f t="shared" ref="W28" si="38">W7</f>
        <v>3677.0461938055523</v>
      </c>
      <c r="X28" s="35">
        <f t="shared" si="11"/>
        <v>309.40499698766968</v>
      </c>
      <c r="Y28" s="35">
        <f t="shared" si="12"/>
        <v>196.68974880119805</v>
      </c>
      <c r="Z28" s="35">
        <f t="shared" si="13"/>
        <v>59.330264645252804</v>
      </c>
      <c r="AA28" s="1">
        <f>IF(OR(T28=0,T28=11),0,(HLOOKUP(11-T28+1,$D$99:$N$101,3,FALSE)+IF(T28=1,0,HLOOKUP(11-T28+2,$D$99:$N$104,6,FALSE)))*V28*SUM(V29:$V$36))</f>
        <v>418982.29525864165</v>
      </c>
      <c r="AB28" s="35">
        <f t="shared" si="22"/>
        <v>371.40057855002595</v>
      </c>
      <c r="AC28" s="96">
        <f t="shared" si="23"/>
        <v>0.94147447560397413</v>
      </c>
      <c r="AD28" s="40">
        <f t="shared" si="32"/>
        <v>0.10100514352408654</v>
      </c>
      <c r="AF28" s="51"/>
    </row>
    <row r="29" spans="2:32">
      <c r="B29" s="31">
        <f t="shared" ref="B29" si="39">B28+1</f>
        <v>4</v>
      </c>
      <c r="C29" s="13">
        <f t="shared" si="14"/>
        <v>2.0311474564863432</v>
      </c>
      <c r="D29" s="13">
        <f t="shared" si="14"/>
        <v>1.1711869656680589</v>
      </c>
      <c r="E29" s="13">
        <f t="shared" ref="E29:F29" si="40">F10/E10</f>
        <v>1.0521991531894246</v>
      </c>
      <c r="F29" s="13">
        <f t="shared" si="40"/>
        <v>1.0230080848043046</v>
      </c>
      <c r="G29" s="13">
        <f t="shared" ref="G29:H29" si="41">H10/G10</f>
        <v>1.0257281777464446</v>
      </c>
      <c r="H29" s="13">
        <f t="shared" si="41"/>
        <v>1.0111705293452484</v>
      </c>
      <c r="I29" s="13">
        <f t="shared" ref="I29" si="42">J10/I10</f>
        <v>1.0095961691479005</v>
      </c>
      <c r="J29" s="13" t="str">
        <f t="shared" ref="J29:J36" si="43">IFERROR(IF(K10&lt;&gt;"",IF($B29+J$24 &lt;= LatestYear,K10/J10,""),""),"")</f>
        <v/>
      </c>
      <c r="K29" s="13" t="str">
        <f t="shared" si="37"/>
        <v/>
      </c>
      <c r="L29" s="13" t="str">
        <f t="shared" si="29"/>
        <v/>
      </c>
      <c r="M29" s="13" t="str">
        <f t="shared" si="19"/>
        <v/>
      </c>
      <c r="N29" s="13" t="str">
        <f>IFERROR(IF(#REF!&lt;&gt;"",IF($B29+N$24 &lt;= LatestYear,#REF!/N10,""),""),"")</f>
        <v/>
      </c>
      <c r="T29" s="31">
        <f t="shared" si="30"/>
        <v>4</v>
      </c>
      <c r="U29" s="32">
        <f t="shared" si="20"/>
        <v>118289.46107000002</v>
      </c>
      <c r="V29" s="33">
        <f t="shared" si="20"/>
        <v>123149.4257342979</v>
      </c>
      <c r="W29" s="34">
        <f t="shared" ref="W29" si="44">W8</f>
        <v>4859.9646642978769</v>
      </c>
      <c r="X29" s="35">
        <f t="shared" si="11"/>
        <v>181.88481860136142</v>
      </c>
      <c r="Y29" s="35">
        <f t="shared" si="12"/>
        <v>99.535579493818673</v>
      </c>
      <c r="Z29" s="35">
        <f t="shared" si="13"/>
        <v>125.96346913185572</v>
      </c>
      <c r="AA29" s="1">
        <f>IF(OR(T29=0,T29=11),0,(HLOOKUP(11-T29+1,$D$99:$N$101,3,FALSE)+IF(T29=1,0,HLOOKUP(11-T29+2,$D$99:$N$104,6,FALSE)))*V29*SUM(V30:$V$36))</f>
        <v>220113.69609573309</v>
      </c>
      <c r="AB29" s="35">
        <f t="shared" si="22"/>
        <v>242.60299746407176</v>
      </c>
      <c r="AC29" s="96">
        <f t="shared" si="23"/>
        <v>0.53332458343050693</v>
      </c>
      <c r="AD29" s="40">
        <f t="shared" si="32"/>
        <v>4.9918675180145741E-2</v>
      </c>
      <c r="AF29" s="51"/>
    </row>
    <row r="30" spans="2:32">
      <c r="B30" s="31">
        <f t="shared" ref="B30" si="45">B29+1</f>
        <v>5</v>
      </c>
      <c r="C30" s="13">
        <f t="shared" si="14"/>
        <v>1.955184982843192</v>
      </c>
      <c r="D30" s="13">
        <f t="shared" si="14"/>
        <v>1.1814509355388039</v>
      </c>
      <c r="E30" s="13">
        <f t="shared" ref="E30:F30" si="46">F11/E11</f>
        <v>1.0605556172585144</v>
      </c>
      <c r="F30" s="13">
        <f t="shared" si="46"/>
        <v>1.0319253342535448</v>
      </c>
      <c r="G30" s="13">
        <f t="shared" ref="G30:H30" si="47">H11/G11</f>
        <v>1.021437377162792</v>
      </c>
      <c r="H30" s="13">
        <f t="shared" si="47"/>
        <v>1.017452571578791</v>
      </c>
      <c r="I30" s="13" t="str">
        <f t="shared" ref="I30:I36" si="48">IFERROR(IF(J11&lt;&gt;"",IF($B30+I$24 &lt;= LatestYear,J11/I11,""),""),"")</f>
        <v/>
      </c>
      <c r="J30" s="13" t="str">
        <f t="shared" si="43"/>
        <v/>
      </c>
      <c r="K30" s="13" t="str">
        <f t="shared" si="37"/>
        <v/>
      </c>
      <c r="L30" s="13" t="str">
        <f t="shared" si="29"/>
        <v/>
      </c>
      <c r="M30" s="13" t="str">
        <f t="shared" si="19"/>
        <v/>
      </c>
      <c r="N30" s="13" t="str">
        <f>IFERROR(IF(#REF!&lt;&gt;"",IF($B30+N$24 &lt;= LatestYear,#REF!/N11,""),""),"")</f>
        <v/>
      </c>
      <c r="T30" s="31">
        <f t="shared" si="30"/>
        <v>5</v>
      </c>
      <c r="U30" s="32">
        <f t="shared" si="20"/>
        <v>132138.57105614999</v>
      </c>
      <c r="V30" s="33">
        <f t="shared" si="20"/>
        <v>139128.23843179303</v>
      </c>
      <c r="W30" s="34">
        <f t="shared" ref="W30" si="49">W9</f>
        <v>6989.6673756430391</v>
      </c>
      <c r="X30" s="35">
        <f t="shared" si="11"/>
        <v>241.60615667316614</v>
      </c>
      <c r="Y30" s="35">
        <f t="shared" si="12"/>
        <v>123.28124365645427</v>
      </c>
      <c r="Z30" s="35">
        <f t="shared" si="13"/>
        <v>152.20245294387391</v>
      </c>
      <c r="AA30" s="1">
        <f>IF(OR(T30=0,T30=11),0,(HLOOKUP(11-T30+1,$D$99:$N$101,3,FALSE)+IF(T30=1,0,HLOOKUP(11-T30+2,$D$99:$N$104,6,FALSE)))*V30*SUM(V31:$V$36))</f>
        <v>251639.09332185454</v>
      </c>
      <c r="AB30" s="35">
        <f t="shared" si="22"/>
        <v>311.02634399997805</v>
      </c>
      <c r="AC30" s="96">
        <f t="shared" si="23"/>
        <v>0.55299754063711426</v>
      </c>
      <c r="AD30" s="40">
        <f t="shared" si="32"/>
        <v>4.449801790051048E-2</v>
      </c>
      <c r="AF30" s="51"/>
    </row>
    <row r="31" spans="2:32">
      <c r="B31" s="31">
        <f t="shared" ref="B31" si="50">B30+1</f>
        <v>6</v>
      </c>
      <c r="C31" s="13">
        <f t="shared" si="14"/>
        <v>2.0074880075836687</v>
      </c>
      <c r="D31" s="13">
        <f t="shared" si="14"/>
        <v>1.1964659712874268</v>
      </c>
      <c r="E31" s="13">
        <f t="shared" ref="E31:F31" si="51">F12/E12</f>
        <v>1.0843006547935803</v>
      </c>
      <c r="F31" s="13">
        <f t="shared" si="51"/>
        <v>1.0444940013550876</v>
      </c>
      <c r="G31" s="13">
        <f t="shared" ref="G31" si="52">H12/G12</f>
        <v>1.0245423961507978</v>
      </c>
      <c r="H31" s="13" t="str">
        <f t="shared" ref="H31:H36" si="53">IFERROR(IF(I12&lt;&gt;"",IF($B31+H$24 &lt;= LatestYear,I12/H12,""),""),"")</f>
        <v/>
      </c>
      <c r="I31" s="13" t="str">
        <f t="shared" si="48"/>
        <v/>
      </c>
      <c r="J31" s="13" t="str">
        <f t="shared" si="43"/>
        <v/>
      </c>
      <c r="K31" s="13" t="str">
        <f t="shared" si="37"/>
        <v/>
      </c>
      <c r="L31" s="13" t="str">
        <f t="shared" si="29"/>
        <v/>
      </c>
      <c r="M31" s="13" t="str">
        <f t="shared" si="19"/>
        <v/>
      </c>
      <c r="N31" s="13" t="str">
        <f>IFERROR(IF(#REF!&lt;&gt;"",IF($B31+N$24 &lt;= LatestYear,#REF!/N12,""),""),"")</f>
        <v/>
      </c>
      <c r="T31" s="31">
        <f t="shared" si="30"/>
        <v>6</v>
      </c>
      <c r="U31" s="32">
        <f t="shared" si="20"/>
        <v>138291.0141644</v>
      </c>
      <c r="V31" s="33">
        <f t="shared" si="20"/>
        <v>147730.79127024303</v>
      </c>
      <c r="W31" s="34">
        <f t="shared" ref="W31" si="54">W10</f>
        <v>9439.7771058430371</v>
      </c>
      <c r="X31" s="35">
        <f t="shared" si="11"/>
        <v>488.23241226410403</v>
      </c>
      <c r="Y31" s="35">
        <f t="shared" si="12"/>
        <v>228.66294496092337</v>
      </c>
      <c r="Z31" s="35">
        <f t="shared" si="13"/>
        <v>172.217218468607</v>
      </c>
      <c r="AA31" s="1">
        <f>IF(OR(T31=0,T31=11),0,(HLOOKUP(11-T31+1,$D$99:$N$101,3,FALSE)+IF(T31=1,0,HLOOKUP(11-T31+2,$D$99:$N$104,6,FALSE)))*V31*SUM(V32:$V$36))</f>
        <v>424258.2246822734</v>
      </c>
      <c r="AB31" s="35">
        <f t="shared" si="22"/>
        <v>565.96501757660985</v>
      </c>
      <c r="AC31" s="96">
        <f t="shared" si="23"/>
        <v>0.71153092063783885</v>
      </c>
      <c r="AD31" s="40">
        <f t="shared" si="32"/>
        <v>5.9955336999036615E-2</v>
      </c>
      <c r="AF31" s="51"/>
    </row>
    <row r="32" spans="2:32">
      <c r="B32" s="31">
        <f t="shared" ref="B32" si="55">B31+1</f>
        <v>7</v>
      </c>
      <c r="C32" s="13">
        <f t="shared" si="14"/>
        <v>2.0707734054403759</v>
      </c>
      <c r="D32" s="13">
        <f t="shared" si="14"/>
        <v>1.217271534046459</v>
      </c>
      <c r="E32" s="13">
        <f t="shared" ref="E32:F32" si="56">F13/E13</f>
        <v>1.0701079748773976</v>
      </c>
      <c r="F32" s="13">
        <f t="shared" si="56"/>
        <v>1.037657239071428</v>
      </c>
      <c r="G32" s="13" t="str">
        <f>IFERROR(IF(H13&lt;&gt;"",IF($B32+G$24 &lt;= LatestYear,H13/G13,""),""),"")</f>
        <v/>
      </c>
      <c r="H32" s="13" t="str">
        <f t="shared" si="53"/>
        <v/>
      </c>
      <c r="I32" s="13" t="str">
        <f t="shared" si="48"/>
        <v/>
      </c>
      <c r="J32" s="13" t="str">
        <f t="shared" si="43"/>
        <v/>
      </c>
      <c r="K32" s="13" t="str">
        <f t="shared" si="37"/>
        <v/>
      </c>
      <c r="L32" s="13" t="str">
        <f t="shared" si="29"/>
        <v/>
      </c>
      <c r="M32" s="13" t="str">
        <f t="shared" si="19"/>
        <v/>
      </c>
      <c r="N32" s="13" t="str">
        <f>IFERROR(IF(#REF!&lt;&gt;"",IF($B32+N$24 &lt;= LatestYear,#REF!/N13,""),""),"")</f>
        <v/>
      </c>
      <c r="T32" s="31">
        <f t="shared" si="30"/>
        <v>7</v>
      </c>
      <c r="U32" s="32">
        <f t="shared" si="20"/>
        <v>129900.41042400002</v>
      </c>
      <c r="V32" s="33">
        <f t="shared" si="20"/>
        <v>141900.76720480141</v>
      </c>
      <c r="W32" s="34">
        <f t="shared" ref="W32" si="57">W11</f>
        <v>12000.35678080139</v>
      </c>
      <c r="X32" s="35">
        <f t="shared" si="11"/>
        <v>700.21217147437835</v>
      </c>
      <c r="Y32" s="35">
        <f t="shared" si="12"/>
        <v>291.06597701892491</v>
      </c>
      <c r="Z32" s="35">
        <f t="shared" si="13"/>
        <v>189.84795870195194</v>
      </c>
      <c r="AA32" s="1">
        <f>IF(OR(T32=0,T32=11),0,(HLOOKUP(11-T32+1,$D$99:$N$101,3,FALSE)+IF(T32=1,0,HLOOKUP(11-T32+2,$D$99:$N$104,6,FALSE)))*V32*SUM(V33:$V$36))</f>
        <v>530147.55496845755</v>
      </c>
      <c r="AB32" s="35">
        <f t="shared" si="22"/>
        <v>781.70245968791971</v>
      </c>
      <c r="AC32" s="96">
        <f t="shared" si="23"/>
        <v>0.72060503935252762</v>
      </c>
      <c r="AD32" s="40">
        <f t="shared" si="32"/>
        <v>6.5139934917478118E-2</v>
      </c>
      <c r="AF32" s="51"/>
    </row>
    <row r="33" spans="2:32">
      <c r="B33" s="31">
        <f t="shared" ref="B33" si="58">B32+1</f>
        <v>8</v>
      </c>
      <c r="C33" s="13">
        <f t="shared" si="14"/>
        <v>2.0219243631908066</v>
      </c>
      <c r="D33" s="13">
        <f t="shared" si="14"/>
        <v>1.1874506494912223</v>
      </c>
      <c r="E33" s="13">
        <f t="shared" ref="E33" si="59">F14/E14</f>
        <v>1.0761818904698714</v>
      </c>
      <c r="F33" s="13" t="str">
        <f>IFERROR(IF(G14&lt;&gt;"",IF($B33+F$24 &lt;= LatestYear,G14/F14,""),""),"")</f>
        <v/>
      </c>
      <c r="G33" s="13" t="str">
        <f>IFERROR(IF(H14&lt;&gt;"",IF($B33+G$24 &lt;= LatestYear,H14/G14,""),""),"")</f>
        <v/>
      </c>
      <c r="H33" s="13" t="str">
        <f t="shared" si="53"/>
        <v/>
      </c>
      <c r="I33" s="13" t="str">
        <f t="shared" si="48"/>
        <v/>
      </c>
      <c r="J33" s="13" t="str">
        <f t="shared" si="43"/>
        <v/>
      </c>
      <c r="K33" s="13" t="str">
        <f t="shared" si="37"/>
        <v/>
      </c>
      <c r="L33" s="13" t="str">
        <f t="shared" si="29"/>
        <v/>
      </c>
      <c r="M33" s="13" t="str">
        <f t="shared" si="19"/>
        <v/>
      </c>
      <c r="N33" s="13" t="str">
        <f>IFERROR(IF(#REF!&lt;&gt;"",IF($B33+N$24 &lt;= LatestYear,#REF!/N14,""),""),"")</f>
        <v/>
      </c>
      <c r="T33" s="31">
        <f t="shared" si="30"/>
        <v>8</v>
      </c>
      <c r="U33" s="32">
        <f t="shared" si="20"/>
        <v>124786.08131000001</v>
      </c>
      <c r="V33" s="33">
        <f t="shared" si="20"/>
        <v>140813.42524903908</v>
      </c>
      <c r="W33" s="34">
        <f t="shared" ref="W33" si="60">W12</f>
        <v>16027.34393903907</v>
      </c>
      <c r="X33" s="35">
        <f t="shared" si="11"/>
        <v>915.31460067336138</v>
      </c>
      <c r="Y33" s="35">
        <f t="shared" si="12"/>
        <v>349.98654140847111</v>
      </c>
      <c r="Z33" s="35">
        <f t="shared" si="13"/>
        <v>218.5943287116655</v>
      </c>
      <c r="AA33" s="1">
        <f>IF(OR(T33=0,T33=11),0,(HLOOKUP(11-T33+1,$D$99:$N$101,3,FALSE)+IF(T33=1,0,HLOOKUP(11-T33+2,$D$99:$N$104,6,FALSE)))*V33*SUM(V34:$V$36))</f>
        <v>583006.73426413501</v>
      </c>
      <c r="AB33" s="35">
        <f t="shared" si="22"/>
        <v>1004.0293212440572</v>
      </c>
      <c r="AC33" s="96">
        <f t="shared" si="23"/>
        <v>0.68855028573234212</v>
      </c>
      <c r="AD33" s="40">
        <f t="shared" si="32"/>
        <v>6.2644772899548465E-2</v>
      </c>
      <c r="AF33" s="51"/>
    </row>
    <row r="34" spans="2:32">
      <c r="B34" s="31">
        <f t="shared" ref="B34" si="61">B33+1</f>
        <v>9</v>
      </c>
      <c r="C34" s="13">
        <f t="shared" si="14"/>
        <v>1.9622667438819101</v>
      </c>
      <c r="D34" s="13">
        <f t="shared" si="14"/>
        <v>1.1802754542221885</v>
      </c>
      <c r="E34" s="13" t="str">
        <f>IFERROR(IF(F15&lt;&gt;"",IF($B34+E$24 &lt;= LatestYear,F15/E15,""),""),"")</f>
        <v/>
      </c>
      <c r="F34" s="13" t="str">
        <f>IFERROR(IF(G15&lt;&gt;"",IF($B34+F$24 &lt;= LatestYear,G15/F15,""),""),"")</f>
        <v/>
      </c>
      <c r="G34" s="13" t="str">
        <f>IFERROR(IF(H15&lt;&gt;"",IF($B34+G$24 &lt;= LatestYear,H15/G15,""),""),"")</f>
        <v/>
      </c>
      <c r="H34" s="13" t="str">
        <f t="shared" si="53"/>
        <v/>
      </c>
      <c r="I34" s="13" t="str">
        <f t="shared" si="48"/>
        <v/>
      </c>
      <c r="J34" s="13" t="str">
        <f t="shared" si="43"/>
        <v/>
      </c>
      <c r="K34" s="13" t="str">
        <f t="shared" si="37"/>
        <v/>
      </c>
      <c r="L34" s="13" t="str">
        <f t="shared" si="29"/>
        <v/>
      </c>
      <c r="M34" s="13" t="str">
        <f t="shared" si="19"/>
        <v/>
      </c>
      <c r="N34" s="13" t="str">
        <f>IFERROR(IF(#REF!&lt;&gt;"",IF($B34+N$24 &lt;= LatestYear,#REF!/N15,""),""),"")</f>
        <v/>
      </c>
      <c r="T34" s="31">
        <f t="shared" si="30"/>
        <v>9</v>
      </c>
      <c r="U34" s="32">
        <f t="shared" si="20"/>
        <v>121799.75327999999</v>
      </c>
      <c r="V34" s="33">
        <f t="shared" si="20"/>
        <v>146781.26170555825</v>
      </c>
      <c r="W34" s="34">
        <f t="shared" ref="W34" si="62">W13</f>
        <v>24981.508425558262</v>
      </c>
      <c r="X34" s="35">
        <f t="shared" si="11"/>
        <v>1328.8132597907818</v>
      </c>
      <c r="Y34" s="35">
        <f t="shared" si="12"/>
        <v>484.53712146975772</v>
      </c>
      <c r="Z34" s="35">
        <f t="shared" si="13"/>
        <v>262.48110618216896</v>
      </c>
      <c r="AA34" s="1">
        <f>IF(OR(T34=0,T34=11),0,(HLOOKUP(11-T34+1,$D$99:$N$101,3,FALSE)+IF(T34=1,0,HLOOKUP(11-T34+2,$D$99:$N$104,6,FALSE)))*V34*SUM(V35:$V$36))</f>
        <v>693807.15071252245</v>
      </c>
      <c r="AB34" s="35">
        <f t="shared" si="22"/>
        <v>1438.5469170592307</v>
      </c>
      <c r="AC34" s="96">
        <f t="shared" si="23"/>
        <v>0.6992515143895488</v>
      </c>
      <c r="AD34" s="40">
        <f t="shared" si="32"/>
        <v>5.7584469782756262E-2</v>
      </c>
      <c r="AF34" s="51"/>
    </row>
    <row r="35" spans="2:32">
      <c r="B35" s="31">
        <f t="shared" ref="B35" si="63">B34+1</f>
        <v>10</v>
      </c>
      <c r="C35" s="13">
        <f t="shared" si="14"/>
        <v>1.9171316916670933</v>
      </c>
      <c r="D35" s="13" t="str">
        <f>IFERROR(IF(E16&lt;&gt;"",IF($B35+D$24 &lt;= LatestYear,E16/D16,""),""),"")</f>
        <v/>
      </c>
      <c r="E35" s="13" t="str">
        <f>IFERROR(IF(F16&lt;&gt;"",IF($B35+E$24 &lt;= LatestYear,F16/E16,""),""),"")</f>
        <v/>
      </c>
      <c r="F35" s="13" t="str">
        <f>IFERROR(IF(G16&lt;&gt;"",IF($B35+F$24 &lt;= LatestYear,G16/F16,""),""),"")</f>
        <v/>
      </c>
      <c r="G35" s="13" t="str">
        <f>IFERROR(IF(H16&lt;&gt;"",IF($B35+G$24 &lt;= LatestYear,H16/G16,""),""),"")</f>
        <v/>
      </c>
      <c r="H35" s="13" t="str">
        <f t="shared" si="53"/>
        <v/>
      </c>
      <c r="I35" s="13" t="str">
        <f t="shared" si="48"/>
        <v/>
      </c>
      <c r="J35" s="13" t="str">
        <f t="shared" si="43"/>
        <v/>
      </c>
      <c r="K35" s="13" t="str">
        <f t="shared" si="37"/>
        <v/>
      </c>
      <c r="L35" s="13" t="str">
        <f t="shared" si="29"/>
        <v/>
      </c>
      <c r="M35" s="13" t="str">
        <f t="shared" si="19"/>
        <v/>
      </c>
      <c r="N35" s="13" t="str">
        <f>IFERROR(IF(#REF!&lt;&gt;"",IF($B35+N$24 &lt;= LatestYear,#REF!/N16,""),""),"")</f>
        <v/>
      </c>
      <c r="T35" s="31">
        <f t="shared" si="30"/>
        <v>10</v>
      </c>
      <c r="U35" s="32">
        <f t="shared" si="20"/>
        <v>112342</v>
      </c>
      <c r="V35" s="33">
        <f t="shared" si="20"/>
        <v>160933.25674865756</v>
      </c>
      <c r="W35" s="34">
        <f t="shared" ref="W35" si="64">W14</f>
        <v>48591.256748657557</v>
      </c>
      <c r="X35" s="35">
        <f t="shared" si="11"/>
        <v>1984.132977149198</v>
      </c>
      <c r="Y35" s="35">
        <f t="shared" si="12"/>
        <v>711.72771110384861</v>
      </c>
      <c r="Z35" s="35">
        <f t="shared" si="13"/>
        <v>340.50559757865113</v>
      </c>
      <c r="AA35" s="1">
        <f>IF(OR(T35=0,T35=11),0,(HLOOKUP(11-T35+1,$D$99:$N$101,3,FALSE)+IF(T35=1,0,HLOOKUP(11-T35+2,$D$99:$N$104,6,FALSE)))*V35*SUM(V36:$V$36))</f>
        <v>674671.94387959607</v>
      </c>
      <c r="AB35" s="35">
        <f t="shared" si="22"/>
        <v>2135.2480108283576</v>
      </c>
      <c r="AC35" s="96">
        <f t="shared" si="23"/>
        <v>0.70594221930863832</v>
      </c>
      <c r="AD35" s="40">
        <f t="shared" si="32"/>
        <v>4.3943049711043923E-2</v>
      </c>
      <c r="AF35" s="51"/>
    </row>
    <row r="36" spans="2:32">
      <c r="B36" s="31">
        <f t="shared" ref="B36" si="65">B35+1</f>
        <v>11</v>
      </c>
      <c r="C36" s="13" t="str">
        <f>IFERROR(IF(D17&lt;&gt;"",IF($B36+C$24 &lt;= LatestYear,D17/C17,""),""),"")</f>
        <v/>
      </c>
      <c r="D36" s="13" t="str">
        <f>IFERROR(IF(E17&lt;&gt;"",IF($B36+D$24 &lt;= LatestYear,E17/D17,""),""),"")</f>
        <v/>
      </c>
      <c r="E36" s="13" t="str">
        <f>IFERROR(IF(F17&lt;&gt;"",IF($B36+E$24 &lt;= LatestYear,F17/E17,""),""),"")</f>
        <v/>
      </c>
      <c r="F36" s="13" t="str">
        <f>IFERROR(IF(G17&lt;&gt;"",IF($B36+F$24 &lt;= LatestYear,G17/F17,""),""),"")</f>
        <v/>
      </c>
      <c r="G36" s="13" t="str">
        <f>IFERROR(IF(H17&lt;&gt;"",IF($B36+G$24 &lt;= LatestYear,H17/G17,""),""),"")</f>
        <v/>
      </c>
      <c r="H36" s="13" t="str">
        <f t="shared" si="53"/>
        <v/>
      </c>
      <c r="I36" s="13" t="str">
        <f t="shared" si="48"/>
        <v/>
      </c>
      <c r="J36" s="13" t="str">
        <f t="shared" si="43"/>
        <v/>
      </c>
      <c r="K36" s="13" t="str">
        <f t="shared" si="37"/>
        <v/>
      </c>
      <c r="L36" s="13" t="str">
        <f t="shared" si="29"/>
        <v/>
      </c>
      <c r="M36" s="13" t="str">
        <f t="shared" si="19"/>
        <v/>
      </c>
      <c r="N36" s="13" t="str">
        <f>IFERROR(IF(#REF!&lt;&gt;"",IF($B36+N$24 &lt;= LatestYear,#REF!/N17,""),""),"")</f>
        <v/>
      </c>
      <c r="T36" s="31">
        <f t="shared" si="30"/>
        <v>11</v>
      </c>
      <c r="U36" s="32">
        <f t="shared" si="20"/>
        <v>60361.276160000001</v>
      </c>
      <c r="V36" s="33">
        <f t="shared" si="20"/>
        <v>174421.01842004477</v>
      </c>
      <c r="W36" s="34">
        <f t="shared" ref="W36" si="66">W15</f>
        <v>114059.74226004476</v>
      </c>
      <c r="X36" s="35">
        <f t="shared" si="11"/>
        <v>4792.5460261373164</v>
      </c>
      <c r="Y36" s="35">
        <f t="shared" si="12"/>
        <v>1684.6198097331246</v>
      </c>
      <c r="Z36" s="35">
        <f t="shared" si="13"/>
        <v>451.69418611239962</v>
      </c>
      <c r="AA36" s="1">
        <f>IF(OR(T36=0,T36=11),0,(HLOOKUP(11-T36+1,$D$99:$N$101,3,FALSE)+IF(T36=1,0,HLOOKUP(11-T36+2,$D$99:$N$104,6,FALSE)))*V36*SUM(V$36:$V37))</f>
        <v>0</v>
      </c>
      <c r="AB36" s="35">
        <f t="shared" si="22"/>
        <v>5100.0459756513565</v>
      </c>
      <c r="AC36" s="96">
        <f t="shared" si="23"/>
        <v>0.85196296876761091</v>
      </c>
      <c r="AD36" s="40">
        <f t="shared" si="32"/>
        <v>4.4713812907132153E-2</v>
      </c>
      <c r="AF36" s="51"/>
    </row>
    <row r="37" spans="2:32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3"/>
      <c r="AC37" s="20"/>
      <c r="AD37" s="20"/>
    </row>
    <row r="38" spans="2:32">
      <c r="B38" s="15" t="s">
        <v>13</v>
      </c>
      <c r="C38" s="16">
        <v>0</v>
      </c>
      <c r="D38" s="16">
        <v>1</v>
      </c>
      <c r="E38" s="16">
        <f>D38+1</f>
        <v>2</v>
      </c>
      <c r="F38" s="16">
        <f t="shared" ref="F38:M38" si="67">E38+1</f>
        <v>3</v>
      </c>
      <c r="G38" s="16">
        <f t="shared" si="67"/>
        <v>4</v>
      </c>
      <c r="H38" s="16">
        <f t="shared" si="67"/>
        <v>5</v>
      </c>
      <c r="I38" s="16">
        <f t="shared" si="67"/>
        <v>6</v>
      </c>
      <c r="J38" s="16">
        <f t="shared" si="67"/>
        <v>7</v>
      </c>
      <c r="K38" s="16">
        <f t="shared" si="67"/>
        <v>8</v>
      </c>
      <c r="L38" s="16">
        <f t="shared" si="67"/>
        <v>9</v>
      </c>
      <c r="M38" s="16">
        <f t="shared" si="67"/>
        <v>10</v>
      </c>
      <c r="N38" s="16"/>
      <c r="O38" s="17"/>
      <c r="P38" s="18"/>
      <c r="T38" s="31" t="s">
        <v>2</v>
      </c>
      <c r="U38" s="42">
        <f t="shared" si="20"/>
        <v>1340758.1883513499</v>
      </c>
      <c r="V38" s="43">
        <f t="shared" si="20"/>
        <v>1586072.8504274632</v>
      </c>
      <c r="W38" s="44">
        <f t="shared" ref="W38" si="68">W17</f>
        <v>245314.66207611284</v>
      </c>
      <c r="X38" s="45">
        <f>+SUMSQ(X25:X36)^0.5</f>
        <v>5516.8695142512361</v>
      </c>
      <c r="Y38" s="45">
        <f>+SUMSQ(Y25:Y36)^0.5</f>
        <v>1977.2784308664495</v>
      </c>
      <c r="Z38" s="45">
        <f>+SUMSQ(Z25:Z36)^0.5</f>
        <v>738.68342916848667</v>
      </c>
      <c r="AA38" s="1" t="s">
        <v>28</v>
      </c>
      <c r="AB38" s="45">
        <f>SUMSQ(X38:Z38)^0.5</f>
        <v>5906.8716287873121</v>
      </c>
      <c r="AC38" s="97">
        <f>IF(AB38=0,"",AB38/AC17)</f>
        <v>0.80493197409782546</v>
      </c>
      <c r="AD38" s="41">
        <f>AB38/$W$38</f>
        <v>2.4078754929677256E-2</v>
      </c>
    </row>
    <row r="39" spans="2:32">
      <c r="B39" s="15" t="s">
        <v>17</v>
      </c>
      <c r="C39" s="19">
        <f>SUM(D6:D17)/(SUM(C6:C17)-VLOOKUP(11-C38,$B6:C17,C38+2,FALSE))</f>
        <v>2.0171433188244361</v>
      </c>
      <c r="D39" s="19">
        <f>SUM(E6:E17)/(SUM(D6:D17)-VLOOKUP(11-D38,$B6:D17,D38+2,FALSE))</f>
        <v>1.188719647365996</v>
      </c>
      <c r="E39" s="19">
        <f>SUM(F6:F17)/(SUM(E6:E17)-VLOOKUP(11-E38,$B6:E17,E38+2,FALSE))</f>
        <v>1.0679386190747573</v>
      </c>
      <c r="F39" s="19">
        <f>SUM(G6:G17)/(SUM(F6:F17)-VLOOKUP(11-F38,$B6:F17,F38+2,FALSE))</f>
        <v>1.0330080258939325</v>
      </c>
      <c r="G39" s="19">
        <f>SUM(H6:H17)/(SUM(G6:G17)-VLOOKUP(11-G38,$B6:G17,G38+2,FALSE))</f>
        <v>1.0225796785638588</v>
      </c>
      <c r="H39" s="19">
        <f>SUM(I6:I17)/(SUM(H6:H17)-VLOOKUP(11-H38,$B6:H17,H38+2,FALSE))</f>
        <v>1.0145918797043163</v>
      </c>
      <c r="I39" s="19">
        <f>SUM(J6:J17)/(SUM(I6:I17)-VLOOKUP(11-I38,$B6:I17,I38+2,FALSE))</f>
        <v>1.0113450250708893</v>
      </c>
      <c r="J39" s="19">
        <f>SUM(K6:K17)/(SUM(J6:J17)-VLOOKUP(11-J38,$B6:J17,J38+2,FALSE))</f>
        <v>1.0087400099976809</v>
      </c>
      <c r="K39" s="19">
        <f>SUM(L6:L17)/(SUM(K6:K17)-VLOOKUP(11-K38,$B6:K17,K38+2,FALSE))</f>
        <v>1.0066166186595176</v>
      </c>
      <c r="L39" s="19">
        <f>SUM(M6:M17)/(SUM(L6:L17)-VLOOKUP(11-L38,$B6:L17,L38+2,FALSE))</f>
        <v>1.0040863784742426</v>
      </c>
      <c r="M39" s="19">
        <f>SUM(N6:N17)/(SUM(M6:M17)-VLOOKUP(11-M38,$B6:M17,M38+2,FALSE))</f>
        <v>1.0211085663148023</v>
      </c>
      <c r="N39" s="19"/>
      <c r="O39" s="17"/>
      <c r="P39" s="18"/>
      <c r="AA39" s="33">
        <f>SUM(AA25:AA36)</f>
        <v>3893092.3290893901</v>
      </c>
      <c r="AB39" s="45">
        <f>(Y38^2+X38^2+Z38^2+2*AA39)^0.5</f>
        <v>6532.7878503094871</v>
      </c>
      <c r="AC39" s="98">
        <f>IF(AB39=0,"",AB39/AC18)</f>
        <v>0.78743762685744911</v>
      </c>
      <c r="AD39" s="40">
        <f>AB39/$W$38</f>
        <v>2.6630238058427114E-2</v>
      </c>
      <c r="AE39" s="38"/>
    </row>
    <row r="40" spans="2:32">
      <c r="B40" s="15" t="s">
        <v>0</v>
      </c>
      <c r="C40" s="19">
        <f>PRODUCT(C$39:$M$39)</f>
        <v>2.8896178065835776</v>
      </c>
      <c r="D40" s="19">
        <f>PRODUCT(D$39:$M$39)</f>
        <v>1.4325297462094104</v>
      </c>
      <c r="E40" s="19">
        <f>PRODUCT(E$39:$M$39)</f>
        <v>1.2051031118932518</v>
      </c>
      <c r="F40" s="19">
        <f>PRODUCT(F$39:$M$39)</f>
        <v>1.1284385547713702</v>
      </c>
      <c r="G40" s="19">
        <f>PRODUCT(G$39:$M$39)</f>
        <v>1.0923812075853476</v>
      </c>
      <c r="H40" s="19">
        <f>PRODUCT(H$39:$M$39)</f>
        <v>1.0682602348596641</v>
      </c>
      <c r="I40" s="19">
        <f>PRODUCT(I$39:$M$39)</f>
        <v>1.0528964958511084</v>
      </c>
      <c r="J40" s="19">
        <f>PRODUCT(J$39:$M$39)</f>
        <v>1.0410853563820186</v>
      </c>
      <c r="K40" s="19">
        <f>PRODUCT(K$39:$M$39)</f>
        <v>1.0320650971149763</v>
      </c>
      <c r="L40" s="19">
        <f>PRODUCT(L$39:$M$39)</f>
        <v>1.0252812023800559</v>
      </c>
      <c r="M40" s="19">
        <f>PRODUCT(M$39:$M$39)</f>
        <v>1.0211085663148023</v>
      </c>
      <c r="N40" s="16"/>
      <c r="O40" s="17"/>
      <c r="P40" s="18"/>
      <c r="AB40" s="39"/>
      <c r="AC40" s="41"/>
      <c r="AD40" s="41"/>
    </row>
    <row r="41" spans="2:32">
      <c r="AB41" s="39"/>
      <c r="AC41" s="41"/>
      <c r="AD41" s="41"/>
    </row>
    <row r="42" spans="2:32">
      <c r="B42" s="20" t="s">
        <v>19</v>
      </c>
      <c r="C42" s="20"/>
    </row>
    <row r="43" spans="2:32">
      <c r="B43" s="6" t="s">
        <v>16</v>
      </c>
      <c r="C43" s="16">
        <v>0</v>
      </c>
      <c r="D43" s="16">
        <v>1</v>
      </c>
      <c r="E43" s="16">
        <f>D43+1</f>
        <v>2</v>
      </c>
      <c r="F43" s="16">
        <f t="shared" ref="F43:M43" si="69">E43+1</f>
        <v>3</v>
      </c>
      <c r="G43" s="16">
        <f t="shared" si="69"/>
        <v>4</v>
      </c>
      <c r="H43" s="16">
        <f t="shared" si="69"/>
        <v>5</v>
      </c>
      <c r="I43" s="16">
        <f t="shared" si="69"/>
        <v>6</v>
      </c>
      <c r="J43" s="16">
        <f t="shared" si="69"/>
        <v>7</v>
      </c>
      <c r="K43" s="16">
        <f t="shared" si="69"/>
        <v>8</v>
      </c>
      <c r="L43" s="16">
        <f t="shared" si="69"/>
        <v>9</v>
      </c>
      <c r="M43" s="16">
        <f t="shared" si="69"/>
        <v>10</v>
      </c>
      <c r="N43" s="1">
        <v>11</v>
      </c>
    </row>
    <row r="44" spans="2:32">
      <c r="B44" s="31">
        <v>0</v>
      </c>
      <c r="C44" s="21">
        <f t="shared" ref="C44:D54" si="70">C6</f>
        <v>28446.238239999999</v>
      </c>
      <c r="D44" s="21">
        <f t="shared" si="70"/>
        <v>57697.431620000003</v>
      </c>
      <c r="E44" s="21">
        <f t="shared" ref="E44:F44" si="71">E6</f>
        <v>70161.415410000001</v>
      </c>
      <c r="F44" s="21">
        <f t="shared" si="71"/>
        <v>75305.500698999997</v>
      </c>
      <c r="G44" s="21">
        <f t="shared" ref="G44:H44" si="72">G6</f>
        <v>78032.448521999991</v>
      </c>
      <c r="H44" s="21">
        <f t="shared" si="72"/>
        <v>80391.810983999996</v>
      </c>
      <c r="I44" s="21">
        <f t="shared" ref="I44:J44" si="73">I6</f>
        <v>81725.667088999995</v>
      </c>
      <c r="J44" s="21">
        <f t="shared" si="73"/>
        <v>82964.097062999994</v>
      </c>
      <c r="K44" s="21">
        <f t="shared" ref="K44:L44" si="74">K6</f>
        <v>83905.537538299992</v>
      </c>
      <c r="L44" s="21">
        <f t="shared" si="74"/>
        <v>84765.601429799994</v>
      </c>
      <c r="M44" s="21">
        <f t="shared" ref="M44:N44" si="75">M6</f>
        <v>85047.471108499987</v>
      </c>
      <c r="N44" s="21">
        <f t="shared" si="75"/>
        <v>86842.7012923</v>
      </c>
    </row>
    <row r="45" spans="2:32">
      <c r="B45" s="31">
        <f>B44+1</f>
        <v>1</v>
      </c>
      <c r="C45" s="21">
        <f t="shared" si="70"/>
        <v>31963.048289999999</v>
      </c>
      <c r="D45" s="21">
        <f t="shared" si="70"/>
        <v>68069.343499999988</v>
      </c>
      <c r="E45" s="21">
        <f t="shared" ref="E45:F45" si="76">E7</f>
        <v>81510.676609999995</v>
      </c>
      <c r="F45" s="21">
        <f t="shared" si="76"/>
        <v>87378.911242000002</v>
      </c>
      <c r="G45" s="21">
        <f t="shared" ref="G45:H45" si="77">G7</f>
        <v>90260.883564999996</v>
      </c>
      <c r="H45" s="21">
        <f t="shared" si="77"/>
        <v>92682.871461000002</v>
      </c>
      <c r="I45" s="21">
        <f t="shared" ref="I45:J45" si="78">I7</f>
        <v>93600.875500099995</v>
      </c>
      <c r="J45" s="21">
        <f t="shared" si="78"/>
        <v>94676.853840099997</v>
      </c>
      <c r="K45" s="21">
        <f t="shared" ref="K45:L45" si="79">K7</f>
        <v>95410.594865599996</v>
      </c>
      <c r="L45" s="21">
        <f t="shared" si="79"/>
        <v>95868.750931999995</v>
      </c>
      <c r="M45" s="21">
        <f t="shared" ref="M45" si="80">M7</f>
        <v>96325.02158249999</v>
      </c>
      <c r="N45" s="22">
        <f t="shared" ref="E45:N55" si="81">M45*M$39</f>
        <v>98358.304688348959</v>
      </c>
    </row>
    <row r="46" spans="2:32">
      <c r="B46" s="31">
        <f t="shared" ref="B46" si="82">B45+1</f>
        <v>2</v>
      </c>
      <c r="C46" s="21">
        <f t="shared" si="70"/>
        <v>37774.740230000003</v>
      </c>
      <c r="D46" s="21">
        <f t="shared" si="70"/>
        <v>77900.131010000012</v>
      </c>
      <c r="E46" s="21">
        <f t="shared" ref="E46:F46" si="83">E8</f>
        <v>90851.307410000009</v>
      </c>
      <c r="F46" s="21">
        <f t="shared" si="83"/>
        <v>96885.06287400001</v>
      </c>
      <c r="G46" s="21">
        <f t="shared" ref="G46:H46" si="84">G8</f>
        <v>99894.718730000008</v>
      </c>
      <c r="H46" s="21">
        <f t="shared" si="84"/>
        <v>101159.11499700001</v>
      </c>
      <c r="I46" s="21">
        <f t="shared" ref="I46:J46" si="85">I8</f>
        <v>102409.06751400001</v>
      </c>
      <c r="J46" s="21">
        <f t="shared" si="85"/>
        <v>103543.77365700001</v>
      </c>
      <c r="K46" s="21">
        <f t="shared" ref="K46:L46" si="86">K8</f>
        <v>104448.14482240002</v>
      </c>
      <c r="L46" s="21">
        <f t="shared" si="86"/>
        <v>105007.48487610002</v>
      </c>
      <c r="M46" s="22">
        <f t="shared" si="81"/>
        <v>105436.58520193207</v>
      </c>
      <c r="N46" s="22">
        <f t="shared" si="81"/>
        <v>107662.20035267336</v>
      </c>
    </row>
    <row r="47" spans="2:32">
      <c r="B47" s="31">
        <f t="shared" ref="B47" si="87">B46+1</f>
        <v>3</v>
      </c>
      <c r="C47" s="21">
        <f t="shared" si="70"/>
        <v>40417.57213</v>
      </c>
      <c r="D47" s="21">
        <f t="shared" si="70"/>
        <v>84916.51436999999</v>
      </c>
      <c r="E47" s="21">
        <f t="shared" ref="E47:F47" si="88">E9</f>
        <v>100286.93799999999</v>
      </c>
      <c r="F47" s="21">
        <f t="shared" si="88"/>
        <v>105880.79154599999</v>
      </c>
      <c r="G47" s="21">
        <f t="shared" ref="G47:H47" si="89">G9</f>
        <v>108496.307886</v>
      </c>
      <c r="H47" s="21">
        <f t="shared" si="89"/>
        <v>110480.61967799999</v>
      </c>
      <c r="I47" s="21">
        <f t="shared" ref="I47:J47" si="90">I9</f>
        <v>112617.42437699999</v>
      </c>
      <c r="J47" s="21">
        <f t="shared" si="90"/>
        <v>113801.77980499998</v>
      </c>
      <c r="K47" s="21">
        <f t="shared" ref="K47" si="91">K9</f>
        <v>114674.41313589999</v>
      </c>
      <c r="L47" s="22">
        <f t="shared" si="81"/>
        <v>115433.16999762421</v>
      </c>
      <c r="M47" s="22">
        <f t="shared" si="81"/>
        <v>115904.8736187161</v>
      </c>
      <c r="N47" s="22">
        <f t="shared" si="81"/>
        <v>118351.45932970554</v>
      </c>
    </row>
    <row r="48" spans="2:32">
      <c r="B48" s="31">
        <f t="shared" ref="B48" si="92">B47+1</f>
        <v>4</v>
      </c>
      <c r="C48" s="21">
        <f t="shared" si="70"/>
        <v>44116.085709999999</v>
      </c>
      <c r="D48" s="21">
        <f t="shared" si="70"/>
        <v>89606.275280000002</v>
      </c>
      <c r="E48" s="21">
        <f t="shared" ref="E48:F48" si="93">E10</f>
        <v>104945.70165</v>
      </c>
      <c r="F48" s="21">
        <f t="shared" si="93"/>
        <v>110423.77840700001</v>
      </c>
      <c r="G48" s="21">
        <f t="shared" ref="G48:H48" si="94">G10</f>
        <v>112964.41806500001</v>
      </c>
      <c r="H48" s="21">
        <f t="shared" si="94"/>
        <v>115870.78669200001</v>
      </c>
      <c r="I48" s="21">
        <f t="shared" ref="I48:J48" si="95">I10</f>
        <v>117165.12471500001</v>
      </c>
      <c r="J48" s="21">
        <f t="shared" si="95"/>
        <v>118289.46107000002</v>
      </c>
      <c r="K48" s="22">
        <f t="shared" si="81"/>
        <v>119323.3121423721</v>
      </c>
      <c r="L48" s="22">
        <f t="shared" si="81"/>
        <v>120112.82899600876</v>
      </c>
      <c r="M48" s="22">
        <f t="shared" si="81"/>
        <v>120603.65547489843</v>
      </c>
      <c r="N48" s="22">
        <f t="shared" si="81"/>
        <v>123149.4257342979</v>
      </c>
    </row>
    <row r="49" spans="2:14">
      <c r="B49" s="31">
        <f t="shared" ref="B49" si="96">B48+1</f>
        <v>5</v>
      </c>
      <c r="C49" s="21">
        <f t="shared" si="70"/>
        <v>50294.259669999999</v>
      </c>
      <c r="D49" s="21">
        <f t="shared" si="70"/>
        <v>98334.581229999996</v>
      </c>
      <c r="E49" s="21">
        <f t="shared" ref="E49:F49" si="97">E11</f>
        <v>116177.48298999999</v>
      </c>
      <c r="F49" s="21">
        <f t="shared" si="97"/>
        <v>123212.68218399999</v>
      </c>
      <c r="G49" s="21">
        <f t="shared" ref="G49:H49" si="98">G11</f>
        <v>127146.28824699999</v>
      </c>
      <c r="H49" s="21">
        <f t="shared" si="98"/>
        <v>129871.97118299999</v>
      </c>
      <c r="I49" s="21">
        <f t="shared" ref="I49" si="99">I11</f>
        <v>132138.57105614999</v>
      </c>
      <c r="J49" s="22">
        <f t="shared" si="81"/>
        <v>133637.68645761348</v>
      </c>
      <c r="K49" s="22">
        <f t="shared" si="81"/>
        <v>134805.68117331996</v>
      </c>
      <c r="L49" s="22">
        <f t="shared" si="81"/>
        <v>135697.63895878033</v>
      </c>
      <c r="M49" s="22">
        <f t="shared" si="81"/>
        <v>136252.15086962705</v>
      </c>
      <c r="N49" s="22">
        <f t="shared" si="81"/>
        <v>139128.23843179303</v>
      </c>
    </row>
    <row r="50" spans="2:14">
      <c r="B50" s="31">
        <f t="shared" ref="B50" si="100">B49+1</f>
        <v>6</v>
      </c>
      <c r="C50" s="21">
        <f t="shared" si="70"/>
        <v>49619.804179999999</v>
      </c>
      <c r="D50" s="21">
        <f t="shared" si="70"/>
        <v>99611.161829999997</v>
      </c>
      <c r="E50" s="21">
        <f t="shared" ref="E50:F50" si="101">E12</f>
        <v>119181.36549</v>
      </c>
      <c r="F50" s="21">
        <f t="shared" si="101"/>
        <v>129228.43264</v>
      </c>
      <c r="G50" s="21">
        <f t="shared" ref="G50:H50" si="102">G12</f>
        <v>134978.322697</v>
      </c>
      <c r="H50" s="21">
        <f t="shared" si="102"/>
        <v>138291.0141644</v>
      </c>
      <c r="I50" s="22">
        <f t="shared" si="81"/>
        <v>140308.94000727482</v>
      </c>
      <c r="J50" s="22">
        <f t="shared" si="81"/>
        <v>141900.74844932725</v>
      </c>
      <c r="K50" s="22">
        <f t="shared" si="81"/>
        <v>143140.96240945277</v>
      </c>
      <c r="L50" s="22">
        <f t="shared" si="81"/>
        <v>144088.07157227246</v>
      </c>
      <c r="M50" s="22">
        <f t="shared" si="81"/>
        <v>144676.86996634051</v>
      </c>
      <c r="N50" s="22">
        <f t="shared" si="81"/>
        <v>147730.79127024303</v>
      </c>
    </row>
    <row r="51" spans="2:14">
      <c r="B51" s="31">
        <f t="shared" ref="B51" si="103">B50+1</f>
        <v>7</v>
      </c>
      <c r="C51" s="21">
        <f t="shared" si="70"/>
        <v>46409.720990000002</v>
      </c>
      <c r="D51" s="21">
        <f t="shared" si="70"/>
        <v>96104.015979999996</v>
      </c>
      <c r="E51" s="21">
        <f t="shared" ref="E51:F51" si="104">E13</f>
        <v>116984.68296000001</v>
      </c>
      <c r="F51" s="21">
        <f t="shared" si="104"/>
        <v>125186.24217400001</v>
      </c>
      <c r="G51" s="21">
        <f t="shared" ref="G51" si="105">G13</f>
        <v>129900.41042400002</v>
      </c>
      <c r="H51" s="22">
        <f t="shared" si="81"/>
        <v>132833.51993668725</v>
      </c>
      <c r="I51" s="22">
        <f t="shared" si="81"/>
        <v>134771.8106803043</v>
      </c>
      <c r="J51" s="22">
        <f t="shared" si="81"/>
        <v>136300.80025132152</v>
      </c>
      <c r="K51" s="22">
        <f t="shared" si="81"/>
        <v>137492.07060820996</v>
      </c>
      <c r="L51" s="22">
        <f t="shared" si="81"/>
        <v>138401.80320813195</v>
      </c>
      <c r="M51" s="22">
        <f t="shared" si="81"/>
        <v>138967.36535755804</v>
      </c>
      <c r="N51" s="22">
        <f t="shared" si="81"/>
        <v>141900.76720480141</v>
      </c>
    </row>
    <row r="52" spans="2:14">
      <c r="B52" s="31">
        <f t="shared" ref="B52" si="106">B51+1</f>
        <v>8</v>
      </c>
      <c r="C52" s="21">
        <f t="shared" si="70"/>
        <v>48294.757790000003</v>
      </c>
      <c r="D52" s="21">
        <f t="shared" si="70"/>
        <v>97648.34739000001</v>
      </c>
      <c r="E52" s="21">
        <f t="shared" ref="E52:F52" si="107">E14</f>
        <v>115952.59353000001</v>
      </c>
      <c r="F52" s="21">
        <f t="shared" si="107"/>
        <v>124786.08131000001</v>
      </c>
      <c r="G52" s="22">
        <f t="shared" si="81"/>
        <v>128905.02351308285</v>
      </c>
      <c r="H52" s="22">
        <f t="shared" si="81"/>
        <v>131815.65750927493</v>
      </c>
      <c r="I52" s="22">
        <f t="shared" si="81"/>
        <v>133739.09572679561</v>
      </c>
      <c r="J52" s="22">
        <f t="shared" si="81"/>
        <v>135256.36912077418</v>
      </c>
      <c r="K52" s="22">
        <f t="shared" si="81"/>
        <v>136438.51113913977</v>
      </c>
      <c r="L52" s="22">
        <f t="shared" si="81"/>
        <v>137341.27273781979</v>
      </c>
      <c r="M52" s="22">
        <f t="shared" si="81"/>
        <v>137902.50115836071</v>
      </c>
      <c r="N52" s="22">
        <f t="shared" si="81"/>
        <v>140813.42524903908</v>
      </c>
    </row>
    <row r="53" spans="2:14">
      <c r="B53" s="31">
        <f t="shared" ref="B53" si="108">B52+1</f>
        <v>9</v>
      </c>
      <c r="C53" s="21">
        <f t="shared" si="70"/>
        <v>52590.220249999998</v>
      </c>
      <c r="D53" s="21">
        <f t="shared" si="70"/>
        <v>103196.04024999999</v>
      </c>
      <c r="E53" s="21">
        <f t="shared" ref="E53" si="109">E15</f>
        <v>121799.75327999999</v>
      </c>
      <c r="F53" s="22">
        <f t="shared" si="81"/>
        <v>130074.66032148933</v>
      </c>
      <c r="G53" s="22">
        <f t="shared" si="81"/>
        <v>134368.16807752551</v>
      </c>
      <c r="H53" s="22">
        <f t="shared" si="81"/>
        <v>137402.15812193058</v>
      </c>
      <c r="I53" s="22">
        <f t="shared" si="81"/>
        <v>139407.11388435925</v>
      </c>
      <c r="J53" s="22">
        <f t="shared" si="81"/>
        <v>140988.69108643761</v>
      </c>
      <c r="K53" s="22">
        <f t="shared" si="81"/>
        <v>142220.93365609302</v>
      </c>
      <c r="L53" s="22">
        <f t="shared" si="81"/>
        <v>143161.95533949594</v>
      </c>
      <c r="M53" s="22">
        <f t="shared" si="81"/>
        <v>143746.96927212575</v>
      </c>
      <c r="N53" s="22">
        <f t="shared" si="81"/>
        <v>146781.26170555825</v>
      </c>
    </row>
    <row r="54" spans="2:14">
      <c r="B54" s="31">
        <f t="shared" ref="B54" si="110">B53+1</f>
        <v>10</v>
      </c>
      <c r="C54" s="21">
        <f t="shared" si="70"/>
        <v>58599</v>
      </c>
      <c r="D54" s="21">
        <f t="shared" si="70"/>
        <v>112342</v>
      </c>
      <c r="E54" s="22">
        <f t="shared" si="81"/>
        <v>133543.14262439072</v>
      </c>
      <c r="F54" s="22">
        <f t="shared" si="81"/>
        <v>142615.87932119519</v>
      </c>
      <c r="G54" s="22">
        <f t="shared" si="81"/>
        <v>147323.34795871514</v>
      </c>
      <c r="H54" s="22">
        <f t="shared" si="81"/>
        <v>150649.86180057444</v>
      </c>
      <c r="I54" s="22">
        <f t="shared" si="81"/>
        <v>152848.12646144029</v>
      </c>
      <c r="J54" s="22">
        <f t="shared" si="81"/>
        <v>154582.19228818378</v>
      </c>
      <c r="K54" s="22">
        <f t="shared" si="81"/>
        <v>155933.24219424595</v>
      </c>
      <c r="L54" s="22">
        <f t="shared" si="81"/>
        <v>156964.99299418746</v>
      </c>
      <c r="M54" s="22">
        <f t="shared" si="81"/>
        <v>157606.41136276856</v>
      </c>
      <c r="N54" s="22">
        <f t="shared" si="81"/>
        <v>160933.25674865756</v>
      </c>
    </row>
    <row r="55" spans="2:14">
      <c r="B55" s="31">
        <f t="shared" ref="B55" si="111">B54+1</f>
        <v>11</v>
      </c>
      <c r="C55" s="21">
        <f>C17</f>
        <v>60361.276160000001</v>
      </c>
      <c r="D55" s="22">
        <f>C55*C$39</f>
        <v>121757.34492186071</v>
      </c>
      <c r="E55" s="22">
        <f t="shared" si="81"/>
        <v>144735.3481197342</v>
      </c>
      <c r="F55" s="22">
        <f t="shared" si="81"/>
        <v>154568.46780229322</v>
      </c>
      <c r="G55" s="22">
        <f t="shared" si="81"/>
        <v>159670.46778989679</v>
      </c>
      <c r="H55" s="22">
        <f t="shared" si="81"/>
        <v>163275.77562873362</v>
      </c>
      <c r="I55" s="22">
        <f t="shared" si="81"/>
        <v>165658.27610533705</v>
      </c>
      <c r="J55" s="22">
        <f t="shared" si="81"/>
        <v>167537.67340095239</v>
      </c>
      <c r="K55" s="22">
        <f t="shared" si="81"/>
        <v>169001.95434146491</v>
      </c>
      <c r="L55" s="22">
        <f t="shared" si="81"/>
        <v>170120.17582605558</v>
      </c>
      <c r="M55" s="22">
        <f t="shared" si="81"/>
        <v>170815.35125058555</v>
      </c>
      <c r="N55" s="22">
        <f t="shared" si="81"/>
        <v>174421.01842004477</v>
      </c>
    </row>
    <row r="58" spans="2:14">
      <c r="B58" s="2"/>
      <c r="C58" s="2"/>
      <c r="D58" s="2" t="s">
        <v>5</v>
      </c>
      <c r="E58" s="3" t="s">
        <v>12</v>
      </c>
      <c r="F58" s="2"/>
      <c r="G58" s="2"/>
      <c r="H58" s="2"/>
      <c r="I58" s="2"/>
      <c r="J58" s="2"/>
      <c r="K58" s="2"/>
      <c r="L58" s="2"/>
      <c r="M58" s="2"/>
      <c r="N58" s="2"/>
    </row>
    <row r="59" spans="2:14">
      <c r="B59" s="2"/>
      <c r="C59" s="4" t="s">
        <v>4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2:14">
      <c r="B60" s="6" t="s">
        <v>16</v>
      </c>
      <c r="C60" s="7">
        <v>0</v>
      </c>
      <c r="D60" s="7">
        <v>1</v>
      </c>
      <c r="E60" s="7">
        <v>2</v>
      </c>
      <c r="F60" s="7">
        <v>3</v>
      </c>
      <c r="G60" s="7">
        <v>4</v>
      </c>
      <c r="H60" s="7">
        <v>5</v>
      </c>
      <c r="I60" s="7">
        <v>6</v>
      </c>
      <c r="J60" s="7">
        <v>7</v>
      </c>
      <c r="K60" s="7">
        <v>8</v>
      </c>
      <c r="L60" s="7">
        <v>9</v>
      </c>
      <c r="M60" s="7">
        <v>10</v>
      </c>
      <c r="N60" s="7">
        <v>11</v>
      </c>
    </row>
    <row r="61" spans="2:14">
      <c r="B61" s="31">
        <v>0</v>
      </c>
      <c r="C61" s="23">
        <f t="shared" ref="C61:M61" si="112">C6*(C25-C$39)^2</f>
        <v>3.5391092742305594</v>
      </c>
      <c r="D61" s="23">
        <f t="shared" si="112"/>
        <v>43.012510220943462</v>
      </c>
      <c r="E61" s="23">
        <f t="shared" si="112"/>
        <v>2.0302119711079523</v>
      </c>
      <c r="F61" s="23">
        <f t="shared" si="112"/>
        <v>0.77294894440489625</v>
      </c>
      <c r="G61" s="23">
        <f t="shared" si="112"/>
        <v>4.5737961311247224</v>
      </c>
      <c r="H61" s="23">
        <f t="shared" si="112"/>
        <v>0.321586635993729</v>
      </c>
      <c r="I61" s="23">
        <f t="shared" si="112"/>
        <v>1.1853890011970472</v>
      </c>
      <c r="J61" s="23">
        <f t="shared" si="112"/>
        <v>0.5641013142592588</v>
      </c>
      <c r="K61" s="23">
        <f t="shared" si="112"/>
        <v>1.107909100663367</v>
      </c>
      <c r="L61" s="23">
        <f t="shared" si="112"/>
        <v>4.9101758710533232E-2</v>
      </c>
      <c r="M61" s="23">
        <f t="shared" si="112"/>
        <v>0</v>
      </c>
      <c r="N61" s="23"/>
    </row>
    <row r="62" spans="2:14">
      <c r="B62" s="31">
        <f>B61+1</f>
        <v>1</v>
      </c>
      <c r="C62" s="23">
        <f t="shared" ref="C62:D70" si="113">C7*(C26-C$39)^2</f>
        <v>404.40887282725805</v>
      </c>
      <c r="D62" s="23">
        <f t="shared" si="113"/>
        <v>5.2063778210116611</v>
      </c>
      <c r="E62" s="23">
        <f t="shared" ref="E62:F62" si="114">E7*(E26-E$39)^2</f>
        <v>1.3401687958285986</v>
      </c>
      <c r="F62" s="23">
        <f t="shared" si="114"/>
        <v>5.7067270302154168E-5</v>
      </c>
      <c r="G62" s="23">
        <f t="shared" ref="G62:H62" si="115">G7*(G26-G$39)^2</f>
        <v>1.6330362515630512</v>
      </c>
      <c r="H62" s="23">
        <f t="shared" si="115"/>
        <v>2.0361355646016008</v>
      </c>
      <c r="I62" s="23">
        <f t="shared" ref="I62:J62" si="116">I7*(I26-I$39)^2</f>
        <v>2.1162108386254194E-3</v>
      </c>
      <c r="J62" s="23">
        <f t="shared" si="116"/>
        <v>9.2803750625960801E-2</v>
      </c>
      <c r="K62" s="23">
        <f t="shared" ref="K62:L62" si="117">K7*(K26-K$39)^2</f>
        <v>0.31419226798399613</v>
      </c>
      <c r="L62" s="23">
        <f t="shared" si="117"/>
        <v>4.3414982128085741E-2</v>
      </c>
      <c r="M62" s="23"/>
      <c r="N62" s="23"/>
    </row>
    <row r="63" spans="2:14">
      <c r="B63" s="31">
        <f t="shared" ref="B63" si="118">B62+1</f>
        <v>2</v>
      </c>
      <c r="C63" s="23">
        <f t="shared" si="113"/>
        <v>76.78237471901997</v>
      </c>
      <c r="D63" s="23">
        <f t="shared" si="113"/>
        <v>39.318046851016696</v>
      </c>
      <c r="E63" s="23">
        <f t="shared" ref="E63:F63" si="119">E8*(E27-E$39)^2</f>
        <v>0.21131248187342908</v>
      </c>
      <c r="F63" s="23">
        <f t="shared" si="119"/>
        <v>0.36608057940838923</v>
      </c>
      <c r="G63" s="23">
        <f t="shared" ref="G63:H63" si="120">G8*(G27-G$39)^2</f>
        <v>9.8350172649090748</v>
      </c>
      <c r="H63" s="23">
        <f t="shared" si="120"/>
        <v>0.50557406015716133</v>
      </c>
      <c r="I63" s="23">
        <f t="shared" ref="I63:J63" si="121">I8*(I27-I$39)^2</f>
        <v>7.1857910178996674E-3</v>
      </c>
      <c r="J63" s="23">
        <f t="shared" si="121"/>
        <v>3.5052603268605427E-6</v>
      </c>
      <c r="K63" s="23">
        <f t="shared" ref="K63" si="122">K8*(K27-K$39)^2</f>
        <v>0.1661971328596136</v>
      </c>
      <c r="L63" s="23"/>
      <c r="M63" s="23"/>
      <c r="N63" s="23"/>
    </row>
    <row r="64" spans="2:14">
      <c r="B64" s="31">
        <f t="shared" ref="B64" si="123">B63+1</f>
        <v>3</v>
      </c>
      <c r="C64" s="23">
        <f t="shared" si="113"/>
        <v>284.07912376713296</v>
      </c>
      <c r="D64" s="23">
        <f t="shared" si="113"/>
        <v>5.0521766717678016</v>
      </c>
      <c r="E64" s="23">
        <f t="shared" ref="E64:F64" si="124">E9*(E28-E$39)^2</f>
        <v>14.829313343734166</v>
      </c>
      <c r="F64" s="23">
        <f t="shared" si="124"/>
        <v>7.3039083926507216</v>
      </c>
      <c r="G64" s="23">
        <f t="shared" ref="G64:H64" si="125">G9*(G28-G$39)^2</f>
        <v>1.9972128272260408</v>
      </c>
      <c r="H64" s="23">
        <f t="shared" si="125"/>
        <v>2.4917865822251053</v>
      </c>
      <c r="I64" s="23">
        <f t="shared" ref="I64:J64" si="126">I9*(I28-I$39)^2</f>
        <v>7.7282989745888306E-2</v>
      </c>
      <c r="J64" s="23">
        <f t="shared" si="126"/>
        <v>0.13077887235426033</v>
      </c>
      <c r="K64" s="23"/>
      <c r="L64" s="23"/>
      <c r="M64" s="23"/>
      <c r="N64" s="23"/>
    </row>
    <row r="65" spans="1:16">
      <c r="B65" s="31">
        <f t="shared" ref="B65" si="127">B64+1</f>
        <v>4</v>
      </c>
      <c r="C65" s="23">
        <f t="shared" si="113"/>
        <v>8.6518646029635704</v>
      </c>
      <c r="D65" s="23">
        <f t="shared" si="113"/>
        <v>27.544514495138348</v>
      </c>
      <c r="E65" s="23">
        <f t="shared" ref="E65:F65" si="128">E10*(E29-E$39)^2</f>
        <v>25.998281194389651</v>
      </c>
      <c r="F65" s="23">
        <f t="shared" si="128"/>
        <v>11.042247738965665</v>
      </c>
      <c r="G65" s="23">
        <f t="shared" ref="G65:H65" si="129">G10*(G29-G$39)^2</f>
        <v>1.1198215972123926</v>
      </c>
      <c r="H65" s="23">
        <f t="shared" si="129"/>
        <v>1.3563415161769459</v>
      </c>
      <c r="I65" s="23">
        <f t="shared" ref="I65" si="130">I10*(I29-I$39)^2</f>
        <v>0.3583491870585927</v>
      </c>
      <c r="J65" s="23"/>
      <c r="K65" s="23"/>
      <c r="L65" s="23"/>
      <c r="M65" s="23"/>
      <c r="N65" s="23"/>
    </row>
    <row r="66" spans="1:16">
      <c r="B66" s="31">
        <f t="shared" ref="B66" si="131">B65+1</f>
        <v>5</v>
      </c>
      <c r="C66" s="23">
        <f t="shared" si="113"/>
        <v>193.0713843155082</v>
      </c>
      <c r="D66" s="23">
        <f t="shared" si="113"/>
        <v>5.1954261415516649</v>
      </c>
      <c r="E66" s="23">
        <f t="shared" ref="E66:F66" si="132">E11*(E30-E$39)^2</f>
        <v>6.3326854048274006</v>
      </c>
      <c r="F66" s="23">
        <f t="shared" si="132"/>
        <v>0.14443251670676369</v>
      </c>
      <c r="G66" s="23">
        <f t="shared" ref="G66:H66" si="133">G11*(G30-G$39)^2</f>
        <v>0.1659071509251242</v>
      </c>
      <c r="H66" s="23">
        <f t="shared" si="133"/>
        <v>1.0628148088394351</v>
      </c>
      <c r="I66" s="23"/>
      <c r="J66" s="23"/>
      <c r="K66" s="23"/>
      <c r="L66" s="23"/>
      <c r="M66" s="23"/>
      <c r="N66" s="23"/>
    </row>
    <row r="67" spans="1:16">
      <c r="B67" s="31">
        <f t="shared" ref="B67" si="134">B66+1</f>
        <v>6</v>
      </c>
      <c r="C67" s="23">
        <f t="shared" si="113"/>
        <v>4.6258079891187194</v>
      </c>
      <c r="D67" s="23">
        <f t="shared" si="113"/>
        <v>5.9772209874277111</v>
      </c>
      <c r="E67" s="23">
        <f t="shared" ref="E67:F67" si="135">E12*(E31-E$39)^2</f>
        <v>31.906783812947747</v>
      </c>
      <c r="F67" s="23">
        <f t="shared" si="135"/>
        <v>17.048801143293247</v>
      </c>
      <c r="G67" s="23">
        <f t="shared" ref="G67" si="136">G12*(G31-G$39)^2</f>
        <v>0.5199716374064296</v>
      </c>
      <c r="H67" s="23"/>
      <c r="I67" s="23"/>
      <c r="J67" s="23"/>
      <c r="K67" s="23"/>
      <c r="L67" s="23"/>
      <c r="M67" s="23"/>
      <c r="N67" s="23"/>
    </row>
    <row r="68" spans="1:16">
      <c r="B68" s="31">
        <f t="shared" ref="B68" si="137">B67+1</f>
        <v>7</v>
      </c>
      <c r="C68" s="23">
        <f t="shared" si="113"/>
        <v>133.48299861329619</v>
      </c>
      <c r="D68" s="23">
        <f t="shared" si="113"/>
        <v>78.344977260637279</v>
      </c>
      <c r="E68" s="23">
        <f t="shared" ref="E68:F68" si="138">E13*(E32-E$39)^2</f>
        <v>0.55054215442618448</v>
      </c>
      <c r="F68" s="23">
        <f t="shared" si="138"/>
        <v>2.705923554929746</v>
      </c>
      <c r="G68" s="23"/>
      <c r="H68" s="23"/>
      <c r="I68" s="23"/>
      <c r="J68" s="23"/>
      <c r="K68" s="23"/>
      <c r="L68" s="23"/>
      <c r="M68" s="23"/>
      <c r="N68" s="23"/>
    </row>
    <row r="69" spans="1:16">
      <c r="B69" s="31">
        <f t="shared" ref="B69" si="139">B68+1</f>
        <v>8</v>
      </c>
      <c r="C69" s="23">
        <f t="shared" si="113"/>
        <v>1.1039401783080571</v>
      </c>
      <c r="D69" s="23">
        <f t="shared" si="113"/>
        <v>0.15724856365372675</v>
      </c>
      <c r="E69" s="23">
        <f t="shared" ref="E69" si="140">E14*(E33-E$39)^2</f>
        <v>7.8791553601963855</v>
      </c>
      <c r="F69" s="23"/>
      <c r="G69" s="23"/>
      <c r="H69" s="23"/>
      <c r="I69" s="23"/>
      <c r="J69" s="23"/>
      <c r="K69" s="23"/>
      <c r="L69" s="23"/>
      <c r="M69" s="23"/>
      <c r="N69" s="23"/>
    </row>
    <row r="70" spans="1:16">
      <c r="B70" s="31">
        <f t="shared" ref="B70" si="141">B69+1</f>
        <v>9</v>
      </c>
      <c r="C70" s="23">
        <f t="shared" si="113"/>
        <v>158.37221279698275</v>
      </c>
      <c r="D70" s="23">
        <f t="shared" si="113"/>
        <v>7.3583315105229525</v>
      </c>
      <c r="E70" s="23"/>
      <c r="F70" s="23"/>
      <c r="G70" s="23"/>
      <c r="H70" s="23"/>
      <c r="I70" s="23"/>
      <c r="J70" s="23"/>
      <c r="K70" s="23"/>
      <c r="L70" s="23"/>
      <c r="M70" s="23"/>
      <c r="N70" s="23"/>
    </row>
    <row r="71" spans="1:16">
      <c r="B71" s="31">
        <f t="shared" ref="B71" si="142">B70+1</f>
        <v>10</v>
      </c>
      <c r="C71" s="23">
        <f>C16*(C35-C$39)^2</f>
        <v>586.12627588067107</v>
      </c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</row>
    <row r="72" spans="1:16">
      <c r="B72" s="31">
        <f t="shared" ref="B72" si="143">B71+1</f>
        <v>11</v>
      </c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</row>
    <row r="73" spans="1:16">
      <c r="B73" s="10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</row>
    <row r="74" spans="1:16">
      <c r="A74" s="20"/>
      <c r="B74" s="24" t="s">
        <v>11</v>
      </c>
      <c r="C74" s="25">
        <f t="shared" ref="C74:L74" si="144">SUM(C61:C72)/(11-C$60-1)</f>
        <v>185.42439649644899</v>
      </c>
      <c r="D74" s="25">
        <f t="shared" si="144"/>
        <v>24.129647835963478</v>
      </c>
      <c r="E74" s="25">
        <f t="shared" si="144"/>
        <v>11.384806814916438</v>
      </c>
      <c r="F74" s="25">
        <f t="shared" si="144"/>
        <v>5.6263428482328184</v>
      </c>
      <c r="G74" s="25">
        <f t="shared" si="144"/>
        <v>3.307460476727806</v>
      </c>
      <c r="H74" s="25">
        <f t="shared" si="144"/>
        <v>1.5548478335987954</v>
      </c>
      <c r="I74" s="25">
        <f t="shared" si="144"/>
        <v>0.40758079496451327</v>
      </c>
      <c r="J74" s="25">
        <f t="shared" si="144"/>
        <v>0.26256248083326894</v>
      </c>
      <c r="K74" s="25">
        <f t="shared" si="144"/>
        <v>0.79414925075348841</v>
      </c>
      <c r="L74" s="25">
        <f t="shared" si="144"/>
        <v>9.2516740838618966E-2</v>
      </c>
      <c r="M74" s="26">
        <f>MIN(L74,K74,L74^2/K74)</f>
        <v>1.0778008450274407E-2</v>
      </c>
      <c r="N74" s="16"/>
      <c r="O74" s="17"/>
      <c r="P74" s="18"/>
    </row>
    <row r="75" spans="1:16">
      <c r="A75" s="20"/>
      <c r="B75" s="24" t="s">
        <v>18</v>
      </c>
      <c r="C75" s="26">
        <f>C74/C39^2</f>
        <v>45.571504010707663</v>
      </c>
      <c r="D75" s="26">
        <f>D74/D39^2</f>
        <v>17.076234174270962</v>
      </c>
      <c r="E75" s="26">
        <f t="shared" ref="E75:M75" si="145">E74/E39^2</f>
        <v>9.982356640448657</v>
      </c>
      <c r="F75" s="26">
        <f t="shared" si="145"/>
        <v>5.2725268665551628</v>
      </c>
      <c r="G75" s="26">
        <f t="shared" si="145"/>
        <v>3.163008415905912</v>
      </c>
      <c r="H75" s="26">
        <f t="shared" si="145"/>
        <v>1.5104457399563562</v>
      </c>
      <c r="I75" s="26">
        <f t="shared" si="145"/>
        <v>0.39848779765230197</v>
      </c>
      <c r="J75" s="26">
        <f t="shared" si="145"/>
        <v>0.25803235951179332</v>
      </c>
      <c r="K75" s="26">
        <f t="shared" si="145"/>
        <v>0.78374347533794542</v>
      </c>
      <c r="L75" s="26">
        <f t="shared" si="145"/>
        <v>9.1765233547765904E-2</v>
      </c>
      <c r="M75" s="26">
        <f t="shared" si="145"/>
        <v>1.0337003910127202E-2</v>
      </c>
      <c r="N75" s="16"/>
      <c r="O75" s="17"/>
      <c r="P75" s="18"/>
    </row>
    <row r="76" spans="1:16">
      <c r="A76" s="20"/>
      <c r="B76" s="29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16"/>
      <c r="O76" s="17"/>
      <c r="P76" s="18"/>
    </row>
    <row r="77" spans="1:16">
      <c r="B77" s="20"/>
      <c r="C77" s="24" t="s">
        <v>31</v>
      </c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16"/>
      <c r="O77" s="17"/>
      <c r="P77" s="18"/>
    </row>
    <row r="78" spans="1:16">
      <c r="A78" s="20"/>
      <c r="B78" s="6" t="s">
        <v>16</v>
      </c>
      <c r="C78" s="30">
        <v>0</v>
      </c>
      <c r="D78" s="30">
        <f>D60</f>
        <v>1</v>
      </c>
      <c r="E78" s="30">
        <f t="shared" ref="E78:N78" si="146">E60</f>
        <v>2</v>
      </c>
      <c r="F78" s="30">
        <f t="shared" si="146"/>
        <v>3</v>
      </c>
      <c r="G78" s="30">
        <f t="shared" si="146"/>
        <v>4</v>
      </c>
      <c r="H78" s="30">
        <f t="shared" si="146"/>
        <v>5</v>
      </c>
      <c r="I78" s="30">
        <f t="shared" si="146"/>
        <v>6</v>
      </c>
      <c r="J78" s="30">
        <f t="shared" si="146"/>
        <v>7</v>
      </c>
      <c r="K78" s="30">
        <f t="shared" si="146"/>
        <v>8</v>
      </c>
      <c r="L78" s="30">
        <f t="shared" si="146"/>
        <v>9</v>
      </c>
      <c r="M78" s="30">
        <f t="shared" si="146"/>
        <v>10</v>
      </c>
      <c r="N78" s="30">
        <f t="shared" si="146"/>
        <v>11</v>
      </c>
      <c r="O78" s="17" t="s">
        <v>2</v>
      </c>
      <c r="P78" s="18"/>
    </row>
    <row r="79" spans="1:16">
      <c r="A79" s="20"/>
      <c r="B79" s="31">
        <v>0</v>
      </c>
      <c r="C79" s="30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18"/>
    </row>
    <row r="80" spans="1:16">
      <c r="A80" s="20"/>
      <c r="B80" s="31">
        <f>B79+1</f>
        <v>1</v>
      </c>
      <c r="C80" s="30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>
        <f t="shared" ref="E80:N89" si="147">M$75/M45</f>
        <v>1.0731379801741144E-7</v>
      </c>
      <c r="O80" s="48">
        <f>SUM(C80:N80)</f>
        <v>1.0731379801741144E-7</v>
      </c>
      <c r="P80" s="18"/>
    </row>
    <row r="81" spans="1:16">
      <c r="A81" s="20"/>
      <c r="B81" s="31">
        <f t="shared" ref="B81" si="148">B80+1</f>
        <v>2</v>
      </c>
      <c r="C81" s="30"/>
      <c r="D81" s="48"/>
      <c r="E81" s="48"/>
      <c r="F81" s="48"/>
      <c r="G81" s="48"/>
      <c r="H81" s="48"/>
      <c r="I81" s="48"/>
      <c r="J81" s="48"/>
      <c r="K81" s="48"/>
      <c r="L81" s="48"/>
      <c r="M81" s="48">
        <f t="shared" si="147"/>
        <v>8.738923102104688E-7</v>
      </c>
      <c r="N81" s="48">
        <f t="shared" si="147"/>
        <v>9.8040010403692216E-8</v>
      </c>
      <c r="O81" s="48">
        <f t="shared" ref="O81:O90" si="149">SUM(C81:N81)</f>
        <v>9.7193232061416103E-7</v>
      </c>
      <c r="P81" s="18"/>
    </row>
    <row r="82" spans="1:16">
      <c r="A82" s="20"/>
      <c r="B82" s="31">
        <f t="shared" ref="B82" si="150">B81+1</f>
        <v>3</v>
      </c>
      <c r="C82" s="30"/>
      <c r="D82" s="48"/>
      <c r="E82" s="48"/>
      <c r="F82" s="48"/>
      <c r="G82" s="48"/>
      <c r="H82" s="48"/>
      <c r="I82" s="48"/>
      <c r="J82" s="48"/>
      <c r="K82" s="48"/>
      <c r="L82" s="48">
        <f t="shared" si="147"/>
        <v>6.8345104536016721E-6</v>
      </c>
      <c r="M82" s="48">
        <f t="shared" si="147"/>
        <v>7.9496416454347194E-7</v>
      </c>
      <c r="N82" s="48">
        <f t="shared" si="147"/>
        <v>8.9185239476056016E-8</v>
      </c>
      <c r="O82" s="48">
        <f t="shared" si="149"/>
        <v>7.7186598576212003E-6</v>
      </c>
      <c r="P82" s="18"/>
    </row>
    <row r="83" spans="1:16">
      <c r="A83" s="20"/>
      <c r="B83" s="31">
        <f t="shared" ref="B83" si="151">B82+1</f>
        <v>4</v>
      </c>
      <c r="C83" s="30"/>
      <c r="D83" s="48"/>
      <c r="E83" s="48"/>
      <c r="F83" s="48"/>
      <c r="G83" s="48"/>
      <c r="H83" s="48"/>
      <c r="I83" s="48"/>
      <c r="J83" s="48"/>
      <c r="K83" s="48">
        <f t="shared" si="147"/>
        <v>2.1813638947860098E-6</v>
      </c>
      <c r="L83" s="48">
        <f t="shared" si="147"/>
        <v>6.5682343312999227E-6</v>
      </c>
      <c r="M83" s="48">
        <f t="shared" si="147"/>
        <v>7.6399194253275959E-7</v>
      </c>
      <c r="N83" s="48">
        <f t="shared" si="147"/>
        <v>8.5710535633629031E-8</v>
      </c>
      <c r="O83" s="48">
        <f t="shared" si="149"/>
        <v>9.5993007042523215E-6</v>
      </c>
      <c r="P83" s="18"/>
    </row>
    <row r="84" spans="1:16">
      <c r="A84" s="20"/>
      <c r="B84" s="31">
        <f t="shared" ref="B84" si="152">B83+1</f>
        <v>5</v>
      </c>
      <c r="C84" s="30"/>
      <c r="D84" s="48"/>
      <c r="E84" s="48"/>
      <c r="F84" s="48"/>
      <c r="G84" s="48"/>
      <c r="H84" s="48"/>
      <c r="I84" s="48"/>
      <c r="J84" s="48">
        <f t="shared" si="147"/>
        <v>3.0156811479592247E-6</v>
      </c>
      <c r="K84" s="48">
        <f t="shared" si="147"/>
        <v>1.9308352782179802E-6</v>
      </c>
      <c r="L84" s="48">
        <f t="shared" si="147"/>
        <v>5.8138757099582825E-6</v>
      </c>
      <c r="M84" s="48">
        <f t="shared" si="147"/>
        <v>6.762478275369302E-7</v>
      </c>
      <c r="N84" s="48">
        <f t="shared" si="147"/>
        <v>7.5866720959276238E-8</v>
      </c>
      <c r="O84" s="48">
        <f t="shared" si="149"/>
        <v>1.1512506684631695E-5</v>
      </c>
      <c r="P84" s="18"/>
    </row>
    <row r="85" spans="1:16">
      <c r="A85" s="20"/>
      <c r="B85" s="31">
        <f t="shared" ref="B85" si="153">B84+1</f>
        <v>6</v>
      </c>
      <c r="C85" s="30"/>
      <c r="D85" s="48"/>
      <c r="E85" s="48"/>
      <c r="F85" s="48"/>
      <c r="G85" s="48"/>
      <c r="H85" s="48"/>
      <c r="I85" s="48">
        <f t="shared" si="147"/>
        <v>1.0922226213199524E-5</v>
      </c>
      <c r="J85" s="48">
        <f t="shared" si="147"/>
        <v>2.840074179390429E-6</v>
      </c>
      <c r="K85" s="48">
        <f t="shared" si="147"/>
        <v>1.8184002715386427E-6</v>
      </c>
      <c r="L85" s="48">
        <f t="shared" si="147"/>
        <v>5.4753262947615087E-6</v>
      </c>
      <c r="M85" s="48">
        <f t="shared" si="147"/>
        <v>6.3686905200711091E-7</v>
      </c>
      <c r="N85" s="48">
        <f t="shared" si="147"/>
        <v>7.1448904807880731E-8</v>
      </c>
      <c r="O85" s="48">
        <f t="shared" si="149"/>
        <v>2.1764344915705094E-5</v>
      </c>
      <c r="P85" s="18"/>
    </row>
    <row r="86" spans="1:16">
      <c r="A86" s="20"/>
      <c r="B86" s="31">
        <f t="shared" ref="B86" si="154">B85+1</f>
        <v>7</v>
      </c>
      <c r="C86" s="30"/>
      <c r="D86" s="48"/>
      <c r="E86" s="48"/>
      <c r="F86" s="48"/>
      <c r="G86" s="48"/>
      <c r="H86" s="48">
        <f t="shared" si="147"/>
        <v>2.4349487469529379E-5</v>
      </c>
      <c r="I86" s="48">
        <f t="shared" si="147"/>
        <v>1.1370968266716741E-5</v>
      </c>
      <c r="J86" s="48">
        <f t="shared" si="147"/>
        <v>2.9567592483977614E-6</v>
      </c>
      <c r="K86" s="48">
        <f t="shared" si="147"/>
        <v>1.8931096445216325E-6</v>
      </c>
      <c r="L86" s="48">
        <f t="shared" si="147"/>
        <v>5.7002812734652807E-6</v>
      </c>
      <c r="M86" s="48">
        <f t="shared" si="147"/>
        <v>6.6303495634205817E-7</v>
      </c>
      <c r="N86" s="48">
        <f t="shared" si="147"/>
        <v>7.4384398693394393E-8</v>
      </c>
      <c r="O86" s="48">
        <f t="shared" si="149"/>
        <v>4.7008025257666253E-5</v>
      </c>
      <c r="P86" s="18"/>
    </row>
    <row r="87" spans="1:16">
      <c r="A87" s="20"/>
      <c r="B87" s="31">
        <f t="shared" ref="B87" si="155">B86+1</f>
        <v>8</v>
      </c>
      <c r="C87" s="30"/>
      <c r="D87" s="48"/>
      <c r="E87" s="48"/>
      <c r="F87" s="48"/>
      <c r="G87" s="48">
        <f t="shared" si="147"/>
        <v>4.2252523768711672E-5</v>
      </c>
      <c r="H87" s="48">
        <f t="shared" si="147"/>
        <v>2.4537510871986237E-5</v>
      </c>
      <c r="I87" s="48">
        <f t="shared" si="147"/>
        <v>1.1458773324026981E-5</v>
      </c>
      <c r="J87" s="48">
        <f t="shared" si="147"/>
        <v>2.9795909377639228E-6</v>
      </c>
      <c r="K87" s="48">
        <f t="shared" si="147"/>
        <v>1.9077279775371541E-6</v>
      </c>
      <c r="L87" s="48">
        <f t="shared" si="147"/>
        <v>5.7442980636067268E-6</v>
      </c>
      <c r="M87" s="48">
        <f t="shared" si="147"/>
        <v>6.6815482133286238E-7</v>
      </c>
      <c r="N87" s="48">
        <f t="shared" si="147"/>
        <v>7.4958784817518826E-8</v>
      </c>
      <c r="O87" s="48">
        <f t="shared" si="149"/>
        <v>8.9623538549783076E-5</v>
      </c>
      <c r="P87" s="18"/>
    </row>
    <row r="88" spans="1:16">
      <c r="A88" s="20"/>
      <c r="B88" s="31">
        <f t="shared" ref="B88" si="156">B87+1</f>
        <v>9</v>
      </c>
      <c r="C88" s="30"/>
      <c r="D88" s="48"/>
      <c r="E88" s="48"/>
      <c r="F88" s="48">
        <f t="shared" si="147"/>
        <v>8.1957117084635351E-5</v>
      </c>
      <c r="G88" s="48">
        <f t="shared" si="147"/>
        <v>4.0534619529458816E-5</v>
      </c>
      <c r="H88" s="48">
        <f t="shared" si="147"/>
        <v>2.3539864099962813E-5</v>
      </c>
      <c r="I88" s="48">
        <f t="shared" si="147"/>
        <v>1.0992882212344785E-5</v>
      </c>
      <c r="J88" s="48">
        <f t="shared" si="147"/>
        <v>2.8584466498808293E-6</v>
      </c>
      <c r="K88" s="48">
        <f t="shared" si="147"/>
        <v>1.8301635225026549E-6</v>
      </c>
      <c r="L88" s="48">
        <f t="shared" si="147"/>
        <v>5.5107462396016155E-6</v>
      </c>
      <c r="M88" s="48">
        <f t="shared" si="147"/>
        <v>6.4098896477177023E-7</v>
      </c>
      <c r="N88" s="48">
        <f t="shared" si="147"/>
        <v>7.1911108543501453E-8</v>
      </c>
      <c r="O88" s="48">
        <f t="shared" si="149"/>
        <v>1.6793673941170213E-4</v>
      </c>
      <c r="P88" s="18"/>
    </row>
    <row r="89" spans="1:16">
      <c r="A89" s="20"/>
      <c r="B89" s="31">
        <f t="shared" ref="B89" si="157">B88+1</f>
        <v>10</v>
      </c>
      <c r="C89" s="30"/>
      <c r="D89" s="48"/>
      <c r="E89" s="48">
        <f t="shared" si="147"/>
        <v>1.5200222689885315E-4</v>
      </c>
      <c r="F89" s="48">
        <f t="shared" si="147"/>
        <v>7.4750050390273281E-5</v>
      </c>
      <c r="G89" s="48">
        <f t="shared" si="147"/>
        <v>3.6970124867235414E-5</v>
      </c>
      <c r="H89" s="48">
        <f t="shared" si="147"/>
        <v>2.1469838010960023E-5</v>
      </c>
      <c r="I89" s="48">
        <f t="shared" si="147"/>
        <v>1.0026200634394454E-5</v>
      </c>
      <c r="J89" s="48">
        <f t="shared" si="147"/>
        <v>2.6070832981576017E-6</v>
      </c>
      <c r="K89" s="48">
        <f t="shared" si="147"/>
        <v>1.6692243504397319E-6</v>
      </c>
      <c r="L89" s="48">
        <f t="shared" si="147"/>
        <v>5.0261474994641398E-6</v>
      </c>
      <c r="M89" s="48">
        <f t="shared" si="147"/>
        <v>5.8462228932258831E-7</v>
      </c>
      <c r="N89" s="48">
        <f t="shared" si="147"/>
        <v>6.5587458154441023E-8</v>
      </c>
      <c r="O89" s="48">
        <f t="shared" si="149"/>
        <v>3.0517110569725485E-4</v>
      </c>
      <c r="P89" s="18"/>
    </row>
    <row r="90" spans="1:16">
      <c r="A90" s="20"/>
      <c r="B90" s="31">
        <f t="shared" ref="B90" si="158">B89+1</f>
        <v>11</v>
      </c>
      <c r="C90" s="30"/>
      <c r="D90" s="48">
        <f>C$75/C55</f>
        <v>7.5497913413743935E-4</v>
      </c>
      <c r="E90" s="48">
        <f>D$75/D55</f>
        <v>1.4024808265349287E-4</v>
      </c>
      <c r="F90" s="48">
        <f t="shared" ref="F90:N90" si="159">E$75/E55</f>
        <v>6.8969721426935887E-5</v>
      </c>
      <c r="G90" s="48">
        <f t="shared" si="159"/>
        <v>3.4111270827237494E-5</v>
      </c>
      <c r="H90" s="48">
        <f t="shared" si="159"/>
        <v>1.9809601986436044E-5</v>
      </c>
      <c r="I90" s="48">
        <f t="shared" si="159"/>
        <v>9.2508869373917385E-6</v>
      </c>
      <c r="J90" s="48">
        <f t="shared" si="159"/>
        <v>2.4054807705406501E-6</v>
      </c>
      <c r="K90" s="48">
        <f t="shared" si="159"/>
        <v>1.5401452955256718E-6</v>
      </c>
      <c r="L90" s="48">
        <f t="shared" si="159"/>
        <v>4.6374817284917787E-6</v>
      </c>
      <c r="M90" s="48">
        <f t="shared" si="159"/>
        <v>5.3941417061309645E-7</v>
      </c>
      <c r="N90" s="48">
        <f t="shared" si="159"/>
        <v>6.0515661118553986E-8</v>
      </c>
      <c r="O90" s="48">
        <f t="shared" si="149"/>
        <v>1.0365517355952229E-3</v>
      </c>
      <c r="P90" s="18"/>
    </row>
    <row r="91" spans="1:16">
      <c r="A91" s="20"/>
      <c r="B91" s="24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16"/>
      <c r="O91" s="17"/>
      <c r="P91" s="18"/>
    </row>
    <row r="92" spans="1:16">
      <c r="A92" s="20"/>
      <c r="B92" s="20"/>
      <c r="C92" s="24" t="s">
        <v>32</v>
      </c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16"/>
      <c r="O92" s="17"/>
      <c r="P92" s="18"/>
    </row>
    <row r="93" spans="1:16">
      <c r="A93" s="20"/>
      <c r="D93" s="30">
        <v>0</v>
      </c>
      <c r="E93" s="49">
        <v>1</v>
      </c>
      <c r="F93" s="49">
        <f>E93+1</f>
        <v>2</v>
      </c>
      <c r="G93" s="49">
        <f t="shared" ref="G93" si="160">F93+1</f>
        <v>3</v>
      </c>
      <c r="H93" s="49">
        <f t="shared" ref="H93" si="161">G93+1</f>
        <v>4</v>
      </c>
      <c r="I93" s="49">
        <f t="shared" ref="I93" si="162">H93+1</f>
        <v>5</v>
      </c>
      <c r="J93" s="49">
        <f t="shared" ref="J93" si="163">I93+1</f>
        <v>6</v>
      </c>
      <c r="K93" s="49">
        <f t="shared" ref="K93" si="164">J93+1</f>
        <v>7</v>
      </c>
      <c r="L93" s="49">
        <f t="shared" ref="L93" si="165">K93+1</f>
        <v>8</v>
      </c>
      <c r="M93" s="49">
        <f t="shared" ref="M93" si="166">L93+1</f>
        <v>9</v>
      </c>
      <c r="N93" s="49">
        <f t="shared" ref="N93" si="167">M93+1</f>
        <v>10</v>
      </c>
      <c r="O93" s="30"/>
      <c r="P93" s="18"/>
    </row>
    <row r="94" spans="1:16">
      <c r="A94" s="99" t="s">
        <v>23</v>
      </c>
      <c r="B94" s="99"/>
      <c r="D94" s="48">
        <f>C75/(SUM(C6:C17)-VLOOKUP(11-D93,$B6:C17,D93+2,FALSE))</f>
        <v>9.3283787458325483E-5</v>
      </c>
      <c r="E94" s="48">
        <f>D75/(SUM(D6:D17)-VLOOKUP(11-E93,$B6:D17,E93+2,FALSE))</f>
        <v>1.9558527307248049E-5</v>
      </c>
      <c r="F94" s="48">
        <f>E75/(SUM(E6:E17)-VLOOKUP(11-F93,$B6:E17,F93+2,FALSE))</f>
        <v>1.0897148691091133E-5</v>
      </c>
      <c r="G94" s="48">
        <f>F75/(SUM(F6:F17)-VLOOKUP(11-G93,$B6:F17,G93+2,FALSE))</f>
        <v>6.1775257259632516E-6</v>
      </c>
      <c r="H94" s="48">
        <f>G75/(SUM(G6:G17)-VLOOKUP(11-H93,$B6:G17,H93+2,FALSE))</f>
        <v>4.2073960951616474E-6</v>
      </c>
      <c r="I94" s="48">
        <f>H75/(SUM(H6:H17)-VLOOKUP(11-I93,$B6:H17,I93+2,FALSE))</f>
        <v>2.3957943534679181E-6</v>
      </c>
      <c r="J94" s="48">
        <f>I75/(SUM(I6:I17)-VLOOKUP(11-J93,$B6:I17,J93+2,FALSE))</f>
        <v>7.8516953616848877E-7</v>
      </c>
      <c r="K94" s="48">
        <f>J75/(SUM(J6:J17)-VLOOKUP(11-K93,$B6:J17,K93+2,FALSE))</f>
        <v>6.5326879946582901E-7</v>
      </c>
      <c r="L94" s="48">
        <f>K75/(SUM(K6:K17)-VLOOKUP(11-L93,$B6:K17,L93+2,FALSE))</f>
        <v>2.7619525720389236E-6</v>
      </c>
      <c r="M94" s="48">
        <f>L75/(SUM(L6:L17)-VLOOKUP(11-M93,$B6:L17,M93+2,FALSE))</f>
        <v>5.0801651152138299E-7</v>
      </c>
      <c r="N94" s="48">
        <f>M75/(SUM(M6:M17)-VLOOKUP(11-N93,$B6:M17,N93+2,FALSE))</f>
        <v>1.2154393041198939E-7</v>
      </c>
      <c r="O94" s="30"/>
      <c r="P94" s="18"/>
    </row>
    <row r="95" spans="1:16">
      <c r="A95" s="20"/>
      <c r="B95" s="1" t="s">
        <v>24</v>
      </c>
      <c r="D95" s="47">
        <f>SUM(D94:$N94)</f>
        <v>1.4135013098086409E-4</v>
      </c>
      <c r="E95" s="47">
        <f>SUM(E94:$N94)</f>
        <v>4.8066343522538611E-5</v>
      </c>
      <c r="F95" s="47">
        <f>SUM(F94:$N94)</f>
        <v>2.8507816215290566E-5</v>
      </c>
      <c r="G95" s="47">
        <f>SUM(G94:$N94)</f>
        <v>1.7610667524199432E-5</v>
      </c>
      <c r="H95" s="47">
        <f>SUM(H94:$N94)</f>
        <v>1.143314179823618E-5</v>
      </c>
      <c r="I95" s="47">
        <f>SUM(I94:$N94)</f>
        <v>7.2257457030745317E-6</v>
      </c>
      <c r="J95" s="47">
        <f>SUM(J94:$N94)</f>
        <v>4.8299513496066136E-6</v>
      </c>
      <c r="K95" s="47">
        <f>SUM(K94:$N94)</f>
        <v>4.044781813438125E-6</v>
      </c>
      <c r="L95" s="47">
        <f>SUM(L94:$N94)</f>
        <v>3.3915130139722961E-6</v>
      </c>
      <c r="M95" s="47">
        <f>SUM(M94:$N94)</f>
        <v>6.2956044193337233E-7</v>
      </c>
      <c r="N95" s="47">
        <f>SUM(N94:$N94)</f>
        <v>1.2154393041198939E-7</v>
      </c>
      <c r="O95" s="17"/>
      <c r="P95" s="18"/>
    </row>
    <row r="96" spans="1:16">
      <c r="A96" s="2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16"/>
      <c r="O96" s="17"/>
      <c r="P96" s="18"/>
    </row>
    <row r="98" spans="1:14" ht="20.25" customHeight="1">
      <c r="A98" s="100" t="s">
        <v>33</v>
      </c>
      <c r="B98" s="100"/>
      <c r="C98" s="100"/>
    </row>
    <row r="99" spans="1:14">
      <c r="D99" s="49">
        <v>1</v>
      </c>
      <c r="E99" s="49">
        <f>D99+1</f>
        <v>2</v>
      </c>
      <c r="F99" s="49">
        <f t="shared" ref="F99" si="168">E99+1</f>
        <v>3</v>
      </c>
      <c r="G99" s="49">
        <f t="shared" ref="G99" si="169">F99+1</f>
        <v>4</v>
      </c>
      <c r="H99" s="49">
        <f t="shared" ref="H99" si="170">G99+1</f>
        <v>5</v>
      </c>
      <c r="I99" s="49">
        <f t="shared" ref="I99" si="171">H99+1</f>
        <v>6</v>
      </c>
      <c r="J99" s="49">
        <f t="shared" ref="J99" si="172">I99+1</f>
        <v>7</v>
      </c>
      <c r="K99" s="49">
        <f t="shared" ref="K99" si="173">J99+1</f>
        <v>8</v>
      </c>
      <c r="L99" s="49">
        <f t="shared" ref="L99" si="174">K99+1</f>
        <v>9</v>
      </c>
      <c r="M99" s="49">
        <f t="shared" ref="M99" si="175">L99+1</f>
        <v>10</v>
      </c>
      <c r="N99" s="1">
        <v>11</v>
      </c>
    </row>
    <row r="100" spans="1:14">
      <c r="A100" s="20" t="s">
        <v>34</v>
      </c>
      <c r="D100" s="47">
        <f>D90</f>
        <v>7.5497913413743935E-4</v>
      </c>
      <c r="E100" s="47">
        <f>E89</f>
        <v>1.5200222689885315E-4</v>
      </c>
      <c r="F100" s="47">
        <f>F88</f>
        <v>8.1957117084635351E-5</v>
      </c>
      <c r="G100" s="47">
        <f>G87</f>
        <v>4.2252523768711672E-5</v>
      </c>
      <c r="H100" s="47">
        <f>H86</f>
        <v>2.4349487469529379E-5</v>
      </c>
      <c r="I100" s="47">
        <f>I85</f>
        <v>1.0922226213199524E-5</v>
      </c>
      <c r="J100" s="47">
        <f>J84</f>
        <v>3.0156811479592247E-6</v>
      </c>
      <c r="K100" s="47">
        <f>K83</f>
        <v>2.1813638947860098E-6</v>
      </c>
      <c r="L100" s="47">
        <f>L82</f>
        <v>6.8345104536016721E-6</v>
      </c>
      <c r="M100" s="47">
        <f>M81</f>
        <v>8.738923102104688E-7</v>
      </c>
      <c r="N100" s="47">
        <f>N80</f>
        <v>1.0731379801741144E-7</v>
      </c>
    </row>
    <row r="101" spans="1:14">
      <c r="A101" s="20" t="s">
        <v>35</v>
      </c>
      <c r="D101" s="47">
        <f t="shared" ref="D101:N101" si="176">D94</f>
        <v>9.3283787458325483E-5</v>
      </c>
      <c r="E101" s="47">
        <f t="shared" si="176"/>
        <v>1.9558527307248049E-5</v>
      </c>
      <c r="F101" s="47">
        <f t="shared" si="176"/>
        <v>1.0897148691091133E-5</v>
      </c>
      <c r="G101" s="47">
        <f t="shared" si="176"/>
        <v>6.1775257259632516E-6</v>
      </c>
      <c r="H101" s="47">
        <f t="shared" si="176"/>
        <v>4.2073960951616474E-6</v>
      </c>
      <c r="I101" s="47">
        <f t="shared" si="176"/>
        <v>2.3957943534679181E-6</v>
      </c>
      <c r="J101" s="47">
        <f t="shared" si="176"/>
        <v>7.8516953616848877E-7</v>
      </c>
      <c r="K101" s="47">
        <f t="shared" si="176"/>
        <v>6.5326879946582901E-7</v>
      </c>
      <c r="L101" s="47">
        <f t="shared" si="176"/>
        <v>2.7619525720389236E-6</v>
      </c>
      <c r="M101" s="47">
        <f t="shared" si="176"/>
        <v>5.0801651152138299E-7</v>
      </c>
      <c r="N101" s="47">
        <f t="shared" si="176"/>
        <v>1.2154393041198939E-7</v>
      </c>
    </row>
    <row r="102" spans="1:14">
      <c r="A102" s="20" t="s">
        <v>36</v>
      </c>
      <c r="B102" s="20"/>
      <c r="C102" s="20"/>
      <c r="D102" s="50"/>
      <c r="E102" s="50">
        <f>+(VLOOKUP(11-E93,$B6:D17,E93+2,FALSE)/SUM(D6:D17))</f>
        <v>0.11400350504260309</v>
      </c>
      <c r="F102" s="50">
        <f>+(VLOOKUP(11-F93,$B6:E17,F93+2,FALSE)/SUM(E6:E17))</f>
        <v>0.11735754518172943</v>
      </c>
      <c r="G102" s="50">
        <f>+(VLOOKUP(11-G93,$B6:F17,G93+2,FALSE)/SUM(F6:F17))</f>
        <v>0.12755563519798788</v>
      </c>
      <c r="H102" s="50">
        <f>+(VLOOKUP(11-H93,$B6:G17,H93+2,FALSE)/SUM(G6:G17))</f>
        <v>0.14733386735392426</v>
      </c>
      <c r="I102" s="50">
        <f>+(VLOOKUP(11-I93,$B6:H17,I93+2,FALSE)/SUM(H6:H17))</f>
        <v>0.17989117387790729</v>
      </c>
      <c r="J102" s="50">
        <f>+(VLOOKUP(11-J93,$B6:I17,J93+2,FALSE)/SUM(I6:I17))</f>
        <v>0.20657731687470468</v>
      </c>
      <c r="K102" s="50">
        <f>+(VLOOKUP(11-K93,$B6:J17,K93+2,FALSE)/SUM(J6:J17))</f>
        <v>0.23045977025190917</v>
      </c>
      <c r="L102" s="50">
        <f>+(VLOOKUP(11-L93,$B6:K17,L93+2,FALSE)/SUM(K6:K17))</f>
        <v>0.28780943193959257</v>
      </c>
      <c r="M102" s="50">
        <f>+(VLOOKUP(11-M93,$B6:L17,M93+2,FALSE)/SUM(L6:L17))</f>
        <v>0.36761941419891986</v>
      </c>
      <c r="N102" s="50">
        <f>+(VLOOKUP(11-N93,$B6:M17,N93+2,FALSE)/SUM(M6:M17))</f>
        <v>0.53108947312427712</v>
      </c>
    </row>
    <row r="103" spans="1:14">
      <c r="A103" s="20" t="s">
        <v>41</v>
      </c>
      <c r="E103" s="1">
        <f t="shared" ref="E103:N103" si="177">E102*E94</f>
        <v>2.2297406664977432E-6</v>
      </c>
      <c r="F103" s="1">
        <f t="shared" si="177"/>
        <v>1.2788626198667514E-6</v>
      </c>
      <c r="G103" s="1">
        <f t="shared" si="177"/>
        <v>7.8797821792715378E-7</v>
      </c>
      <c r="H103" s="1">
        <f t="shared" si="177"/>
        <v>6.19891938189965E-7</v>
      </c>
      <c r="I103" s="1">
        <f t="shared" si="177"/>
        <v>4.3098225861540575E-7</v>
      </c>
      <c r="J103" s="1">
        <f t="shared" si="177"/>
        <v>1.6219821607344281E-7</v>
      </c>
      <c r="K103" s="1">
        <f t="shared" si="177"/>
        <v>1.5055217743763547E-7</v>
      </c>
      <c r="L103" s="1">
        <f t="shared" si="177"/>
        <v>7.9491600080261922E-7</v>
      </c>
      <c r="M103" s="1">
        <f t="shared" si="177"/>
        <v>1.8675673236886963E-7</v>
      </c>
      <c r="N103" s="1">
        <f t="shared" si="177"/>
        <v>6.455070196395725E-8</v>
      </c>
    </row>
    <row r="104" spans="1:14">
      <c r="A104" s="20" t="s">
        <v>24</v>
      </c>
      <c r="E104" s="1">
        <f>SUM(E103:$N$103)</f>
        <v>6.706429529743543E-6</v>
      </c>
      <c r="F104" s="1">
        <f>SUM(F103:$N$103)</f>
        <v>4.4766888632458011E-6</v>
      </c>
      <c r="G104" s="1">
        <f>SUM(G103:$N$103)</f>
        <v>3.1978262433790491E-6</v>
      </c>
      <c r="H104" s="1">
        <f>SUM(H103:$N$103)</f>
        <v>2.4098480254518953E-6</v>
      </c>
      <c r="I104" s="1">
        <f>SUM(I103:$N$103)</f>
        <v>1.7899560872619304E-6</v>
      </c>
      <c r="J104" s="1">
        <f>SUM(J103:$N$103)</f>
        <v>1.3589738286465245E-6</v>
      </c>
      <c r="K104" s="1">
        <f>SUM(K103:$N$103)</f>
        <v>1.1967756125730815E-6</v>
      </c>
      <c r="L104" s="1">
        <f>SUM(L103:$N$103)</f>
        <v>1.0462234351354463E-6</v>
      </c>
      <c r="M104" s="1">
        <f>SUM(M103:$N$103)</f>
        <v>2.5130743433282688E-7</v>
      </c>
      <c r="N104" s="1">
        <f>SUM(N103:$N$103)</f>
        <v>6.455070196395725E-8</v>
      </c>
    </row>
  </sheetData>
  <mergeCells count="5">
    <mergeCell ref="A94:B94"/>
    <mergeCell ref="A98:C98"/>
    <mergeCell ref="U1:AD1"/>
    <mergeCell ref="U22:AD22"/>
    <mergeCell ref="A1:N1"/>
  </mergeCells>
  <conditionalFormatting sqref="C6:N17">
    <cfRule type="expression" dxfId="8" priority="4">
      <formula>C6&lt;&gt;""</formula>
    </cfRule>
  </conditionalFormatting>
  <conditionalFormatting sqref="C25:N36">
    <cfRule type="expression" dxfId="7" priority="3">
      <formula>C25&lt;&gt;""</formula>
    </cfRule>
  </conditionalFormatting>
  <conditionalFormatting sqref="N37">
    <cfRule type="expression" dxfId="6" priority="2">
      <formula>N37&lt;&gt;""</formula>
    </cfRule>
  </conditionalFormatting>
  <conditionalFormatting sqref="C61:N72">
    <cfRule type="expression" dxfId="5" priority="1">
      <formula>C61&lt;&gt;""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CF2DC-8531-4CE4-A524-2B4FF8B27183}">
  <sheetPr>
    <tabColor theme="5" tint="0.79998168889431442"/>
  </sheetPr>
  <dimension ref="A2:AC89"/>
  <sheetViews>
    <sheetView zoomScale="80" zoomScaleNormal="80" workbookViewId="0">
      <selection activeCell="B22" sqref="B22"/>
    </sheetView>
  </sheetViews>
  <sheetFormatPr defaultRowHeight="14.75"/>
  <cols>
    <col min="1" max="1" width="7.83203125" style="54" customWidth="1"/>
    <col min="2" max="2" width="49.71875" style="54" bestFit="1" customWidth="1"/>
    <col min="3" max="4" width="8.75" style="54" bestFit="1" customWidth="1"/>
    <col min="5" max="5" width="20.94140625" style="54" bestFit="1" customWidth="1"/>
    <col min="6" max="15" width="9.75" style="54" bestFit="1" customWidth="1"/>
    <col min="16" max="17" width="8.6640625" style="54"/>
    <col min="18" max="18" width="20.02734375" style="54" bestFit="1" customWidth="1"/>
    <col min="19" max="19" width="8.6640625" style="54"/>
    <col min="20" max="20" width="7.27734375" style="54" bestFit="1" customWidth="1"/>
    <col min="21" max="21" width="3.1640625" style="54" bestFit="1" customWidth="1"/>
    <col min="22" max="22" width="7.13671875" style="54" bestFit="1" customWidth="1"/>
    <col min="23" max="23" width="11.25" style="54" bestFit="1" customWidth="1"/>
    <col min="24" max="24" width="7.63671875" style="54" bestFit="1" customWidth="1"/>
    <col min="25" max="25" width="7.75" style="54" bestFit="1" customWidth="1"/>
    <col min="26" max="26" width="11.25" style="54" bestFit="1" customWidth="1"/>
    <col min="27" max="27" width="7.75" style="54" bestFit="1" customWidth="1"/>
    <col min="28" max="28" width="6.6640625" style="54" bestFit="1" customWidth="1"/>
    <col min="29" max="29" width="7.21875" style="54" bestFit="1" customWidth="1"/>
    <col min="30" max="16384" width="8.6640625" style="54"/>
  </cols>
  <sheetData>
    <row r="2" spans="2:18" ht="20.25">
      <c r="B2" s="52"/>
      <c r="C2" s="52"/>
      <c r="D2" s="52" t="s">
        <v>5</v>
      </c>
      <c r="E2" s="53" t="s">
        <v>15</v>
      </c>
      <c r="F2" s="52"/>
      <c r="G2" s="52"/>
      <c r="H2" s="52"/>
      <c r="I2" s="52"/>
      <c r="J2" s="52"/>
      <c r="K2" s="52"/>
      <c r="L2" s="52"/>
      <c r="M2" s="52"/>
      <c r="N2" s="52"/>
      <c r="R2" s="52" t="s">
        <v>46</v>
      </c>
    </row>
    <row r="3" spans="2:18" ht="20.25">
      <c r="B3" s="52"/>
      <c r="C3" s="55" t="s">
        <v>4</v>
      </c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</row>
    <row r="4" spans="2:18">
      <c r="B4" s="56" t="s">
        <v>3</v>
      </c>
      <c r="C4" s="57">
        <v>0</v>
      </c>
      <c r="D4" s="57">
        <v>1</v>
      </c>
      <c r="E4" s="57">
        <v>2</v>
      </c>
      <c r="F4" s="57">
        <v>3</v>
      </c>
      <c r="G4" s="57">
        <v>4</v>
      </c>
      <c r="H4" s="57">
        <v>5</v>
      </c>
      <c r="I4" s="57">
        <v>6</v>
      </c>
      <c r="J4" s="57">
        <v>7</v>
      </c>
      <c r="K4" s="57">
        <v>8</v>
      </c>
      <c r="L4" s="57">
        <v>9</v>
      </c>
      <c r="M4" s="57">
        <v>10</v>
      </c>
      <c r="N4" s="57">
        <v>11</v>
      </c>
    </row>
    <row r="5" spans="2:18" ht="20.25">
      <c r="B5" s="58">
        <v>2009</v>
      </c>
      <c r="C5" s="59">
        <v>28446.238239999999</v>
      </c>
      <c r="D5" s="59">
        <v>57697.431620000003</v>
      </c>
      <c r="E5" s="59">
        <v>70161.415410000001</v>
      </c>
      <c r="F5" s="59">
        <v>75305.500698999997</v>
      </c>
      <c r="G5" s="59">
        <v>78032.448521999991</v>
      </c>
      <c r="H5" s="59">
        <v>80391.810983999996</v>
      </c>
      <c r="I5" s="59">
        <v>81725.667088999995</v>
      </c>
      <c r="J5" s="59">
        <v>82964.097062999994</v>
      </c>
      <c r="K5" s="59">
        <v>83905.537538299992</v>
      </c>
      <c r="L5" s="59">
        <v>84765.601429799994</v>
      </c>
      <c r="M5" s="59">
        <v>85047.471108499987</v>
      </c>
      <c r="N5" s="59">
        <v>86842.7012923</v>
      </c>
    </row>
    <row r="6" spans="2:18" ht="20.25">
      <c r="B6" s="58">
        <v>2010</v>
      </c>
      <c r="C6" s="59">
        <v>31963.048289999999</v>
      </c>
      <c r="D6" s="59">
        <v>68069.343499999988</v>
      </c>
      <c r="E6" s="59">
        <v>81510.676609999995</v>
      </c>
      <c r="F6" s="59">
        <v>87378.911242000002</v>
      </c>
      <c r="G6" s="59">
        <v>90260.883564999996</v>
      </c>
      <c r="H6" s="59">
        <v>92682.871461000002</v>
      </c>
      <c r="I6" s="59">
        <v>93600.875500099995</v>
      </c>
      <c r="J6" s="59">
        <v>94676.853840099997</v>
      </c>
      <c r="K6" s="59">
        <v>95410.594865599996</v>
      </c>
      <c r="L6" s="59">
        <v>95868.750931999995</v>
      </c>
      <c r="M6" s="59">
        <v>96325.02158249999</v>
      </c>
      <c r="N6" s="59" t="s">
        <v>5</v>
      </c>
    </row>
    <row r="7" spans="2:18" ht="20.25">
      <c r="B7" s="58">
        <v>2011</v>
      </c>
      <c r="C7" s="59">
        <v>37774.740230000003</v>
      </c>
      <c r="D7" s="59">
        <v>77900.131010000012</v>
      </c>
      <c r="E7" s="59">
        <v>90851.307410000009</v>
      </c>
      <c r="F7" s="59">
        <v>96885.06287400001</v>
      </c>
      <c r="G7" s="59">
        <v>99894.718730000008</v>
      </c>
      <c r="H7" s="59">
        <v>101159.11499700001</v>
      </c>
      <c r="I7" s="59">
        <v>102409.06751400001</v>
      </c>
      <c r="J7" s="59">
        <v>103543.77365700001</v>
      </c>
      <c r="K7" s="59">
        <v>104448.14482240002</v>
      </c>
      <c r="L7" s="59">
        <v>105007.48487610002</v>
      </c>
      <c r="M7" s="59" t="s">
        <v>5</v>
      </c>
      <c r="N7" s="59" t="s">
        <v>5</v>
      </c>
    </row>
    <row r="8" spans="2:18" ht="20.25">
      <c r="B8" s="58">
        <v>2012</v>
      </c>
      <c r="C8" s="59">
        <v>40417.57213</v>
      </c>
      <c r="D8" s="59">
        <v>84916.51436999999</v>
      </c>
      <c r="E8" s="59">
        <v>100286.93799999999</v>
      </c>
      <c r="F8" s="59">
        <v>105880.79154599999</v>
      </c>
      <c r="G8" s="59">
        <v>108496.307886</v>
      </c>
      <c r="H8" s="59">
        <v>110480.61967799999</v>
      </c>
      <c r="I8" s="59">
        <v>112617.42437699999</v>
      </c>
      <c r="J8" s="59">
        <v>113801.77980499998</v>
      </c>
      <c r="K8" s="59">
        <v>114674.41313589999</v>
      </c>
      <c r="L8" s="59"/>
      <c r="M8" s="59" t="s">
        <v>5</v>
      </c>
      <c r="N8" s="59" t="s">
        <v>5</v>
      </c>
    </row>
    <row r="9" spans="2:18" ht="20.25">
      <c r="B9" s="58">
        <v>2013</v>
      </c>
      <c r="C9" s="59">
        <v>44116.085709999999</v>
      </c>
      <c r="D9" s="59">
        <v>89606.275280000002</v>
      </c>
      <c r="E9" s="59">
        <v>104945.70165</v>
      </c>
      <c r="F9" s="59">
        <v>110423.77840700001</v>
      </c>
      <c r="G9" s="59">
        <v>112964.41806500001</v>
      </c>
      <c r="H9" s="59">
        <v>115870.78669200001</v>
      </c>
      <c r="I9" s="59">
        <v>117165.12471500001</v>
      </c>
      <c r="J9" s="59">
        <v>118289.46107000002</v>
      </c>
      <c r="K9" s="59"/>
      <c r="L9" s="59"/>
      <c r="M9" s="59" t="s">
        <v>5</v>
      </c>
      <c r="N9" s="59" t="s">
        <v>5</v>
      </c>
    </row>
    <row r="10" spans="2:18" ht="20.25">
      <c r="B10" s="58">
        <v>2014</v>
      </c>
      <c r="C10" s="59">
        <v>50294.259669999999</v>
      </c>
      <c r="D10" s="59">
        <v>98334.581229999996</v>
      </c>
      <c r="E10" s="59">
        <v>116177.48298999999</v>
      </c>
      <c r="F10" s="59">
        <v>123212.68218399999</v>
      </c>
      <c r="G10" s="59">
        <v>127146.28824699999</v>
      </c>
      <c r="H10" s="59">
        <v>129871.97118299999</v>
      </c>
      <c r="I10" s="59">
        <v>132138.57105614999</v>
      </c>
      <c r="J10" s="59"/>
      <c r="K10" s="59"/>
      <c r="L10" s="59"/>
      <c r="M10" s="59" t="s">
        <v>5</v>
      </c>
      <c r="N10" s="59" t="s">
        <v>5</v>
      </c>
    </row>
    <row r="11" spans="2:18" ht="20.25">
      <c r="B11" s="58">
        <v>2015</v>
      </c>
      <c r="C11" s="59">
        <v>49619.804179999999</v>
      </c>
      <c r="D11" s="59">
        <v>99611.161829999997</v>
      </c>
      <c r="E11" s="59">
        <v>119181.36549</v>
      </c>
      <c r="F11" s="59">
        <v>129228.43264</v>
      </c>
      <c r="G11" s="59">
        <v>134978.322697</v>
      </c>
      <c r="H11" s="59">
        <v>138291.0141644</v>
      </c>
      <c r="I11" s="59"/>
      <c r="J11" s="59"/>
      <c r="K11" s="59"/>
      <c r="L11" s="59"/>
      <c r="M11" s="59" t="s">
        <v>5</v>
      </c>
      <c r="N11" s="59" t="s">
        <v>5</v>
      </c>
    </row>
    <row r="12" spans="2:18" ht="20.25">
      <c r="B12" s="58">
        <v>2016</v>
      </c>
      <c r="C12" s="59">
        <v>46409.720990000002</v>
      </c>
      <c r="D12" s="59">
        <v>96104.015979999996</v>
      </c>
      <c r="E12" s="59">
        <v>116984.68296000001</v>
      </c>
      <c r="F12" s="59">
        <v>125186.24217400001</v>
      </c>
      <c r="G12" s="59">
        <v>129900.41042400002</v>
      </c>
      <c r="H12" s="59"/>
      <c r="I12" s="59"/>
      <c r="J12" s="59"/>
      <c r="K12" s="59"/>
      <c r="L12" s="59"/>
      <c r="M12" s="59" t="s">
        <v>5</v>
      </c>
      <c r="N12" s="59" t="s">
        <v>5</v>
      </c>
    </row>
    <row r="13" spans="2:18" ht="20.25">
      <c r="B13" s="58">
        <v>2017</v>
      </c>
      <c r="C13" s="59">
        <v>48294.757790000003</v>
      </c>
      <c r="D13" s="59">
        <v>97648.34739000001</v>
      </c>
      <c r="E13" s="59">
        <v>115952.59353000001</v>
      </c>
      <c r="F13" s="59">
        <v>124786.08131000001</v>
      </c>
      <c r="G13" s="59"/>
      <c r="H13" s="59"/>
      <c r="I13" s="59"/>
      <c r="J13" s="59"/>
      <c r="K13" s="59"/>
      <c r="L13" s="59"/>
      <c r="M13" s="59" t="s">
        <v>5</v>
      </c>
      <c r="N13" s="59" t="s">
        <v>5</v>
      </c>
    </row>
    <row r="14" spans="2:18" ht="20.25">
      <c r="B14" s="58">
        <v>2018</v>
      </c>
      <c r="C14" s="59">
        <v>52590.220249999998</v>
      </c>
      <c r="D14" s="59">
        <v>103196.04024999999</v>
      </c>
      <c r="E14" s="59">
        <v>121799.75327999999</v>
      </c>
      <c r="F14" s="59"/>
      <c r="G14" s="59"/>
      <c r="H14" s="59"/>
      <c r="I14" s="59"/>
      <c r="J14" s="59"/>
      <c r="K14" s="59"/>
      <c r="L14" s="59"/>
      <c r="M14" s="59" t="s">
        <v>5</v>
      </c>
      <c r="N14" s="59" t="s">
        <v>5</v>
      </c>
    </row>
    <row r="15" spans="2:18" ht="20.25">
      <c r="B15" s="58">
        <v>2019</v>
      </c>
      <c r="C15" s="59">
        <v>58599</v>
      </c>
      <c r="D15" s="59">
        <v>112342</v>
      </c>
      <c r="E15" s="59"/>
      <c r="F15" s="59"/>
      <c r="G15" s="59"/>
      <c r="H15" s="59"/>
      <c r="I15" s="59"/>
      <c r="J15" s="59"/>
      <c r="K15" s="59"/>
      <c r="L15" s="59"/>
      <c r="M15" s="59" t="s">
        <v>5</v>
      </c>
      <c r="N15" s="59" t="s">
        <v>5</v>
      </c>
    </row>
    <row r="16" spans="2:18" ht="20.25">
      <c r="B16" s="58">
        <v>2020</v>
      </c>
      <c r="C16" s="59">
        <v>60361.276160000001</v>
      </c>
      <c r="D16" s="59"/>
      <c r="E16" s="59"/>
      <c r="F16" s="59"/>
      <c r="G16" s="59"/>
      <c r="H16" s="59"/>
      <c r="I16" s="59"/>
      <c r="J16" s="59"/>
      <c r="K16" s="59"/>
      <c r="L16" s="59"/>
      <c r="M16" s="59" t="s">
        <v>5</v>
      </c>
      <c r="N16" s="59" t="s">
        <v>5</v>
      </c>
    </row>
    <row r="17" spans="2:14">
      <c r="B17" s="60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</row>
    <row r="21" spans="2:14" ht="20.25">
      <c r="B21" s="52"/>
      <c r="C21" s="52"/>
      <c r="D21" s="52" t="s">
        <v>5</v>
      </c>
      <c r="E21" s="53" t="s">
        <v>14</v>
      </c>
      <c r="F21" s="52"/>
      <c r="G21" s="52"/>
      <c r="H21" s="52"/>
      <c r="I21" s="52"/>
      <c r="J21" s="52"/>
      <c r="K21" s="52"/>
      <c r="L21" s="52"/>
      <c r="M21" s="52"/>
      <c r="N21" s="52"/>
    </row>
    <row r="22" spans="2:14" ht="20.25">
      <c r="B22" s="52"/>
      <c r="C22" s="55" t="s">
        <v>4</v>
      </c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</row>
    <row r="23" spans="2:14">
      <c r="B23" s="56" t="s">
        <v>3</v>
      </c>
      <c r="C23" s="62">
        <v>0</v>
      </c>
      <c r="D23" s="62">
        <v>1</v>
      </c>
      <c r="E23" s="62">
        <v>2</v>
      </c>
      <c r="F23" s="62">
        <v>3</v>
      </c>
      <c r="G23" s="62">
        <v>4</v>
      </c>
      <c r="H23" s="62">
        <v>5</v>
      </c>
      <c r="I23" s="62">
        <v>6</v>
      </c>
      <c r="J23" s="62">
        <v>7</v>
      </c>
      <c r="K23" s="62">
        <v>8</v>
      </c>
      <c r="L23" s="62">
        <v>9</v>
      </c>
      <c r="M23" s="62">
        <v>10</v>
      </c>
      <c r="N23" s="62">
        <v>11</v>
      </c>
    </row>
    <row r="24" spans="2:14" ht="20.25">
      <c r="B24" s="58">
        <v>2009</v>
      </c>
      <c r="C24" s="63">
        <f>IFERROR(IF(D5&lt;&gt;"",IF($B24+C$23 &lt;= LatestYear,D5/C5,""),""),"")</f>
        <v>2.0282974196169148</v>
      </c>
      <c r="D24" s="63">
        <f t="shared" ref="D24:M24" si="0">IFERROR(IF(E5&lt;&gt;"",IF($B24+D$23 &lt;= LatestYear,E5/D5,""),""),"")</f>
        <v>1.2160231996475825</v>
      </c>
      <c r="E24" s="63">
        <f t="shared" si="0"/>
        <v>1.073317866507391</v>
      </c>
      <c r="F24" s="63">
        <f t="shared" si="0"/>
        <v>1.0362118012321537</v>
      </c>
      <c r="G24" s="63">
        <f t="shared" si="0"/>
        <v>1.0302356584560437</v>
      </c>
      <c r="H24" s="63">
        <f t="shared" si="0"/>
        <v>1.0165919400082364</v>
      </c>
      <c r="I24" s="63">
        <f t="shared" si="0"/>
        <v>1.0151535009515595</v>
      </c>
      <c r="J24" s="63">
        <f t="shared" si="0"/>
        <v>1.0113475648940662</v>
      </c>
      <c r="K24" s="63">
        <f t="shared" si="0"/>
        <v>1.0102503829512732</v>
      </c>
      <c r="L24" s="63">
        <f t="shared" si="0"/>
        <v>1.0033252837701321</v>
      </c>
      <c r="M24" s="63">
        <f t="shared" si="0"/>
        <v>1.0211085663148023</v>
      </c>
      <c r="N24" s="63"/>
    </row>
    <row r="25" spans="2:14" ht="20.25">
      <c r="B25" s="58">
        <v>2010</v>
      </c>
      <c r="C25" s="63">
        <f t="shared" ref="C25:M35" si="1">IFERROR(IF(D6&lt;&gt;"",IF($B25+C$23 &lt;= LatestYear,D6/C6,""),""),"")</f>
        <v>2.1296261508729835</v>
      </c>
      <c r="D25" s="63">
        <f t="shared" si="1"/>
        <v>1.1974652966940986</v>
      </c>
      <c r="E25" s="63">
        <f t="shared" si="1"/>
        <v>1.0719934476814301</v>
      </c>
      <c r="F25" s="63">
        <f t="shared" si="1"/>
        <v>1.0329824700495323</v>
      </c>
      <c r="G25" s="63">
        <f t="shared" si="1"/>
        <v>1.0268331950712166</v>
      </c>
      <c r="H25" s="63">
        <f t="shared" si="1"/>
        <v>1.009904786338933</v>
      </c>
      <c r="I25" s="63">
        <f t="shared" si="1"/>
        <v>1.0114953875618273</v>
      </c>
      <c r="J25" s="63">
        <f t="shared" si="1"/>
        <v>1.0077499515007038</v>
      </c>
      <c r="K25" s="63">
        <f t="shared" si="1"/>
        <v>1.0048019411999829</v>
      </c>
      <c r="L25" s="63">
        <f t="shared" si="1"/>
        <v>1.0047593261210175</v>
      </c>
      <c r="M25" s="63" t="str">
        <f t="shared" si="1"/>
        <v/>
      </c>
      <c r="N25" s="63" t="str">
        <f>IFERROR(IF(#REF!&lt;&gt;"",IF($B25+N$23 &lt;= LatestYear,#REF!/N6,""),""),"")</f>
        <v/>
      </c>
    </row>
    <row r="26" spans="2:14" ht="20.25">
      <c r="B26" s="58">
        <v>2011</v>
      </c>
      <c r="C26" s="63">
        <f t="shared" si="1"/>
        <v>2.0622281062870993</v>
      </c>
      <c r="D26" s="63">
        <f t="shared" si="1"/>
        <v>1.1662535894623522</v>
      </c>
      <c r="E26" s="63">
        <f t="shared" si="1"/>
        <v>1.0664135237676928</v>
      </c>
      <c r="F26" s="63">
        <f t="shared" si="1"/>
        <v>1.0310641885004925</v>
      </c>
      <c r="G26" s="63">
        <f t="shared" si="1"/>
        <v>1.0126572884240004</v>
      </c>
      <c r="H26" s="63">
        <f t="shared" si="1"/>
        <v>1.0123563014270842</v>
      </c>
      <c r="I26" s="63">
        <f t="shared" si="1"/>
        <v>1.0110801335325594</v>
      </c>
      <c r="J26" s="63">
        <f t="shared" si="1"/>
        <v>1.0087341916704313</v>
      </c>
      <c r="K26" s="63">
        <f t="shared" si="1"/>
        <v>1.0053551937629057</v>
      </c>
      <c r="L26" s="63" t="str">
        <f t="shared" si="1"/>
        <v/>
      </c>
      <c r="M26" s="63" t="str">
        <f t="shared" si="1"/>
        <v/>
      </c>
      <c r="N26" s="63" t="str">
        <f>IFERROR(IF(#REF!&lt;&gt;"",IF($B26+N$23 &lt;= LatestYear,#REF!/N7,""),""),"")</f>
        <v/>
      </c>
    </row>
    <row r="27" spans="2:14" ht="20.25">
      <c r="B27" s="58">
        <v>2012</v>
      </c>
      <c r="C27" s="63">
        <f t="shared" si="1"/>
        <v>2.1009800909582736</v>
      </c>
      <c r="D27" s="63">
        <f t="shared" si="1"/>
        <v>1.1810062947594349</v>
      </c>
      <c r="E27" s="63">
        <f t="shared" si="1"/>
        <v>1.0557784857884482</v>
      </c>
      <c r="F27" s="63">
        <f t="shared" si="1"/>
        <v>1.0247024630417849</v>
      </c>
      <c r="G27" s="63">
        <f t="shared" si="1"/>
        <v>1.0182892103027594</v>
      </c>
      <c r="H27" s="63">
        <f t="shared" si="1"/>
        <v>1.0193409912546454</v>
      </c>
      <c r="I27" s="63">
        <f t="shared" si="1"/>
        <v>1.0105166268412891</v>
      </c>
      <c r="J27" s="63">
        <f t="shared" si="1"/>
        <v>1.0076680112771106</v>
      </c>
      <c r="K27" s="63" t="str">
        <f t="shared" si="1"/>
        <v/>
      </c>
      <c r="L27" s="63" t="str">
        <f t="shared" si="1"/>
        <v/>
      </c>
      <c r="M27" s="63" t="str">
        <f t="shared" si="1"/>
        <v/>
      </c>
      <c r="N27" s="63" t="str">
        <f>IFERROR(IF(#REF!&lt;&gt;"",IF($B27+N$23 &lt;= LatestYear,#REF!/N8,""),""),"")</f>
        <v/>
      </c>
    </row>
    <row r="28" spans="2:14" ht="20.25">
      <c r="B28" s="58">
        <v>2013</v>
      </c>
      <c r="C28" s="63">
        <f t="shared" si="1"/>
        <v>2.0311474564863432</v>
      </c>
      <c r="D28" s="63">
        <f t="shared" si="1"/>
        <v>1.1711869656680589</v>
      </c>
      <c r="E28" s="63">
        <f t="shared" si="1"/>
        <v>1.0521991531894246</v>
      </c>
      <c r="F28" s="63">
        <f t="shared" si="1"/>
        <v>1.0230080848043046</v>
      </c>
      <c r="G28" s="63">
        <f t="shared" si="1"/>
        <v>1.0257281777464446</v>
      </c>
      <c r="H28" s="63">
        <f t="shared" si="1"/>
        <v>1.0111705293452484</v>
      </c>
      <c r="I28" s="63">
        <f t="shared" si="1"/>
        <v>1.0095961691479005</v>
      </c>
      <c r="J28" s="63" t="str">
        <f t="shared" si="1"/>
        <v/>
      </c>
      <c r="K28" s="63" t="str">
        <f t="shared" si="1"/>
        <v/>
      </c>
      <c r="L28" s="63" t="str">
        <f t="shared" si="1"/>
        <v/>
      </c>
      <c r="M28" s="63" t="str">
        <f t="shared" si="1"/>
        <v/>
      </c>
      <c r="N28" s="63" t="str">
        <f>IFERROR(IF(#REF!&lt;&gt;"",IF($B28+N$23 &lt;= LatestYear,#REF!/N9,""),""),"")</f>
        <v/>
      </c>
    </row>
    <row r="29" spans="2:14" ht="20.25">
      <c r="B29" s="58">
        <v>2014</v>
      </c>
      <c r="C29" s="63">
        <f t="shared" si="1"/>
        <v>1.955184982843192</v>
      </c>
      <c r="D29" s="63">
        <f t="shared" si="1"/>
        <v>1.1814509355388039</v>
      </c>
      <c r="E29" s="63">
        <f t="shared" si="1"/>
        <v>1.0605556172585144</v>
      </c>
      <c r="F29" s="63">
        <f t="shared" si="1"/>
        <v>1.0319253342535448</v>
      </c>
      <c r="G29" s="63">
        <f t="shared" si="1"/>
        <v>1.021437377162792</v>
      </c>
      <c r="H29" s="63">
        <f t="shared" si="1"/>
        <v>1.017452571578791</v>
      </c>
      <c r="I29" s="63" t="str">
        <f t="shared" si="1"/>
        <v/>
      </c>
      <c r="J29" s="63" t="str">
        <f t="shared" si="1"/>
        <v/>
      </c>
      <c r="K29" s="63" t="str">
        <f t="shared" si="1"/>
        <v/>
      </c>
      <c r="L29" s="63" t="str">
        <f t="shared" si="1"/>
        <v/>
      </c>
      <c r="M29" s="63" t="str">
        <f t="shared" si="1"/>
        <v/>
      </c>
      <c r="N29" s="63" t="str">
        <f>IFERROR(IF(#REF!&lt;&gt;"",IF($B29+N$23 &lt;= LatestYear,#REF!/N10,""),""),"")</f>
        <v/>
      </c>
    </row>
    <row r="30" spans="2:14" ht="20.25">
      <c r="B30" s="58">
        <v>2015</v>
      </c>
      <c r="C30" s="63">
        <f t="shared" si="1"/>
        <v>2.0074880075836687</v>
      </c>
      <c r="D30" s="63">
        <f t="shared" si="1"/>
        <v>1.1964659712874268</v>
      </c>
      <c r="E30" s="63">
        <f t="shared" si="1"/>
        <v>1.0843006547935803</v>
      </c>
      <c r="F30" s="63">
        <f t="shared" si="1"/>
        <v>1.0444940013550876</v>
      </c>
      <c r="G30" s="63">
        <f t="shared" si="1"/>
        <v>1.0245423961507978</v>
      </c>
      <c r="H30" s="63" t="str">
        <f t="shared" si="1"/>
        <v/>
      </c>
      <c r="I30" s="63" t="str">
        <f t="shared" si="1"/>
        <v/>
      </c>
      <c r="J30" s="63" t="str">
        <f t="shared" si="1"/>
        <v/>
      </c>
      <c r="K30" s="63" t="str">
        <f t="shared" si="1"/>
        <v/>
      </c>
      <c r="L30" s="63" t="str">
        <f t="shared" si="1"/>
        <v/>
      </c>
      <c r="M30" s="63" t="str">
        <f t="shared" si="1"/>
        <v/>
      </c>
      <c r="N30" s="63" t="str">
        <f>IFERROR(IF(#REF!&lt;&gt;"",IF($B30+N$23 &lt;= LatestYear,#REF!/N11,""),""),"")</f>
        <v/>
      </c>
    </row>
    <row r="31" spans="2:14" ht="20.25">
      <c r="B31" s="58">
        <v>2016</v>
      </c>
      <c r="C31" s="63">
        <f t="shared" si="1"/>
        <v>2.0707734054403759</v>
      </c>
      <c r="D31" s="63">
        <f t="shared" si="1"/>
        <v>1.217271534046459</v>
      </c>
      <c r="E31" s="63">
        <f t="shared" si="1"/>
        <v>1.0701079748773976</v>
      </c>
      <c r="F31" s="63">
        <f t="shared" si="1"/>
        <v>1.037657239071428</v>
      </c>
      <c r="G31" s="63" t="str">
        <f t="shared" si="1"/>
        <v/>
      </c>
      <c r="H31" s="63" t="str">
        <f t="shared" si="1"/>
        <v/>
      </c>
      <c r="I31" s="63" t="str">
        <f t="shared" si="1"/>
        <v/>
      </c>
      <c r="J31" s="63" t="str">
        <f t="shared" si="1"/>
        <v/>
      </c>
      <c r="K31" s="63" t="str">
        <f t="shared" si="1"/>
        <v/>
      </c>
      <c r="L31" s="63" t="str">
        <f t="shared" si="1"/>
        <v/>
      </c>
      <c r="M31" s="63" t="str">
        <f t="shared" si="1"/>
        <v/>
      </c>
      <c r="N31" s="63" t="str">
        <f>IFERROR(IF(#REF!&lt;&gt;"",IF($B31+N$23 &lt;= LatestYear,#REF!/N12,""),""),"")</f>
        <v/>
      </c>
    </row>
    <row r="32" spans="2:14" ht="20.25">
      <c r="B32" s="58">
        <v>2017</v>
      </c>
      <c r="C32" s="63">
        <f t="shared" si="1"/>
        <v>2.0219243631908066</v>
      </c>
      <c r="D32" s="63">
        <f t="shared" si="1"/>
        <v>1.1874506494912223</v>
      </c>
      <c r="E32" s="63">
        <f t="shared" si="1"/>
        <v>1.0761818904698714</v>
      </c>
      <c r="F32" s="63" t="str">
        <f t="shared" si="1"/>
        <v/>
      </c>
      <c r="G32" s="63" t="str">
        <f t="shared" si="1"/>
        <v/>
      </c>
      <c r="H32" s="63" t="str">
        <f t="shared" si="1"/>
        <v/>
      </c>
      <c r="I32" s="63" t="str">
        <f t="shared" si="1"/>
        <v/>
      </c>
      <c r="J32" s="63" t="str">
        <f t="shared" si="1"/>
        <v/>
      </c>
      <c r="K32" s="63" t="str">
        <f t="shared" si="1"/>
        <v/>
      </c>
      <c r="L32" s="63" t="str">
        <f t="shared" si="1"/>
        <v/>
      </c>
      <c r="M32" s="63" t="str">
        <f t="shared" si="1"/>
        <v/>
      </c>
      <c r="N32" s="63" t="str">
        <f>IFERROR(IF(#REF!&lt;&gt;"",IF($B32+N$23 &lt;= LatestYear,#REF!/N13,""),""),"")</f>
        <v/>
      </c>
    </row>
    <row r="33" spans="1:23" ht="20.25">
      <c r="B33" s="58">
        <v>2018</v>
      </c>
      <c r="C33" s="63">
        <f t="shared" si="1"/>
        <v>1.9622667438819101</v>
      </c>
      <c r="D33" s="63">
        <f t="shared" si="1"/>
        <v>1.1802754542221885</v>
      </c>
      <c r="E33" s="63" t="str">
        <f t="shared" si="1"/>
        <v/>
      </c>
      <c r="F33" s="63" t="str">
        <f t="shared" si="1"/>
        <v/>
      </c>
      <c r="G33" s="63" t="str">
        <f t="shared" si="1"/>
        <v/>
      </c>
      <c r="H33" s="63" t="str">
        <f t="shared" si="1"/>
        <v/>
      </c>
      <c r="I33" s="63" t="str">
        <f t="shared" si="1"/>
        <v/>
      </c>
      <c r="J33" s="63" t="str">
        <f t="shared" si="1"/>
        <v/>
      </c>
      <c r="K33" s="63" t="str">
        <f t="shared" si="1"/>
        <v/>
      </c>
      <c r="L33" s="63" t="str">
        <f t="shared" si="1"/>
        <v/>
      </c>
      <c r="M33" s="63" t="str">
        <f t="shared" si="1"/>
        <v/>
      </c>
      <c r="N33" s="63" t="str">
        <f>IFERROR(IF(#REF!&lt;&gt;"",IF($B33+N$23 &lt;= LatestYear,#REF!/N14,""),""),"")</f>
        <v/>
      </c>
    </row>
    <row r="34" spans="1:23" ht="20.25">
      <c r="B34" s="58">
        <v>2019</v>
      </c>
      <c r="C34" s="63">
        <f t="shared" si="1"/>
        <v>1.9171316916670933</v>
      </c>
      <c r="D34" s="63" t="str">
        <f t="shared" si="1"/>
        <v/>
      </c>
      <c r="E34" s="63" t="str">
        <f t="shared" si="1"/>
        <v/>
      </c>
      <c r="F34" s="63" t="str">
        <f t="shared" si="1"/>
        <v/>
      </c>
      <c r="G34" s="63" t="str">
        <f t="shared" si="1"/>
        <v/>
      </c>
      <c r="H34" s="63" t="str">
        <f t="shared" si="1"/>
        <v/>
      </c>
      <c r="I34" s="63" t="str">
        <f t="shared" si="1"/>
        <v/>
      </c>
      <c r="J34" s="63" t="str">
        <f t="shared" si="1"/>
        <v/>
      </c>
      <c r="K34" s="63" t="str">
        <f t="shared" si="1"/>
        <v/>
      </c>
      <c r="L34" s="63" t="str">
        <f t="shared" si="1"/>
        <v/>
      </c>
      <c r="M34" s="63" t="str">
        <f t="shared" si="1"/>
        <v/>
      </c>
      <c r="N34" s="63" t="str">
        <f>IFERROR(IF(#REF!&lt;&gt;"",IF($B34+N$23 &lt;= LatestYear,#REF!/N15,""),""),"")</f>
        <v/>
      </c>
    </row>
    <row r="35" spans="1:23" ht="20.25">
      <c r="B35" s="58">
        <v>2020</v>
      </c>
      <c r="C35" s="63" t="str">
        <f t="shared" si="1"/>
        <v/>
      </c>
      <c r="D35" s="63" t="str">
        <f t="shared" si="1"/>
        <v/>
      </c>
      <c r="E35" s="63" t="str">
        <f t="shared" si="1"/>
        <v/>
      </c>
      <c r="F35" s="63" t="str">
        <f t="shared" si="1"/>
        <v/>
      </c>
      <c r="G35" s="63" t="str">
        <f t="shared" si="1"/>
        <v/>
      </c>
      <c r="H35" s="63" t="str">
        <f t="shared" si="1"/>
        <v/>
      </c>
      <c r="I35" s="63" t="str">
        <f t="shared" si="1"/>
        <v/>
      </c>
      <c r="J35" s="63" t="str">
        <f t="shared" si="1"/>
        <v/>
      </c>
      <c r="K35" s="63" t="str">
        <f t="shared" si="1"/>
        <v/>
      </c>
      <c r="L35" s="63" t="str">
        <f t="shared" si="1"/>
        <v/>
      </c>
      <c r="M35" s="63" t="str">
        <f t="shared" si="1"/>
        <v/>
      </c>
      <c r="N35" s="63" t="str">
        <f>IFERROR(IF(#REF!&lt;&gt;"",IF($B35+N$23 &lt;= LatestYear,#REF!/N16,""),""),"")</f>
        <v/>
      </c>
    </row>
    <row r="36" spans="1:23" ht="20.25">
      <c r="B36" s="64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</row>
    <row r="37" spans="1:23" ht="20.25">
      <c r="A37" s="65"/>
      <c r="B37" s="66" t="s">
        <v>13</v>
      </c>
      <c r="C37" s="67" t="s">
        <v>47</v>
      </c>
      <c r="D37" s="67" t="s">
        <v>48</v>
      </c>
      <c r="E37" s="67" t="s">
        <v>49</v>
      </c>
      <c r="F37" s="67" t="s">
        <v>50</v>
      </c>
      <c r="G37" s="67" t="s">
        <v>51</v>
      </c>
      <c r="H37" s="67" t="s">
        <v>52</v>
      </c>
      <c r="I37" s="67" t="s">
        <v>53</v>
      </c>
      <c r="J37" s="67" t="s">
        <v>54</v>
      </c>
      <c r="K37" s="67" t="s">
        <v>55</v>
      </c>
      <c r="L37" s="67" t="s">
        <v>56</v>
      </c>
      <c r="M37" s="67" t="s">
        <v>57</v>
      </c>
      <c r="N37" s="68"/>
      <c r="O37" s="69"/>
      <c r="P37" s="70"/>
    </row>
    <row r="38" spans="1:23" ht="20.25">
      <c r="A38" s="65"/>
      <c r="B38" s="66" t="s">
        <v>58</v>
      </c>
      <c r="C38" s="67" cm="1">
        <f t="array" aca="1" ref="C38" ca="1">IFERROR(MMULT(TRANSPOSE(OFFSET(C$23,1,0,COUNT(C$24:C$35))),OFFSET(C$4,1,0,COUNT(C$24:C$35)))/SUM(OFFSET(C$4,1,0,COUNT(C$24:C$35))),"")</f>
        <v>2.0171433188244361</v>
      </c>
      <c r="D38" s="67" cm="1">
        <f t="array" aca="1" ref="D38" ca="1">IFERROR(MMULT(TRANSPOSE(OFFSET(D$23,1,0,COUNT(D$24:D$35))),OFFSET(D$4,1,0,COUNT(D$24:D$35)))/SUM(OFFSET(D$4,1,0,COUNT(D$24:D$35))),"")</f>
        <v>1.188719647365996</v>
      </c>
      <c r="E38" s="67" cm="1">
        <f t="array" aca="1" ref="E38" ca="1">IFERROR(MMULT(TRANSPOSE(OFFSET(E$23,1,0,COUNT(E$24:E$35))),OFFSET(E$4,1,0,COUNT(E$24:E$35)))/SUM(OFFSET(E$4,1,0,COUNT(E$24:E$35))),"")</f>
        <v>1.0679386190747573</v>
      </c>
      <c r="F38" s="67" cm="1">
        <f t="array" aca="1" ref="F38" ca="1">IFERROR(MMULT(TRANSPOSE(OFFSET(F$23,1,0,COUNT(F$24:F$35))),OFFSET(F$4,1,0,COUNT(F$24:F$35)))/SUM(OFFSET(F$4,1,0,COUNT(F$24:F$35))),"")</f>
        <v>1.0330080258939325</v>
      </c>
      <c r="G38" s="67" cm="1">
        <f t="array" aca="1" ref="G38" ca="1">IFERROR(MMULT(TRANSPOSE(OFFSET(G$23,1,0,COUNT(G$24:G$35))),OFFSET(G$4,1,0,COUNT(G$24:G$35)))/SUM(OFFSET(G$4,1,0,COUNT(G$24:G$35))),"")</f>
        <v>1.0225796785638588</v>
      </c>
      <c r="H38" s="67" cm="1">
        <f t="array" aca="1" ref="H38" ca="1">IFERROR(MMULT(TRANSPOSE(OFFSET(H$23,1,0,COUNT(H$24:H$35))),OFFSET(H$4,1,0,COUNT(H$24:H$35)))/SUM(OFFSET(H$4,1,0,COUNT(H$24:H$35))),"")</f>
        <v>1.0145918797043163</v>
      </c>
      <c r="I38" s="67" cm="1">
        <f t="array" aca="1" ref="I38" ca="1">IFERROR(MMULT(TRANSPOSE(OFFSET(I$23,1,0,COUNT(I$24:I$35))),OFFSET(I$4,1,0,COUNT(I$24:I$35)))/SUM(OFFSET(I$4,1,0,COUNT(I$24:I$35))),"")</f>
        <v>1.0113450250708893</v>
      </c>
      <c r="J38" s="67" cm="1">
        <f t="array" aca="1" ref="J38" ca="1">IFERROR(MMULT(TRANSPOSE(OFFSET(J$23,1,0,COUNT(J$24:J$35))),OFFSET(J$4,1,0,COUNT(J$24:J$35)))/SUM(OFFSET(J$4,1,0,COUNT(J$24:J$35))),"")</f>
        <v>1.0087400099976809</v>
      </c>
      <c r="K38" s="67" cm="1">
        <f t="array" aca="1" ref="K38" ca="1">IFERROR(MMULT(TRANSPOSE(OFFSET(K$23,1,0,COUNT(K$24:K$35))),OFFSET(K$4,1,0,COUNT(K$24:K$35)))/SUM(OFFSET(K$4,1,0,COUNT(K$24:K$35))),"")</f>
        <v>1.0066166186595176</v>
      </c>
      <c r="L38" s="67" cm="1">
        <f t="array" aca="1" ref="L38" ca="1">IFERROR(MMULT(TRANSPOSE(OFFSET(L$23,1,0,COUNT(L$24:L$35))),OFFSET(L$4,1,0,COUNT(L$24:L$35)))/SUM(OFFSET(L$4,1,0,COUNT(L$24:L$35))),"")</f>
        <v>1.0040863784742424</v>
      </c>
      <c r="M38" s="67" cm="1">
        <f t="array" aca="1" ref="M38" ca="1">IFERROR(MMULT(TRANSPOSE(OFFSET(M$23,1,0,COUNT(M$24:M$35))),OFFSET(M$4,1,0,COUNT(M$24:M$35)))/SUM(OFFSET(M$4,1,0,COUNT(M$24:M$35))),"")</f>
        <v>1.0211085663148023</v>
      </c>
      <c r="N38" s="68">
        <v>1</v>
      </c>
      <c r="O38" s="69"/>
      <c r="P38" s="70"/>
    </row>
    <row r="39" spans="1:23" ht="20.25">
      <c r="A39" s="65"/>
      <c r="B39" s="66" t="s">
        <v>59</v>
      </c>
      <c r="C39" s="67">
        <f ca="1">PRODUCT(C$38:$N$38)</f>
        <v>2.8896178065835767</v>
      </c>
      <c r="D39" s="67">
        <f ca="1">PRODUCT(D$38:$N$38)</f>
        <v>1.4325297462094102</v>
      </c>
      <c r="E39" s="67">
        <f ca="1">PRODUCT(E$38:$N$38)</f>
        <v>1.2051031118932516</v>
      </c>
      <c r="F39" s="67">
        <f ca="1">PRODUCT(F$38:$N$38)</f>
        <v>1.12843855477137</v>
      </c>
      <c r="G39" s="67">
        <f ca="1">PRODUCT(G$38:$N$38)</f>
        <v>1.0923812075853474</v>
      </c>
      <c r="H39" s="67">
        <f ca="1">PRODUCT(H$38:$N$38)</f>
        <v>1.0682602348596639</v>
      </c>
      <c r="I39" s="67">
        <f ca="1">PRODUCT(I$38:$N$38)</f>
        <v>1.0528964958511082</v>
      </c>
      <c r="J39" s="67">
        <f ca="1">PRODUCT(J$38:$N$38)</f>
        <v>1.0410853563820184</v>
      </c>
      <c r="K39" s="67">
        <f ca="1">PRODUCT(K$38:$N$38)</f>
        <v>1.0320650971149761</v>
      </c>
      <c r="L39" s="67">
        <f ca="1">PRODUCT(L$38:$N$38)</f>
        <v>1.0252812023800557</v>
      </c>
      <c r="M39" s="67">
        <f ca="1">PRODUCT(M$38:$N$38)</f>
        <v>1.0211085663148023</v>
      </c>
      <c r="N39" s="68">
        <f>PRODUCT(N$38:$N$38)</f>
        <v>1</v>
      </c>
      <c r="O39" s="69"/>
      <c r="P39" s="70"/>
    </row>
    <row r="41" spans="1:23" ht="20.25">
      <c r="B41" s="52"/>
      <c r="C41" s="52"/>
      <c r="D41" s="52" t="s">
        <v>5</v>
      </c>
      <c r="E41" s="53" t="s">
        <v>12</v>
      </c>
      <c r="F41" s="52"/>
      <c r="G41" s="52"/>
      <c r="H41" s="52"/>
      <c r="I41" s="52"/>
      <c r="J41" s="52"/>
      <c r="K41" s="52"/>
      <c r="L41" s="52"/>
      <c r="M41" s="52"/>
      <c r="N41" s="52"/>
    </row>
    <row r="42" spans="1:23" ht="20.25">
      <c r="B42" s="52"/>
      <c r="C42" s="55" t="s">
        <v>4</v>
      </c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W42" s="54" t="s">
        <v>60</v>
      </c>
    </row>
    <row r="43" spans="1:23">
      <c r="B43" s="56" t="s">
        <v>3</v>
      </c>
      <c r="C43" s="57">
        <v>0</v>
      </c>
      <c r="D43" s="57">
        <v>1</v>
      </c>
      <c r="E43" s="57">
        <v>2</v>
      </c>
      <c r="F43" s="57">
        <v>3</v>
      </c>
      <c r="G43" s="57">
        <v>4</v>
      </c>
      <c r="H43" s="57">
        <v>5</v>
      </c>
      <c r="I43" s="57">
        <v>6</v>
      </c>
      <c r="J43" s="57">
        <v>7</v>
      </c>
      <c r="K43" s="57">
        <v>8</v>
      </c>
      <c r="L43" s="57">
        <v>9</v>
      </c>
      <c r="M43" s="57">
        <v>10</v>
      </c>
      <c r="N43" s="57">
        <v>11</v>
      </c>
      <c r="W43" s="54" t="s">
        <v>61</v>
      </c>
    </row>
    <row r="44" spans="1:23" ht="20.25">
      <c r="B44" s="58">
        <v>2009</v>
      </c>
      <c r="C44" s="71">
        <f ca="1">IF($B44+C$43 &lt; LatestYear,C5*(C24-C$38)^2,"")</f>
        <v>3.5391092742305594</v>
      </c>
      <c r="D44" s="71">
        <f t="shared" ref="D44:N44" ca="1" si="2">IF($B44+D$43 &lt; LatestYear,D5*(D24-D$38)^2,"")</f>
        <v>43.012510220943462</v>
      </c>
      <c r="E44" s="71">
        <f t="shared" ca="1" si="2"/>
        <v>2.0302119711079523</v>
      </c>
      <c r="F44" s="71">
        <f t="shared" ca="1" si="2"/>
        <v>0.77294894440489625</v>
      </c>
      <c r="G44" s="71">
        <f t="shared" ca="1" si="2"/>
        <v>4.5737961311247224</v>
      </c>
      <c r="H44" s="71">
        <f t="shared" ca="1" si="2"/>
        <v>0.321586635993729</v>
      </c>
      <c r="I44" s="71">
        <f t="shared" ca="1" si="2"/>
        <v>1.1853890011970472</v>
      </c>
      <c r="J44" s="71">
        <f t="shared" ca="1" si="2"/>
        <v>0.5641013142592588</v>
      </c>
      <c r="K44" s="71">
        <f t="shared" ca="1" si="2"/>
        <v>1.107909100663367</v>
      </c>
      <c r="L44" s="71">
        <f t="shared" ca="1" si="2"/>
        <v>4.9101758710504588E-2</v>
      </c>
      <c r="M44" s="71">
        <f t="shared" ca="1" si="2"/>
        <v>0</v>
      </c>
      <c r="N44" s="71" t="str">
        <f t="shared" si="2"/>
        <v/>
      </c>
      <c r="T44" s="54" t="s">
        <v>62</v>
      </c>
    </row>
    <row r="45" spans="1:23" ht="20.25">
      <c r="B45" s="58">
        <v>2010</v>
      </c>
      <c r="C45" s="71">
        <f t="shared" ref="C45:N55" ca="1" si="3">IF($B45+C$43 &lt; LatestYear,C6*(C25-C$38)^2,"")</f>
        <v>404.40887282725805</v>
      </c>
      <c r="D45" s="71">
        <f t="shared" ca="1" si="3"/>
        <v>5.2063778210116611</v>
      </c>
      <c r="E45" s="71">
        <f t="shared" ca="1" si="3"/>
        <v>1.3401687958285986</v>
      </c>
      <c r="F45" s="71">
        <f t="shared" ca="1" si="3"/>
        <v>5.7067270302154168E-5</v>
      </c>
      <c r="G45" s="71">
        <f t="shared" ca="1" si="3"/>
        <v>1.6330362515630512</v>
      </c>
      <c r="H45" s="71">
        <f t="shared" ca="1" si="3"/>
        <v>2.0361355646016008</v>
      </c>
      <c r="I45" s="71">
        <f t="shared" ca="1" si="3"/>
        <v>2.1162108386254194E-3</v>
      </c>
      <c r="J45" s="71">
        <f t="shared" ca="1" si="3"/>
        <v>9.2803750625960801E-2</v>
      </c>
      <c r="K45" s="71">
        <f t="shared" ca="1" si="3"/>
        <v>0.31419226798399613</v>
      </c>
      <c r="L45" s="71">
        <f t="shared" ca="1" si="3"/>
        <v>4.3414982128114392E-2</v>
      </c>
      <c r="M45" s="71" t="str">
        <f t="shared" si="3"/>
        <v/>
      </c>
      <c r="N45" s="71" t="str">
        <f t="shared" si="3"/>
        <v/>
      </c>
    </row>
    <row r="46" spans="1:23" ht="20.25">
      <c r="B46" s="58">
        <v>2011</v>
      </c>
      <c r="C46" s="71">
        <f t="shared" ca="1" si="3"/>
        <v>76.78237471901997</v>
      </c>
      <c r="D46" s="71">
        <f t="shared" ca="1" si="3"/>
        <v>39.318046851016696</v>
      </c>
      <c r="E46" s="71">
        <f t="shared" ca="1" si="3"/>
        <v>0.21131248187342908</v>
      </c>
      <c r="F46" s="71">
        <f t="shared" ca="1" si="3"/>
        <v>0.36608057940838923</v>
      </c>
      <c r="G46" s="71">
        <f t="shared" ca="1" si="3"/>
        <v>9.8350172649090748</v>
      </c>
      <c r="H46" s="71">
        <f t="shared" ca="1" si="3"/>
        <v>0.50557406015716133</v>
      </c>
      <c r="I46" s="71">
        <f t="shared" ca="1" si="3"/>
        <v>7.1857910178996674E-3</v>
      </c>
      <c r="J46" s="71">
        <f t="shared" ca="1" si="3"/>
        <v>3.5052603268605427E-6</v>
      </c>
      <c r="K46" s="71">
        <f t="shared" ca="1" si="3"/>
        <v>0.1661971328596136</v>
      </c>
      <c r="L46" s="71" t="str">
        <f t="shared" si="3"/>
        <v/>
      </c>
      <c r="M46" s="71" t="str">
        <f t="shared" si="3"/>
        <v/>
      </c>
      <c r="N46" s="71" t="str">
        <f t="shared" si="3"/>
        <v/>
      </c>
    </row>
    <row r="47" spans="1:23" ht="20.25">
      <c r="B47" s="58">
        <v>2012</v>
      </c>
      <c r="C47" s="71">
        <f t="shared" ca="1" si="3"/>
        <v>284.07912376713296</v>
      </c>
      <c r="D47" s="71">
        <f t="shared" ca="1" si="3"/>
        <v>5.0521766717678016</v>
      </c>
      <c r="E47" s="71">
        <f t="shared" ca="1" si="3"/>
        <v>14.829313343734166</v>
      </c>
      <c r="F47" s="71">
        <f t="shared" ca="1" si="3"/>
        <v>7.3039083926507216</v>
      </c>
      <c r="G47" s="71">
        <f t="shared" ca="1" si="3"/>
        <v>1.9972128272260408</v>
      </c>
      <c r="H47" s="71">
        <f t="shared" ca="1" si="3"/>
        <v>2.4917865822251053</v>
      </c>
      <c r="I47" s="71">
        <f t="shared" ca="1" si="3"/>
        <v>7.7282989745888306E-2</v>
      </c>
      <c r="J47" s="71">
        <f t="shared" ca="1" si="3"/>
        <v>0.13077887235426033</v>
      </c>
      <c r="K47" s="71" t="str">
        <f t="shared" si="3"/>
        <v/>
      </c>
      <c r="L47" s="71" t="str">
        <f t="shared" si="3"/>
        <v/>
      </c>
      <c r="M47" s="71" t="str">
        <f t="shared" si="3"/>
        <v/>
      </c>
      <c r="N47" s="71" t="str">
        <f t="shared" si="3"/>
        <v/>
      </c>
    </row>
    <row r="48" spans="1:23" ht="20.25">
      <c r="B48" s="58">
        <v>2013</v>
      </c>
      <c r="C48" s="71">
        <f t="shared" ca="1" si="3"/>
        <v>8.6518646029635704</v>
      </c>
      <c r="D48" s="71">
        <f t="shared" ca="1" si="3"/>
        <v>27.544514495138348</v>
      </c>
      <c r="E48" s="71">
        <f t="shared" ca="1" si="3"/>
        <v>25.998281194389651</v>
      </c>
      <c r="F48" s="71">
        <f t="shared" ca="1" si="3"/>
        <v>11.042247738965665</v>
      </c>
      <c r="G48" s="71">
        <f t="shared" ca="1" si="3"/>
        <v>1.1198215972123926</v>
      </c>
      <c r="H48" s="71">
        <f t="shared" ca="1" si="3"/>
        <v>1.3563415161769459</v>
      </c>
      <c r="I48" s="71">
        <f t="shared" ca="1" si="3"/>
        <v>0.3583491870585927</v>
      </c>
      <c r="J48" s="71" t="str">
        <f t="shared" si="3"/>
        <v/>
      </c>
      <c r="K48" s="71" t="str">
        <f t="shared" si="3"/>
        <v/>
      </c>
      <c r="L48" s="71" t="str">
        <f t="shared" si="3"/>
        <v/>
      </c>
      <c r="M48" s="71" t="str">
        <f t="shared" si="3"/>
        <v/>
      </c>
      <c r="N48" s="71" t="str">
        <f t="shared" si="3"/>
        <v/>
      </c>
    </row>
    <row r="49" spans="1:29" ht="20.25">
      <c r="B49" s="58">
        <v>2014</v>
      </c>
      <c r="C49" s="71">
        <f t="shared" ca="1" si="3"/>
        <v>193.0713843155082</v>
      </c>
      <c r="D49" s="71">
        <f t="shared" ca="1" si="3"/>
        <v>5.1954261415516649</v>
      </c>
      <c r="E49" s="71">
        <f t="shared" ca="1" si="3"/>
        <v>6.3326854048274006</v>
      </c>
      <c r="F49" s="71">
        <f t="shared" ca="1" si="3"/>
        <v>0.14443251670676369</v>
      </c>
      <c r="G49" s="71">
        <f t="shared" ca="1" si="3"/>
        <v>0.1659071509251242</v>
      </c>
      <c r="H49" s="71">
        <f t="shared" ca="1" si="3"/>
        <v>1.0628148088394351</v>
      </c>
      <c r="I49" s="71" t="str">
        <f t="shared" si="3"/>
        <v/>
      </c>
      <c r="J49" s="71" t="str">
        <f t="shared" si="3"/>
        <v/>
      </c>
      <c r="K49" s="71" t="str">
        <f t="shared" si="3"/>
        <v/>
      </c>
      <c r="L49" s="71" t="str">
        <f t="shared" si="3"/>
        <v/>
      </c>
      <c r="M49" s="71" t="str">
        <f t="shared" si="3"/>
        <v/>
      </c>
      <c r="N49" s="71" t="str">
        <f t="shared" si="3"/>
        <v/>
      </c>
    </row>
    <row r="50" spans="1:29" ht="20.25">
      <c r="B50" s="58">
        <v>2015</v>
      </c>
      <c r="C50" s="71">
        <f t="shared" ca="1" si="3"/>
        <v>4.6258079891187194</v>
      </c>
      <c r="D50" s="71">
        <f t="shared" ca="1" si="3"/>
        <v>5.9772209874277111</v>
      </c>
      <c r="E50" s="71">
        <f t="shared" ca="1" si="3"/>
        <v>31.906783812947747</v>
      </c>
      <c r="F50" s="71">
        <f t="shared" ca="1" si="3"/>
        <v>17.048801143293247</v>
      </c>
      <c r="G50" s="71">
        <f t="shared" ca="1" si="3"/>
        <v>0.5199716374064296</v>
      </c>
      <c r="H50" s="71" t="str">
        <f t="shared" si="3"/>
        <v/>
      </c>
      <c r="I50" s="71" t="str">
        <f t="shared" si="3"/>
        <v/>
      </c>
      <c r="J50" s="71" t="str">
        <f t="shared" si="3"/>
        <v/>
      </c>
      <c r="K50" s="71" t="str">
        <f t="shared" si="3"/>
        <v/>
      </c>
      <c r="L50" s="71" t="str">
        <f t="shared" si="3"/>
        <v/>
      </c>
      <c r="M50" s="71" t="str">
        <f t="shared" si="3"/>
        <v/>
      </c>
      <c r="N50" s="71" t="str">
        <f t="shared" si="3"/>
        <v/>
      </c>
    </row>
    <row r="51" spans="1:29" ht="20.25">
      <c r="B51" s="58">
        <v>2016</v>
      </c>
      <c r="C51" s="71">
        <f t="shared" ca="1" si="3"/>
        <v>133.48299861329619</v>
      </c>
      <c r="D51" s="71">
        <f t="shared" ca="1" si="3"/>
        <v>78.344977260637279</v>
      </c>
      <c r="E51" s="71">
        <f t="shared" ca="1" si="3"/>
        <v>0.55054215442618448</v>
      </c>
      <c r="F51" s="71">
        <f t="shared" ca="1" si="3"/>
        <v>2.705923554929746</v>
      </c>
      <c r="G51" s="71" t="str">
        <f t="shared" si="3"/>
        <v/>
      </c>
      <c r="H51" s="71" t="str">
        <f t="shared" si="3"/>
        <v/>
      </c>
      <c r="I51" s="71" t="str">
        <f t="shared" si="3"/>
        <v/>
      </c>
      <c r="J51" s="71" t="str">
        <f t="shared" si="3"/>
        <v/>
      </c>
      <c r="K51" s="71" t="str">
        <f t="shared" si="3"/>
        <v/>
      </c>
      <c r="L51" s="71" t="str">
        <f t="shared" si="3"/>
        <v/>
      </c>
      <c r="M51" s="71" t="str">
        <f t="shared" si="3"/>
        <v/>
      </c>
      <c r="N51" s="71" t="str">
        <f t="shared" si="3"/>
        <v/>
      </c>
    </row>
    <row r="52" spans="1:29" ht="20.25">
      <c r="B52" s="58">
        <v>2017</v>
      </c>
      <c r="C52" s="71">
        <f t="shared" ca="1" si="3"/>
        <v>1.1039401783080571</v>
      </c>
      <c r="D52" s="71">
        <f t="shared" ca="1" si="3"/>
        <v>0.15724856365372675</v>
      </c>
      <c r="E52" s="71">
        <f t="shared" ca="1" si="3"/>
        <v>7.8791553601963855</v>
      </c>
      <c r="F52" s="71" t="str">
        <f t="shared" si="3"/>
        <v/>
      </c>
      <c r="G52" s="71" t="str">
        <f t="shared" si="3"/>
        <v/>
      </c>
      <c r="H52" s="71" t="str">
        <f t="shared" si="3"/>
        <v/>
      </c>
      <c r="I52" s="71" t="str">
        <f t="shared" si="3"/>
        <v/>
      </c>
      <c r="J52" s="71" t="str">
        <f t="shared" si="3"/>
        <v/>
      </c>
      <c r="K52" s="71" t="str">
        <f t="shared" si="3"/>
        <v/>
      </c>
      <c r="L52" s="71" t="str">
        <f t="shared" si="3"/>
        <v/>
      </c>
      <c r="M52" s="71" t="str">
        <f t="shared" si="3"/>
        <v/>
      </c>
      <c r="N52" s="71" t="str">
        <f t="shared" si="3"/>
        <v/>
      </c>
    </row>
    <row r="53" spans="1:29" ht="20.25">
      <c r="B53" s="58">
        <v>2018</v>
      </c>
      <c r="C53" s="71">
        <f t="shared" ca="1" si="3"/>
        <v>158.37221279698275</v>
      </c>
      <c r="D53" s="71">
        <f t="shared" ca="1" si="3"/>
        <v>7.3583315105229525</v>
      </c>
      <c r="E53" s="71" t="str">
        <f t="shared" si="3"/>
        <v/>
      </c>
      <c r="F53" s="71" t="str">
        <f t="shared" si="3"/>
        <v/>
      </c>
      <c r="G53" s="71" t="str">
        <f t="shared" si="3"/>
        <v/>
      </c>
      <c r="H53" s="71" t="str">
        <f t="shared" si="3"/>
        <v/>
      </c>
      <c r="I53" s="71" t="str">
        <f t="shared" si="3"/>
        <v/>
      </c>
      <c r="J53" s="71" t="str">
        <f t="shared" si="3"/>
        <v/>
      </c>
      <c r="K53" s="71" t="str">
        <f t="shared" si="3"/>
        <v/>
      </c>
      <c r="L53" s="71" t="str">
        <f t="shared" si="3"/>
        <v/>
      </c>
      <c r="M53" s="71" t="str">
        <f t="shared" si="3"/>
        <v/>
      </c>
      <c r="N53" s="71" t="str">
        <f t="shared" si="3"/>
        <v/>
      </c>
    </row>
    <row r="54" spans="1:29" ht="20.25">
      <c r="B54" s="58">
        <v>2019</v>
      </c>
      <c r="C54" s="71">
        <f t="shared" ca="1" si="3"/>
        <v>586.12627588067107</v>
      </c>
      <c r="D54" s="71" t="str">
        <f t="shared" si="3"/>
        <v/>
      </c>
      <c r="E54" s="71" t="str">
        <f t="shared" si="3"/>
        <v/>
      </c>
      <c r="F54" s="71" t="str">
        <f t="shared" si="3"/>
        <v/>
      </c>
      <c r="G54" s="71" t="str">
        <f t="shared" si="3"/>
        <v/>
      </c>
      <c r="H54" s="71" t="str">
        <f t="shared" si="3"/>
        <v/>
      </c>
      <c r="I54" s="71" t="str">
        <f t="shared" si="3"/>
        <v/>
      </c>
      <c r="J54" s="71" t="str">
        <f t="shared" si="3"/>
        <v/>
      </c>
      <c r="K54" s="71" t="str">
        <f t="shared" si="3"/>
        <v/>
      </c>
      <c r="L54" s="71" t="str">
        <f t="shared" si="3"/>
        <v/>
      </c>
      <c r="M54" s="71" t="str">
        <f t="shared" si="3"/>
        <v/>
      </c>
      <c r="N54" s="71" t="str">
        <f t="shared" si="3"/>
        <v/>
      </c>
      <c r="R54" s="54" t="s">
        <v>63</v>
      </c>
      <c r="W54" s="54" t="s">
        <v>64</v>
      </c>
    </row>
    <row r="55" spans="1:29" ht="20.25">
      <c r="B55" s="58">
        <v>2020</v>
      </c>
      <c r="C55" s="71" t="str">
        <f t="shared" si="3"/>
        <v/>
      </c>
      <c r="D55" s="71" t="str">
        <f t="shared" si="3"/>
        <v/>
      </c>
      <c r="E55" s="71" t="str">
        <f t="shared" si="3"/>
        <v/>
      </c>
      <c r="F55" s="71" t="str">
        <f t="shared" si="3"/>
        <v/>
      </c>
      <c r="G55" s="71" t="str">
        <f t="shared" si="3"/>
        <v/>
      </c>
      <c r="H55" s="71" t="str">
        <f t="shared" si="3"/>
        <v/>
      </c>
      <c r="I55" s="71" t="str">
        <f t="shared" si="3"/>
        <v/>
      </c>
      <c r="J55" s="71" t="str">
        <f t="shared" si="3"/>
        <v/>
      </c>
      <c r="K55" s="71" t="str">
        <f t="shared" si="3"/>
        <v/>
      </c>
      <c r="L55" s="71" t="str">
        <f t="shared" si="3"/>
        <v/>
      </c>
      <c r="M55" s="71" t="str">
        <f t="shared" si="3"/>
        <v/>
      </c>
      <c r="N55" s="71" t="str">
        <f t="shared" si="3"/>
        <v/>
      </c>
    </row>
    <row r="56" spans="1:29">
      <c r="B56" s="60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</row>
    <row r="57" spans="1:29" ht="20.25">
      <c r="B57" s="72" t="s">
        <v>65</v>
      </c>
      <c r="C57" s="73">
        <f t="shared" ref="C57:M57" ca="1" si="4">IFERROR(SUM(C44:C55)/((nRow-1)-C$43-1),"")</f>
        <v>185.42439649644899</v>
      </c>
      <c r="D57" s="73">
        <f t="shared" ca="1" si="4"/>
        <v>24.129647835963478</v>
      </c>
      <c r="E57" s="73">
        <f t="shared" ca="1" si="4"/>
        <v>11.384806814916438</v>
      </c>
      <c r="F57" s="73">
        <f t="shared" ca="1" si="4"/>
        <v>5.6263428482328184</v>
      </c>
      <c r="G57" s="73">
        <f t="shared" ca="1" si="4"/>
        <v>3.307460476727806</v>
      </c>
      <c r="H57" s="73">
        <f t="shared" ca="1" si="4"/>
        <v>1.5548478335987954</v>
      </c>
      <c r="I57" s="73">
        <f t="shared" ca="1" si="4"/>
        <v>0.40758079496451327</v>
      </c>
      <c r="J57" s="73">
        <f t="shared" ca="1" si="4"/>
        <v>0.26256248083326894</v>
      </c>
      <c r="K57" s="73">
        <f t="shared" ca="1" si="4"/>
        <v>0.79414925075348841</v>
      </c>
      <c r="L57" s="73">
        <f t="shared" ca="1" si="4"/>
        <v>9.251674083861898E-2</v>
      </c>
      <c r="M57" s="73" t="str">
        <f t="shared" ca="1" si="4"/>
        <v/>
      </c>
      <c r="N57" s="68"/>
      <c r="O57" s="69"/>
      <c r="P57" s="70"/>
      <c r="V57" s="74"/>
      <c r="Y57" s="74"/>
      <c r="Z57" s="74"/>
    </row>
    <row r="58" spans="1:29" ht="44.75">
      <c r="A58" s="75"/>
      <c r="B58" s="76" t="s">
        <v>66</v>
      </c>
      <c r="C58" s="77">
        <f ca="1">C57</f>
        <v>185.42439649644899</v>
      </c>
      <c r="D58" s="77">
        <f t="shared" ref="D58:L58" ca="1" si="5">D57</f>
        <v>24.129647835963478</v>
      </c>
      <c r="E58" s="77">
        <f t="shared" ca="1" si="5"/>
        <v>11.384806814916438</v>
      </c>
      <c r="F58" s="77">
        <f t="shared" ca="1" si="5"/>
        <v>5.6263428482328184</v>
      </c>
      <c r="G58" s="77">
        <f t="shared" ca="1" si="5"/>
        <v>3.307460476727806</v>
      </c>
      <c r="H58" s="77">
        <f t="shared" ca="1" si="5"/>
        <v>1.5548478335987954</v>
      </c>
      <c r="I58" s="77">
        <f t="shared" ca="1" si="5"/>
        <v>0.40758079496451327</v>
      </c>
      <c r="J58" s="77">
        <f t="shared" ca="1" si="5"/>
        <v>0.26256248083326894</v>
      </c>
      <c r="K58" s="77">
        <f t="shared" ca="1" si="5"/>
        <v>0.79414925075348841</v>
      </c>
      <c r="L58" s="77">
        <f t="shared" ca="1" si="5"/>
        <v>9.251674083861898E-2</v>
      </c>
      <c r="M58" s="77">
        <f ca="1">+MIN(L58,K58,L58^2/K58)</f>
        <v>1.0778008450274408E-2</v>
      </c>
      <c r="N58" s="78"/>
      <c r="O58" s="69"/>
      <c r="P58" s="70"/>
      <c r="U58" s="56" t="s">
        <v>3</v>
      </c>
      <c r="V58" s="74" t="s">
        <v>10</v>
      </c>
      <c r="W58" s="74" t="s">
        <v>9</v>
      </c>
      <c r="X58" s="74" t="s">
        <v>1</v>
      </c>
      <c r="Y58" s="79" t="s">
        <v>67</v>
      </c>
      <c r="Z58" s="79" t="s">
        <v>7</v>
      </c>
      <c r="AA58" s="79" t="s">
        <v>68</v>
      </c>
      <c r="AB58" s="79" t="s">
        <v>69</v>
      </c>
      <c r="AC58" s="79" t="s">
        <v>70</v>
      </c>
    </row>
    <row r="59" spans="1:29" ht="20.25">
      <c r="A59" s="80"/>
      <c r="B59" s="81" t="s">
        <v>64</v>
      </c>
      <c r="C59" s="82">
        <f t="shared" ref="C59:N59" ca="1" si="6">IFERROR(OFFSET(D5,nCol-C4-1,0)*(D58/D38^2)/(SUM(OFFSET(D5,0,0,nCol-C4,1))*SUM(OFFSET(D5,0,0,nCol - 1 -C4,1))), 0)</f>
        <v>2.2297406664977428E-6</v>
      </c>
      <c r="D59" s="82">
        <f t="shared" ca="1" si="6"/>
        <v>1.2788626198667512E-6</v>
      </c>
      <c r="E59" s="82">
        <f t="shared" ca="1" si="6"/>
        <v>7.8797821792715388E-7</v>
      </c>
      <c r="F59" s="82">
        <f t="shared" ca="1" si="6"/>
        <v>6.198919381899651E-7</v>
      </c>
      <c r="G59" s="82">
        <f t="shared" ca="1" si="6"/>
        <v>4.309822586154057E-7</v>
      </c>
      <c r="H59" s="82">
        <f t="shared" ca="1" si="6"/>
        <v>1.6219821607344278E-7</v>
      </c>
      <c r="I59" s="82">
        <f t="shared" ca="1" si="6"/>
        <v>1.5055217743763547E-7</v>
      </c>
      <c r="J59" s="82">
        <f t="shared" ca="1" si="6"/>
        <v>7.9491600080261922E-7</v>
      </c>
      <c r="K59" s="82">
        <f t="shared" ca="1" si="6"/>
        <v>1.8675673236886974E-7</v>
      </c>
      <c r="L59" s="82">
        <f t="shared" ca="1" si="6"/>
        <v>6.4550701963957264E-8</v>
      </c>
      <c r="M59" s="82">
        <f t="shared" ca="1" si="6"/>
        <v>0</v>
      </c>
      <c r="N59" s="82">
        <f t="shared" ca="1" si="6"/>
        <v>0</v>
      </c>
      <c r="O59" s="69"/>
      <c r="P59" s="70"/>
      <c r="U59" s="83">
        <v>2009</v>
      </c>
      <c r="V59" s="84">
        <f t="shared" ref="V59:V60" ca="1" si="7">OFFSET(O5,0,LatestYear-B5-nRow)</f>
        <v>86842.7012923</v>
      </c>
      <c r="W59" s="85">
        <f t="shared" ref="W59:W67" ca="1" si="8">V59*OFFSET($B$39,0,LatestYear-U59+1)</f>
        <v>86842.7012923</v>
      </c>
      <c r="X59" s="86">
        <f t="shared" ref="X59:X70" ca="1" si="9">W59-V59</f>
        <v>0</v>
      </c>
      <c r="Y59" s="87">
        <f>'[2]Mack_Metodo 2'!AD59</f>
        <v>0</v>
      </c>
      <c r="Z59" s="85">
        <f t="shared" ref="Z59:Z67" ca="1" si="10">SUM(D69:O69)*W59*SUM(OFFSET($B$60:$B$61, 0, LatestYear +1 - U59 ))</f>
        <v>0</v>
      </c>
      <c r="AA59" s="87">
        <f t="shared" ref="AA59:AA67" ca="1" si="11">W59*SUM(OFFSET($N$60:$N$62,0,LatestYear-U59-nCol))^0.5</f>
        <v>0</v>
      </c>
      <c r="AB59" s="88" t="str">
        <f ca="1">IFERROR(AA59/X59, "")</f>
        <v/>
      </c>
      <c r="AC59" s="89" t="str">
        <f t="shared" ref="AC59:AC70" ca="1" si="12">IFERROR(AA59/Y59,"")</f>
        <v/>
      </c>
    </row>
    <row r="60" spans="1:29" ht="20.25">
      <c r="A60" s="80"/>
      <c r="B60" s="81" t="s">
        <v>71</v>
      </c>
      <c r="C60" s="82">
        <f ca="1">SUM(C59:$N$59)</f>
        <v>6.706429529743543E-6</v>
      </c>
      <c r="D60" s="82">
        <f ca="1">SUM(D59:$N$59)</f>
        <v>4.4766888632458011E-6</v>
      </c>
      <c r="E60" s="82">
        <f ca="1">SUM(E59:$N$59)</f>
        <v>3.1978262433790495E-6</v>
      </c>
      <c r="F60" s="82">
        <f ca="1">SUM(F59:$N$59)</f>
        <v>2.4098480254518957E-6</v>
      </c>
      <c r="G60" s="82">
        <f ca="1">SUM(G59:$N$59)</f>
        <v>1.7899560872619302E-6</v>
      </c>
      <c r="H60" s="82">
        <f ca="1">SUM(H59:$N$59)</f>
        <v>1.3589738286465245E-6</v>
      </c>
      <c r="I60" s="82">
        <f ca="1">SUM(I59:$N$59)</f>
        <v>1.1967756125730819E-6</v>
      </c>
      <c r="J60" s="82">
        <f ca="1">SUM(J59:$N$59)</f>
        <v>1.0462234351354463E-6</v>
      </c>
      <c r="K60" s="82">
        <f ca="1">SUM(K59:$N$59)</f>
        <v>2.5130743433282699E-7</v>
      </c>
      <c r="L60" s="82">
        <f ca="1">SUM(L59:$N$59)</f>
        <v>6.4550701963957264E-8</v>
      </c>
      <c r="M60" s="82">
        <f ca="1">SUM(M59:$N$59)</f>
        <v>0</v>
      </c>
      <c r="N60" s="90">
        <f ca="1">SUM(N59:$N$59)</f>
        <v>0</v>
      </c>
      <c r="U60" s="83">
        <v>2010</v>
      </c>
      <c r="V60" s="84">
        <f t="shared" ca="1" si="7"/>
        <v>96325.02158249999</v>
      </c>
      <c r="W60" s="85">
        <f t="shared" ca="1" si="8"/>
        <v>98358.304688348959</v>
      </c>
      <c r="X60" s="86">
        <f t="shared" ca="1" si="9"/>
        <v>2033.2831058489683</v>
      </c>
      <c r="Y60" s="87">
        <f>'[2]Mack_Metodo 2'!AD60</f>
        <v>47.053705075477168</v>
      </c>
      <c r="Z60" s="85">
        <f t="shared" ca="1" si="10"/>
        <v>16747.219690567035</v>
      </c>
      <c r="AA60" s="87">
        <f t="shared" ca="1" si="11"/>
        <v>47.053705075477176</v>
      </c>
      <c r="AB60" s="88">
        <f t="shared" ref="AB60:AB70" ca="1" si="13">IFERROR(AA60/X60, "")</f>
        <v>2.3141738078736741E-2</v>
      </c>
      <c r="AC60" s="89">
        <f t="shared" ca="1" si="12"/>
        <v>1.0000000000000002</v>
      </c>
    </row>
    <row r="61" spans="1:29" ht="20.25">
      <c r="A61" s="80"/>
      <c r="B61" s="81" t="s">
        <v>72</v>
      </c>
      <c r="C61" s="82">
        <f ca="1">(C58/C38^2)/SUM(OFFSET(C5,0,0,nCol-C4))</f>
        <v>9.3283787458325469E-5</v>
      </c>
      <c r="D61" s="82">
        <f t="shared" ref="D61:M61" ca="1" si="14">(D58/D38^2)/SUM(OFFSET(D5,0,0,nCol-D4))</f>
        <v>1.9558527307248049E-5</v>
      </c>
      <c r="E61" s="82">
        <f t="shared" ca="1" si="14"/>
        <v>1.0897148691091133E-5</v>
      </c>
      <c r="F61" s="82">
        <f t="shared" ca="1" si="14"/>
        <v>6.1775257259632516E-6</v>
      </c>
      <c r="G61" s="82">
        <f t="shared" ca="1" si="14"/>
        <v>4.2073960951616474E-6</v>
      </c>
      <c r="H61" s="82">
        <f t="shared" ca="1" si="14"/>
        <v>2.3957943534679181E-6</v>
      </c>
      <c r="I61" s="82">
        <f t="shared" ca="1" si="14"/>
        <v>7.8516953616848877E-7</v>
      </c>
      <c r="J61" s="82">
        <f t="shared" ca="1" si="14"/>
        <v>6.5326879946582901E-7</v>
      </c>
      <c r="K61" s="82">
        <f t="shared" ca="1" si="14"/>
        <v>2.7619525720389236E-6</v>
      </c>
      <c r="L61" s="82">
        <f t="shared" ca="1" si="14"/>
        <v>5.080165115213832E-7</v>
      </c>
      <c r="M61" s="82">
        <f t="shared" ca="1" si="14"/>
        <v>1.2154393041198942E-7</v>
      </c>
      <c r="N61" s="90">
        <v>0</v>
      </c>
      <c r="O61" s="69"/>
      <c r="P61" s="70"/>
      <c r="U61" s="83">
        <v>2011</v>
      </c>
      <c r="V61" s="84">
        <f t="shared" ref="V61:V67" ca="1" si="15">OFFSET(O7,0,LatestYear-B7-nRow)</f>
        <v>105007.48487610002</v>
      </c>
      <c r="W61" s="85">
        <f t="shared" ca="1" si="8"/>
        <v>107662.20035267335</v>
      </c>
      <c r="X61" s="86">
        <f t="shared" ca="1" si="9"/>
        <v>2654.7154765733285</v>
      </c>
      <c r="Y61" s="87">
        <f>'[2]Mack_Metodo 2'!AD61</f>
        <v>136.24662142354634</v>
      </c>
      <c r="Z61" s="85">
        <f t="shared" ca="1" si="10"/>
        <v>79718.416215609643</v>
      </c>
      <c r="AA61" s="87">
        <f t="shared" ca="1" si="11"/>
        <v>129.48408557886435</v>
      </c>
      <c r="AB61" s="88">
        <f t="shared" ca="1" si="13"/>
        <v>4.8775127399340243E-2</v>
      </c>
      <c r="AC61" s="89">
        <f t="shared" ca="1" si="12"/>
        <v>0.95036547861499276</v>
      </c>
    </row>
    <row r="62" spans="1:29" ht="20.25">
      <c r="A62" s="80"/>
      <c r="B62" s="81" t="s">
        <v>73</v>
      </c>
      <c r="C62" s="82">
        <f t="shared" ref="C62:M62" ca="1" si="16">(C58/C38^2)/OFFSET(C5,nCol-C4,0)</f>
        <v>7.5497913413743935E-4</v>
      </c>
      <c r="D62" s="82">
        <f t="shared" ca="1" si="16"/>
        <v>1.5200222689885315E-4</v>
      </c>
      <c r="E62" s="82">
        <f t="shared" ca="1" si="16"/>
        <v>8.1957117084635351E-5</v>
      </c>
      <c r="F62" s="82">
        <f t="shared" ca="1" si="16"/>
        <v>4.2252523768711672E-5</v>
      </c>
      <c r="G62" s="82">
        <f t="shared" ca="1" si="16"/>
        <v>2.4349487469529379E-5</v>
      </c>
      <c r="H62" s="82">
        <f t="shared" ca="1" si="16"/>
        <v>1.0922226213199524E-5</v>
      </c>
      <c r="I62" s="82">
        <f t="shared" ca="1" si="16"/>
        <v>3.0156811479592247E-6</v>
      </c>
      <c r="J62" s="82">
        <f t="shared" ca="1" si="16"/>
        <v>2.1813638947860098E-6</v>
      </c>
      <c r="K62" s="82">
        <f t="shared" ca="1" si="16"/>
        <v>6.8345104536016721E-6</v>
      </c>
      <c r="L62" s="82">
        <f t="shared" ca="1" si="16"/>
        <v>8.7389231021046933E-7</v>
      </c>
      <c r="M62" s="82">
        <f t="shared" ca="1" si="16"/>
        <v>1.0731379801741146E-7</v>
      </c>
      <c r="N62" s="91">
        <v>0</v>
      </c>
      <c r="U62" s="83">
        <v>2012</v>
      </c>
      <c r="V62" s="84">
        <f t="shared" ca="1" si="15"/>
        <v>114674.41313589999</v>
      </c>
      <c r="W62" s="85">
        <f t="shared" ca="1" si="8"/>
        <v>118351.45932970551</v>
      </c>
      <c r="X62" s="86">
        <f t="shared" ca="1" si="9"/>
        <v>3677.0461938055232</v>
      </c>
      <c r="Y62" s="87">
        <f>'[2]Mack_Metodo 2'!AD62</f>
        <v>394.48820777829928</v>
      </c>
      <c r="Z62" s="85">
        <f t="shared" ca="1" si="10"/>
        <v>418982.29525864153</v>
      </c>
      <c r="AA62" s="87">
        <f t="shared" ca="1" si="11"/>
        <v>371.40057855002578</v>
      </c>
      <c r="AB62" s="88">
        <f t="shared" ca="1" si="13"/>
        <v>0.10100514352408729</v>
      </c>
      <c r="AC62" s="89">
        <f t="shared" ca="1" si="12"/>
        <v>0.94147447560397379</v>
      </c>
    </row>
    <row r="63" spans="1:29" ht="20.25">
      <c r="U63" s="83">
        <v>2013</v>
      </c>
      <c r="V63" s="84">
        <f t="shared" ca="1" si="15"/>
        <v>118289.46107000002</v>
      </c>
      <c r="W63" s="85">
        <f t="shared" ca="1" si="8"/>
        <v>123149.42573429785</v>
      </c>
      <c r="X63" s="86">
        <f t="shared" ca="1" si="9"/>
        <v>4859.9646642978332</v>
      </c>
      <c r="Y63" s="87">
        <f>'[2]Mack_Metodo 2'!AD63</f>
        <v>454.88808316986808</v>
      </c>
      <c r="Z63" s="85">
        <f t="shared" ca="1" si="10"/>
        <v>220113.69609573294</v>
      </c>
      <c r="AA63" s="87">
        <f t="shared" ca="1" si="11"/>
        <v>242.60299746407165</v>
      </c>
      <c r="AB63" s="88">
        <f t="shared" ca="1" si="13"/>
        <v>4.9918675180146165E-2</v>
      </c>
      <c r="AC63" s="89">
        <f t="shared" ca="1" si="12"/>
        <v>0.53332458343050682</v>
      </c>
    </row>
    <row r="64" spans="1:29" ht="20.25">
      <c r="U64" s="83">
        <v>2014</v>
      </c>
      <c r="V64" s="84">
        <f t="shared" ca="1" si="15"/>
        <v>132138.57105614999</v>
      </c>
      <c r="W64" s="85">
        <f t="shared" ca="1" si="8"/>
        <v>139128.238431793</v>
      </c>
      <c r="X64" s="86">
        <f t="shared" ca="1" si="9"/>
        <v>6989.66737564301</v>
      </c>
      <c r="Y64" s="87">
        <f>'[2]Mack_Metodo 2'!AD64</f>
        <v>562.43711977749706</v>
      </c>
      <c r="Z64" s="85">
        <f t="shared" ca="1" si="10"/>
        <v>251639.09332185457</v>
      </c>
      <c r="AA64" s="87">
        <f t="shared" ca="1" si="11"/>
        <v>311.02634399997805</v>
      </c>
      <c r="AB64" s="88">
        <f t="shared" ca="1" si="13"/>
        <v>4.4498017900510667E-2</v>
      </c>
      <c r="AC64" s="89">
        <f t="shared" ca="1" si="12"/>
        <v>0.55299754063711448</v>
      </c>
    </row>
    <row r="65" spans="2:29" ht="20.25">
      <c r="B65" s="52"/>
      <c r="C65" s="52"/>
      <c r="D65" s="52" t="s">
        <v>5</v>
      </c>
      <c r="E65" s="53" t="s">
        <v>74</v>
      </c>
      <c r="F65" s="52"/>
      <c r="G65" s="52"/>
      <c r="H65" s="52"/>
      <c r="I65" s="52"/>
      <c r="J65" s="52"/>
      <c r="K65" s="52"/>
      <c r="L65" s="52"/>
      <c r="M65" s="52"/>
      <c r="N65" s="52"/>
      <c r="O65" s="71"/>
      <c r="U65" s="83">
        <v>2015</v>
      </c>
      <c r="V65" s="84">
        <f t="shared" ca="1" si="15"/>
        <v>138291.0141644</v>
      </c>
      <c r="W65" s="85">
        <f t="shared" ca="1" si="8"/>
        <v>147730.79127024306</v>
      </c>
      <c r="X65" s="86">
        <f t="shared" ca="1" si="9"/>
        <v>9439.7771058430662</v>
      </c>
      <c r="Y65" s="87">
        <f>'[2]Mack_Metodo 2'!AD65</f>
        <v>795.41872483807299</v>
      </c>
      <c r="Z65" s="85">
        <f t="shared" ca="1" si="10"/>
        <v>424258.22468227346</v>
      </c>
      <c r="AA65" s="87">
        <f t="shared" ca="1" si="11"/>
        <v>565.96501757660985</v>
      </c>
      <c r="AB65" s="88">
        <f t="shared" ca="1" si="13"/>
        <v>5.9955336999036435E-2</v>
      </c>
      <c r="AC65" s="89">
        <f t="shared" ca="1" si="12"/>
        <v>0.71153092063783885</v>
      </c>
    </row>
    <row r="66" spans="2:29" ht="20.25">
      <c r="B66" s="52"/>
      <c r="D66" s="55" t="s">
        <v>4</v>
      </c>
      <c r="F66" s="52"/>
      <c r="G66" s="52"/>
      <c r="H66" s="52"/>
      <c r="I66" s="52"/>
      <c r="J66" s="52"/>
      <c r="K66" s="52"/>
      <c r="L66" s="52"/>
      <c r="M66" s="52"/>
      <c r="N66" s="52"/>
      <c r="O66" s="52"/>
      <c r="U66" s="83">
        <v>2016</v>
      </c>
      <c r="V66" s="84">
        <f t="shared" ca="1" si="15"/>
        <v>129900.41042400002</v>
      </c>
      <c r="W66" s="85">
        <f t="shared" ca="1" si="8"/>
        <v>141900.76720480138</v>
      </c>
      <c r="X66" s="86">
        <f t="shared" ca="1" si="9"/>
        <v>12000.356780801361</v>
      </c>
      <c r="Y66" s="87">
        <f>'[2]Mack_Metodo 2'!AD66</f>
        <v>1084.7862795829024</v>
      </c>
      <c r="Z66" s="85">
        <f t="shared" ca="1" si="10"/>
        <v>530147.55496845744</v>
      </c>
      <c r="AA66" s="87">
        <f t="shared" ca="1" si="11"/>
        <v>781.70245968791949</v>
      </c>
      <c r="AB66" s="88">
        <f t="shared" ca="1" si="13"/>
        <v>6.5139934917478257E-2</v>
      </c>
      <c r="AC66" s="89">
        <f t="shared" ca="1" si="12"/>
        <v>0.72060503935252773</v>
      </c>
    </row>
    <row r="67" spans="2:29" ht="20.25">
      <c r="D67" s="57">
        <v>0</v>
      </c>
      <c r="E67" s="57">
        <v>1</v>
      </c>
      <c r="F67" s="57">
        <v>2</v>
      </c>
      <c r="G67" s="57">
        <v>3</v>
      </c>
      <c r="H67" s="57">
        <v>4</v>
      </c>
      <c r="I67" s="57">
        <v>5</v>
      </c>
      <c r="J67" s="57">
        <v>6</v>
      </c>
      <c r="K67" s="57">
        <v>7</v>
      </c>
      <c r="L67" s="57">
        <v>8</v>
      </c>
      <c r="M67" s="57">
        <v>9</v>
      </c>
      <c r="N67" s="57">
        <v>10</v>
      </c>
      <c r="O67" s="57">
        <v>11</v>
      </c>
      <c r="U67" s="83">
        <v>2017</v>
      </c>
      <c r="V67" s="84">
        <f t="shared" ca="1" si="15"/>
        <v>124786.08131000001</v>
      </c>
      <c r="W67" s="85">
        <f t="shared" ca="1" si="8"/>
        <v>140813.42524903908</v>
      </c>
      <c r="X67" s="86">
        <f t="shared" ca="1" si="9"/>
        <v>16027.34393903907</v>
      </c>
      <c r="Y67" s="87">
        <f>'[2]Mack_Metodo 2'!AD67</f>
        <v>1458.1786429384333</v>
      </c>
      <c r="Z67" s="85">
        <f t="shared" ca="1" si="10"/>
        <v>583006.73426413501</v>
      </c>
      <c r="AA67" s="87">
        <f t="shared" ca="1" si="11"/>
        <v>1004.029321244057</v>
      </c>
      <c r="AB67" s="88">
        <f t="shared" ca="1" si="13"/>
        <v>6.2644772899548451E-2</v>
      </c>
      <c r="AC67" s="89">
        <f t="shared" ca="1" si="12"/>
        <v>0.688550285732342</v>
      </c>
    </row>
    <row r="68" spans="2:29" ht="20.25">
      <c r="B68" s="56" t="s">
        <v>3</v>
      </c>
      <c r="C68" s="74" t="s">
        <v>75</v>
      </c>
      <c r="D68" s="92">
        <f t="array" aca="1" ref="D68:O68" ca="1">TRANSPOSE(C69:C80)</f>
        <v>86842.7012923</v>
      </c>
      <c r="E68" s="92">
        <f ca="1"/>
        <v>98358.304688348959</v>
      </c>
      <c r="F68" s="92">
        <f ca="1"/>
        <v>107662.20035267335</v>
      </c>
      <c r="G68" s="92">
        <f ca="1"/>
        <v>118351.45932970551</v>
      </c>
      <c r="H68" s="92">
        <f ca="1"/>
        <v>123149.42573429785</v>
      </c>
      <c r="I68" s="92">
        <f ca="1"/>
        <v>139128.238431793</v>
      </c>
      <c r="J68" s="92">
        <f ca="1"/>
        <v>147730.79127024306</v>
      </c>
      <c r="K68" s="92">
        <f ca="1"/>
        <v>141900.76720480138</v>
      </c>
      <c r="L68" s="92">
        <f ca="1"/>
        <v>140813.42524903908</v>
      </c>
      <c r="M68" s="92">
        <f ca="1"/>
        <v>146781.26170555825</v>
      </c>
      <c r="N68" s="92">
        <f ca="1"/>
        <v>160933.25674865756</v>
      </c>
      <c r="O68" s="92">
        <f ca="1"/>
        <v>174421.01842004474</v>
      </c>
      <c r="U68" s="83">
        <v>2018</v>
      </c>
      <c r="V68" s="84">
        <f ca="1">OFFSET(O14,0,LatestYear-B14-nRow)</f>
        <v>121799.75327999999</v>
      </c>
      <c r="W68" s="85">
        <f t="shared" ref="W68:W70" ca="1" si="17">V68*OFFSET($B$39,0,LatestYear-U68+1)</f>
        <v>146781.26170555825</v>
      </c>
      <c r="X68" s="86">
        <f t="shared" ca="1" si="9"/>
        <v>24981.508425558262</v>
      </c>
      <c r="Y68" s="87">
        <f>'[2]Mack_Metodo 2'!AD68</f>
        <v>2057.2667880670829</v>
      </c>
      <c r="Z68" s="85">
        <f t="shared" ref="Z68:Z70" ca="1" si="18">SUM(D78:O78)*W68*SUM(OFFSET($B$60:$B$61, 0, LatestYear +1 - U68 ))</f>
        <v>693807.15071252233</v>
      </c>
      <c r="AA68" s="87">
        <f t="shared" ref="AA68:AA70" ca="1" si="19">W68*SUM(OFFSET($N$60:$N$62,0,LatestYear-U68-nCol))^0.5</f>
        <v>1438.546917059231</v>
      </c>
      <c r="AB68" s="88">
        <f t="shared" ca="1" si="13"/>
        <v>5.7584469782756269E-2</v>
      </c>
      <c r="AC68" s="89">
        <f t="shared" ca="1" si="12"/>
        <v>0.69925151438954891</v>
      </c>
    </row>
    <row r="69" spans="2:29" ht="20.25">
      <c r="B69" s="58">
        <v>2009</v>
      </c>
      <c r="C69" s="93">
        <f ca="1">W59</f>
        <v>86842.7012923</v>
      </c>
      <c r="D69" s="70" t="str">
        <f t="shared" ref="D69:O80" si="20">IF($B69+nCol-LatestYear &lt;D$67,D$68,"")</f>
        <v/>
      </c>
      <c r="E69" s="70">
        <f t="shared" ca="1" si="20"/>
        <v>98358.304688348959</v>
      </c>
      <c r="F69" s="70">
        <f t="shared" ca="1" si="20"/>
        <v>107662.20035267335</v>
      </c>
      <c r="G69" s="70">
        <f t="shared" ca="1" si="20"/>
        <v>118351.45932970551</v>
      </c>
      <c r="H69" s="70">
        <f t="shared" ca="1" si="20"/>
        <v>123149.42573429785</v>
      </c>
      <c r="I69" s="70">
        <f t="shared" ca="1" si="20"/>
        <v>139128.238431793</v>
      </c>
      <c r="J69" s="70">
        <f t="shared" ca="1" si="20"/>
        <v>147730.79127024306</v>
      </c>
      <c r="K69" s="70">
        <f t="shared" ca="1" si="20"/>
        <v>141900.76720480138</v>
      </c>
      <c r="L69" s="70">
        <f t="shared" ca="1" si="20"/>
        <v>140813.42524903908</v>
      </c>
      <c r="M69" s="70">
        <f t="shared" ca="1" si="20"/>
        <v>146781.26170555825</v>
      </c>
      <c r="N69" s="70">
        <f t="shared" ca="1" si="20"/>
        <v>160933.25674865756</v>
      </c>
      <c r="O69" s="70">
        <f t="shared" ca="1" si="20"/>
        <v>174421.01842004474</v>
      </c>
      <c r="U69" s="83">
        <v>2019</v>
      </c>
      <c r="V69" s="84">
        <f ca="1">OFFSET(O15,0,LatestYear-B15-nRow)</f>
        <v>112342</v>
      </c>
      <c r="W69" s="85">
        <f t="shared" ca="1" si="17"/>
        <v>160933.25674865756</v>
      </c>
      <c r="X69" s="86">
        <f t="shared" ca="1" si="9"/>
        <v>48591.256748657557</v>
      </c>
      <c r="Y69" s="87">
        <f>'[2]Mack_Metodo 2'!AD69</f>
        <v>3024.6781569736745</v>
      </c>
      <c r="Z69" s="85">
        <f t="shared" ca="1" si="18"/>
        <v>674671.94387959596</v>
      </c>
      <c r="AA69" s="87">
        <f t="shared" ca="1" si="19"/>
        <v>2135.2480108283576</v>
      </c>
      <c r="AB69" s="88">
        <f t="shared" ca="1" si="13"/>
        <v>4.3943049711043923E-2</v>
      </c>
      <c r="AC69" s="89">
        <f t="shared" ca="1" si="12"/>
        <v>0.70594221930863832</v>
      </c>
    </row>
    <row r="70" spans="2:29" ht="20.25">
      <c r="B70" s="58">
        <v>2010</v>
      </c>
      <c r="C70" s="93">
        <f t="shared" ref="C70:C80" ca="1" si="21">W60</f>
        <v>98358.304688348959</v>
      </c>
      <c r="D70" s="70" t="str">
        <f t="shared" si="20"/>
        <v/>
      </c>
      <c r="E70" s="70" t="str">
        <f t="shared" si="20"/>
        <v/>
      </c>
      <c r="F70" s="70">
        <f t="shared" ca="1" si="20"/>
        <v>107662.20035267335</v>
      </c>
      <c r="G70" s="70">
        <f t="shared" ca="1" si="20"/>
        <v>118351.45932970551</v>
      </c>
      <c r="H70" s="70">
        <f t="shared" ca="1" si="20"/>
        <v>123149.42573429785</v>
      </c>
      <c r="I70" s="70">
        <f t="shared" ca="1" si="20"/>
        <v>139128.238431793</v>
      </c>
      <c r="J70" s="70">
        <f t="shared" ca="1" si="20"/>
        <v>147730.79127024306</v>
      </c>
      <c r="K70" s="70">
        <f t="shared" ca="1" si="20"/>
        <v>141900.76720480138</v>
      </c>
      <c r="L70" s="70">
        <f t="shared" ca="1" si="20"/>
        <v>140813.42524903908</v>
      </c>
      <c r="M70" s="70">
        <f t="shared" ca="1" si="20"/>
        <v>146781.26170555825</v>
      </c>
      <c r="N70" s="70">
        <f t="shared" ca="1" si="20"/>
        <v>160933.25674865756</v>
      </c>
      <c r="O70" s="70">
        <f t="shared" ca="1" si="20"/>
        <v>174421.01842004474</v>
      </c>
      <c r="U70" s="83">
        <v>2020</v>
      </c>
      <c r="V70" s="84">
        <f ca="1">OFFSET(O16,0,LatestYear-B16-nRow)</f>
        <v>60361.276160000001</v>
      </c>
      <c r="W70" s="85">
        <f t="shared" ca="1" si="17"/>
        <v>174421.01842004474</v>
      </c>
      <c r="X70" s="86">
        <f t="shared" ca="1" si="9"/>
        <v>114059.74226004473</v>
      </c>
      <c r="Y70" s="87">
        <f>'[2]Mack_Metodo 2'!AD70</f>
        <v>5986.2296398031467</v>
      </c>
      <c r="Z70" s="85">
        <f t="shared" ca="1" si="18"/>
        <v>0</v>
      </c>
      <c r="AA70" s="87">
        <f t="shared" ca="1" si="19"/>
        <v>5100.0459756513555</v>
      </c>
      <c r="AB70" s="88">
        <f t="shared" ca="1" si="13"/>
        <v>4.471381290713216E-2</v>
      </c>
      <c r="AC70" s="89">
        <f t="shared" ca="1" si="12"/>
        <v>0.85196296876761102</v>
      </c>
    </row>
    <row r="71" spans="2:29" ht="20.25">
      <c r="B71" s="58">
        <v>2011</v>
      </c>
      <c r="C71" s="93">
        <f t="shared" ca="1" si="21"/>
        <v>107662.20035267335</v>
      </c>
      <c r="D71" s="70" t="str">
        <f t="shared" si="20"/>
        <v/>
      </c>
      <c r="E71" s="70" t="str">
        <f t="shared" si="20"/>
        <v/>
      </c>
      <c r="F71" s="70" t="str">
        <f t="shared" si="20"/>
        <v/>
      </c>
      <c r="G71" s="70">
        <f t="shared" ca="1" si="20"/>
        <v>118351.45932970551</v>
      </c>
      <c r="H71" s="70">
        <f t="shared" ca="1" si="20"/>
        <v>123149.42573429785</v>
      </c>
      <c r="I71" s="70">
        <f t="shared" ca="1" si="20"/>
        <v>139128.238431793</v>
      </c>
      <c r="J71" s="70">
        <f t="shared" ca="1" si="20"/>
        <v>147730.79127024306</v>
      </c>
      <c r="K71" s="70">
        <f t="shared" ca="1" si="20"/>
        <v>141900.76720480138</v>
      </c>
      <c r="L71" s="70">
        <f t="shared" ca="1" si="20"/>
        <v>140813.42524903908</v>
      </c>
      <c r="M71" s="70">
        <f t="shared" ca="1" si="20"/>
        <v>146781.26170555825</v>
      </c>
      <c r="N71" s="70">
        <f t="shared" ca="1" si="20"/>
        <v>160933.25674865756</v>
      </c>
      <c r="O71" s="70">
        <f t="shared" ca="1" si="20"/>
        <v>174421.01842004474</v>
      </c>
    </row>
    <row r="72" spans="2:29" ht="20.25">
      <c r="B72" s="58">
        <v>2012</v>
      </c>
      <c r="C72" s="93">
        <f t="shared" ca="1" si="21"/>
        <v>118351.45932970551</v>
      </c>
      <c r="D72" s="70" t="str">
        <f t="shared" si="20"/>
        <v/>
      </c>
      <c r="E72" s="70" t="str">
        <f t="shared" si="20"/>
        <v/>
      </c>
      <c r="F72" s="70" t="str">
        <f t="shared" si="20"/>
        <v/>
      </c>
      <c r="G72" s="70" t="str">
        <f t="shared" si="20"/>
        <v/>
      </c>
      <c r="H72" s="70">
        <f t="shared" ca="1" si="20"/>
        <v>123149.42573429785</v>
      </c>
      <c r="I72" s="70">
        <f t="shared" ca="1" si="20"/>
        <v>139128.238431793</v>
      </c>
      <c r="J72" s="70">
        <f t="shared" ca="1" si="20"/>
        <v>147730.79127024306</v>
      </c>
      <c r="K72" s="70">
        <f t="shared" ca="1" si="20"/>
        <v>141900.76720480138</v>
      </c>
      <c r="L72" s="70">
        <f t="shared" ca="1" si="20"/>
        <v>140813.42524903908</v>
      </c>
      <c r="M72" s="70">
        <f t="shared" ca="1" si="20"/>
        <v>146781.26170555825</v>
      </c>
      <c r="N72" s="70">
        <f t="shared" ca="1" si="20"/>
        <v>160933.25674865756</v>
      </c>
      <c r="O72" s="70">
        <f t="shared" ca="1" si="20"/>
        <v>174421.01842004474</v>
      </c>
      <c r="U72" s="83" t="s">
        <v>2</v>
      </c>
      <c r="V72" s="84">
        <f ca="1">SUM(V59:V70)</f>
        <v>1340758.1883513499</v>
      </c>
      <c r="W72" s="85">
        <f ca="1">SUM(W59:W70)</f>
        <v>1586072.8504274627</v>
      </c>
      <c r="X72" s="86">
        <f ca="1">SUM(X59:X70)</f>
        <v>245314.6620761127</v>
      </c>
      <c r="Y72" s="94">
        <f>'[2]Mack_Metodo 2'!AD72</f>
        <v>8296.2607163959237</v>
      </c>
      <c r="Z72" s="85">
        <f ca="1">2*SUM(Z59:Z70)</f>
        <v>7786184.6581787802</v>
      </c>
      <c r="AA72" s="94">
        <f ca="1">(SUMSQ(AA59:AA70)+Z72)^0.5</f>
        <v>6532.7878503094871</v>
      </c>
      <c r="AB72" s="88">
        <f ca="1">AA72/X72</f>
        <v>2.6630238058427132E-2</v>
      </c>
      <c r="AC72" s="89">
        <f ca="1">AA72/Y72</f>
        <v>0.78743762685744911</v>
      </c>
    </row>
    <row r="73" spans="2:29" ht="20.25">
      <c r="B73" s="58">
        <v>2013</v>
      </c>
      <c r="C73" s="93">
        <f t="shared" ca="1" si="21"/>
        <v>123149.42573429785</v>
      </c>
      <c r="D73" s="70" t="str">
        <f t="shared" si="20"/>
        <v/>
      </c>
      <c r="E73" s="70" t="str">
        <f t="shared" si="20"/>
        <v/>
      </c>
      <c r="F73" s="70" t="str">
        <f t="shared" si="20"/>
        <v/>
      </c>
      <c r="G73" s="70" t="str">
        <f t="shared" si="20"/>
        <v/>
      </c>
      <c r="H73" s="70" t="str">
        <f t="shared" si="20"/>
        <v/>
      </c>
      <c r="I73" s="70">
        <f t="shared" ca="1" si="20"/>
        <v>139128.238431793</v>
      </c>
      <c r="J73" s="70">
        <f t="shared" ca="1" si="20"/>
        <v>147730.79127024306</v>
      </c>
      <c r="K73" s="70">
        <f t="shared" ca="1" si="20"/>
        <v>141900.76720480138</v>
      </c>
      <c r="L73" s="70">
        <f t="shared" ca="1" si="20"/>
        <v>140813.42524903908</v>
      </c>
      <c r="M73" s="70">
        <f t="shared" ca="1" si="20"/>
        <v>146781.26170555825</v>
      </c>
      <c r="N73" s="70">
        <f t="shared" ca="1" si="20"/>
        <v>160933.25674865756</v>
      </c>
      <c r="O73" s="70">
        <f t="shared" ca="1" si="20"/>
        <v>174421.01842004474</v>
      </c>
    </row>
    <row r="74" spans="2:29" ht="20.25">
      <c r="B74" s="58">
        <v>2014</v>
      </c>
      <c r="C74" s="93">
        <f t="shared" ca="1" si="21"/>
        <v>139128.238431793</v>
      </c>
      <c r="D74" s="70" t="str">
        <f t="shared" si="20"/>
        <v/>
      </c>
      <c r="E74" s="70" t="str">
        <f t="shared" si="20"/>
        <v/>
      </c>
      <c r="F74" s="70" t="str">
        <f t="shared" si="20"/>
        <v/>
      </c>
      <c r="G74" s="70" t="str">
        <f t="shared" si="20"/>
        <v/>
      </c>
      <c r="H74" s="70" t="str">
        <f t="shared" si="20"/>
        <v/>
      </c>
      <c r="I74" s="70" t="str">
        <f t="shared" si="20"/>
        <v/>
      </c>
      <c r="J74" s="70">
        <f t="shared" ca="1" si="20"/>
        <v>147730.79127024306</v>
      </c>
      <c r="K74" s="70">
        <f t="shared" ca="1" si="20"/>
        <v>141900.76720480138</v>
      </c>
      <c r="L74" s="70">
        <f t="shared" ca="1" si="20"/>
        <v>140813.42524903908</v>
      </c>
      <c r="M74" s="70">
        <f t="shared" ca="1" si="20"/>
        <v>146781.26170555825</v>
      </c>
      <c r="N74" s="70">
        <f t="shared" ca="1" si="20"/>
        <v>160933.25674865756</v>
      </c>
      <c r="O74" s="70">
        <f t="shared" ca="1" si="20"/>
        <v>174421.01842004474</v>
      </c>
    </row>
    <row r="75" spans="2:29" ht="20.25">
      <c r="B75" s="58">
        <v>2015</v>
      </c>
      <c r="C75" s="93">
        <f t="shared" ca="1" si="21"/>
        <v>147730.79127024306</v>
      </c>
      <c r="D75" s="70" t="str">
        <f t="shared" si="20"/>
        <v/>
      </c>
      <c r="E75" s="70" t="str">
        <f t="shared" si="20"/>
        <v/>
      </c>
      <c r="F75" s="70" t="str">
        <f t="shared" si="20"/>
        <v/>
      </c>
      <c r="G75" s="70" t="str">
        <f t="shared" si="20"/>
        <v/>
      </c>
      <c r="H75" s="70" t="str">
        <f t="shared" si="20"/>
        <v/>
      </c>
      <c r="I75" s="70" t="str">
        <f t="shared" si="20"/>
        <v/>
      </c>
      <c r="J75" s="70" t="str">
        <f t="shared" si="20"/>
        <v/>
      </c>
      <c r="K75" s="70">
        <f t="shared" ca="1" si="20"/>
        <v>141900.76720480138</v>
      </c>
      <c r="L75" s="70">
        <f t="shared" ca="1" si="20"/>
        <v>140813.42524903908</v>
      </c>
      <c r="M75" s="70">
        <f t="shared" ca="1" si="20"/>
        <v>146781.26170555825</v>
      </c>
      <c r="N75" s="70">
        <f t="shared" ca="1" si="20"/>
        <v>160933.25674865756</v>
      </c>
      <c r="O75" s="70">
        <f t="shared" ca="1" si="20"/>
        <v>174421.01842004474</v>
      </c>
    </row>
    <row r="76" spans="2:29" ht="20.25">
      <c r="B76" s="58">
        <v>2016</v>
      </c>
      <c r="C76" s="93">
        <f t="shared" ca="1" si="21"/>
        <v>141900.76720480138</v>
      </c>
      <c r="D76" s="70" t="str">
        <f t="shared" si="20"/>
        <v/>
      </c>
      <c r="E76" s="70" t="str">
        <f t="shared" si="20"/>
        <v/>
      </c>
      <c r="F76" s="70" t="str">
        <f t="shared" si="20"/>
        <v/>
      </c>
      <c r="G76" s="70" t="str">
        <f t="shared" si="20"/>
        <v/>
      </c>
      <c r="H76" s="70" t="str">
        <f t="shared" si="20"/>
        <v/>
      </c>
      <c r="I76" s="70" t="str">
        <f t="shared" si="20"/>
        <v/>
      </c>
      <c r="J76" s="70" t="str">
        <f t="shared" si="20"/>
        <v/>
      </c>
      <c r="K76" s="70" t="str">
        <f t="shared" si="20"/>
        <v/>
      </c>
      <c r="L76" s="70">
        <f t="shared" ca="1" si="20"/>
        <v>140813.42524903908</v>
      </c>
      <c r="M76" s="70">
        <f t="shared" ca="1" si="20"/>
        <v>146781.26170555825</v>
      </c>
      <c r="N76" s="70">
        <f t="shared" ca="1" si="20"/>
        <v>160933.25674865756</v>
      </c>
      <c r="O76" s="70">
        <f t="shared" ca="1" si="20"/>
        <v>174421.01842004474</v>
      </c>
    </row>
    <row r="77" spans="2:29" ht="20.25">
      <c r="B77" s="58">
        <v>2017</v>
      </c>
      <c r="C77" s="93">
        <f t="shared" ca="1" si="21"/>
        <v>140813.42524903908</v>
      </c>
      <c r="D77" s="70" t="str">
        <f t="shared" si="20"/>
        <v/>
      </c>
      <c r="E77" s="70" t="str">
        <f t="shared" si="20"/>
        <v/>
      </c>
      <c r="F77" s="70" t="str">
        <f t="shared" si="20"/>
        <v/>
      </c>
      <c r="G77" s="70" t="str">
        <f t="shared" si="20"/>
        <v/>
      </c>
      <c r="H77" s="70" t="str">
        <f t="shared" si="20"/>
        <v/>
      </c>
      <c r="I77" s="70" t="str">
        <f t="shared" si="20"/>
        <v/>
      </c>
      <c r="J77" s="70" t="str">
        <f t="shared" si="20"/>
        <v/>
      </c>
      <c r="K77" s="70" t="str">
        <f t="shared" si="20"/>
        <v/>
      </c>
      <c r="L77" s="70" t="str">
        <f t="shared" si="20"/>
        <v/>
      </c>
      <c r="M77" s="70">
        <f t="shared" ca="1" si="20"/>
        <v>146781.26170555825</v>
      </c>
      <c r="N77" s="70">
        <f t="shared" ca="1" si="20"/>
        <v>160933.25674865756</v>
      </c>
      <c r="O77" s="70">
        <f t="shared" ca="1" si="20"/>
        <v>174421.01842004474</v>
      </c>
    </row>
    <row r="78" spans="2:29" ht="20.25">
      <c r="B78" s="58">
        <v>2018</v>
      </c>
      <c r="C78" s="93">
        <f t="shared" ca="1" si="21"/>
        <v>146781.26170555825</v>
      </c>
      <c r="D78" s="70" t="str">
        <f t="shared" si="20"/>
        <v/>
      </c>
      <c r="E78" s="70" t="str">
        <f t="shared" si="20"/>
        <v/>
      </c>
      <c r="F78" s="70" t="str">
        <f t="shared" si="20"/>
        <v/>
      </c>
      <c r="G78" s="70" t="str">
        <f t="shared" si="20"/>
        <v/>
      </c>
      <c r="H78" s="70" t="str">
        <f t="shared" si="20"/>
        <v/>
      </c>
      <c r="I78" s="70" t="str">
        <f t="shared" si="20"/>
        <v/>
      </c>
      <c r="J78" s="70" t="str">
        <f t="shared" si="20"/>
        <v/>
      </c>
      <c r="K78" s="70" t="str">
        <f t="shared" si="20"/>
        <v/>
      </c>
      <c r="L78" s="70" t="str">
        <f t="shared" si="20"/>
        <v/>
      </c>
      <c r="M78" s="70" t="str">
        <f t="shared" si="20"/>
        <v/>
      </c>
      <c r="N78" s="70">
        <f t="shared" ca="1" si="20"/>
        <v>160933.25674865756</v>
      </c>
      <c r="O78" s="70">
        <f t="shared" ca="1" si="20"/>
        <v>174421.01842004474</v>
      </c>
    </row>
    <row r="79" spans="2:29" ht="20.25">
      <c r="B79" s="58">
        <v>2019</v>
      </c>
      <c r="C79" s="93">
        <f t="shared" ca="1" si="21"/>
        <v>160933.25674865756</v>
      </c>
      <c r="D79" s="70" t="str">
        <f t="shared" si="20"/>
        <v/>
      </c>
      <c r="E79" s="70" t="str">
        <f t="shared" si="20"/>
        <v/>
      </c>
      <c r="F79" s="70" t="str">
        <f t="shared" si="20"/>
        <v/>
      </c>
      <c r="G79" s="70" t="str">
        <f t="shared" si="20"/>
        <v/>
      </c>
      <c r="H79" s="70" t="str">
        <f t="shared" si="20"/>
        <v/>
      </c>
      <c r="I79" s="70" t="str">
        <f t="shared" si="20"/>
        <v/>
      </c>
      <c r="J79" s="70" t="str">
        <f t="shared" si="20"/>
        <v/>
      </c>
      <c r="K79" s="70" t="str">
        <f t="shared" si="20"/>
        <v/>
      </c>
      <c r="L79" s="70" t="str">
        <f t="shared" si="20"/>
        <v/>
      </c>
      <c r="M79" s="70" t="str">
        <f t="shared" si="20"/>
        <v/>
      </c>
      <c r="N79" s="70" t="str">
        <f t="shared" si="20"/>
        <v/>
      </c>
      <c r="O79" s="70">
        <f t="shared" ca="1" si="20"/>
        <v>174421.01842004474</v>
      </c>
    </row>
    <row r="80" spans="2:29" ht="20.25">
      <c r="B80" s="58">
        <v>2020</v>
      </c>
      <c r="C80" s="93">
        <f t="shared" ca="1" si="21"/>
        <v>174421.01842004474</v>
      </c>
      <c r="D80" s="70" t="str">
        <f t="shared" si="20"/>
        <v/>
      </c>
      <c r="E80" s="70" t="str">
        <f t="shared" si="20"/>
        <v/>
      </c>
      <c r="F80" s="70" t="str">
        <f t="shared" si="20"/>
        <v/>
      </c>
      <c r="G80" s="70" t="str">
        <f t="shared" si="20"/>
        <v/>
      </c>
      <c r="H80" s="70" t="str">
        <f t="shared" si="20"/>
        <v/>
      </c>
      <c r="I80" s="70" t="str">
        <f t="shared" si="20"/>
        <v/>
      </c>
      <c r="J80" s="70" t="str">
        <f t="shared" si="20"/>
        <v/>
      </c>
      <c r="K80" s="70" t="str">
        <f t="shared" si="20"/>
        <v/>
      </c>
      <c r="L80" s="70" t="str">
        <f t="shared" si="20"/>
        <v/>
      </c>
      <c r="M80" s="70" t="str">
        <f t="shared" si="20"/>
        <v/>
      </c>
      <c r="N80" s="70" t="str">
        <f t="shared" si="20"/>
        <v/>
      </c>
      <c r="O80" s="70" t="str">
        <f t="shared" si="20"/>
        <v/>
      </c>
    </row>
    <row r="85" spans="2:15">
      <c r="B85" s="95" t="s">
        <v>76</v>
      </c>
    </row>
    <row r="86" spans="2:15" ht="20.25">
      <c r="B86" s="54" t="s">
        <v>77</v>
      </c>
      <c r="O86" s="71"/>
    </row>
    <row r="87" spans="2:15">
      <c r="B87" s="54" t="s">
        <v>78</v>
      </c>
    </row>
    <row r="88" spans="2:15">
      <c r="B88" s="54" t="s">
        <v>79</v>
      </c>
    </row>
    <row r="89" spans="2:15">
      <c r="B89" s="54" t="s">
        <v>80</v>
      </c>
    </row>
  </sheetData>
  <conditionalFormatting sqref="C5:N16 O65">
    <cfRule type="expression" dxfId="4" priority="5">
      <formula>C5&lt;&gt;""</formula>
    </cfRule>
  </conditionalFormatting>
  <conditionalFormatting sqref="C24:N35">
    <cfRule type="expression" dxfId="3" priority="4">
      <formula>C24&lt;&gt;""</formula>
    </cfRule>
  </conditionalFormatting>
  <conditionalFormatting sqref="C36:N36">
    <cfRule type="expression" dxfId="2" priority="3">
      <formula>C36&lt;&gt;""</formula>
    </cfRule>
  </conditionalFormatting>
  <conditionalFormatting sqref="C44:N55">
    <cfRule type="expression" dxfId="1" priority="2">
      <formula>C44&lt;&gt;""</formula>
    </cfRule>
  </conditionalFormatting>
  <conditionalFormatting sqref="O86">
    <cfRule type="expression" dxfId="0" priority="1">
      <formula>O86&lt;&gt;""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Mack &amp; MW</vt:lpstr>
      <vt:lpstr>MW_metodo2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Clemente Gian Paolo (gianpaolo.clemente)</dc:creator>
  <cp:lastModifiedBy>Clemente Gian Paolo (gianpaolo.clemente)</cp:lastModifiedBy>
  <dcterms:created xsi:type="dcterms:W3CDTF">2022-10-09T19:41:13Z</dcterms:created>
  <dcterms:modified xsi:type="dcterms:W3CDTF">2022-11-06T09:19:57Z</dcterms:modified>
</cp:coreProperties>
</file>