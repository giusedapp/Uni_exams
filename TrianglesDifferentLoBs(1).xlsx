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anPaolo.Clemente\Desktop\Lezioni\"/>
    </mc:Choice>
  </mc:AlternateContent>
  <xr:revisionPtr revIDLastSave="0" documentId="13_ncr:1_{CDC5575B-B1BC-452D-A15F-477A7B3F41F1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MTPL" sheetId="3" r:id="rId1"/>
    <sheet name="GTPL" sheetId="7" r:id="rId2"/>
    <sheet name="MOD" sheetId="8" r:id="rId3"/>
    <sheet name="MTPL_AMASES" sheetId="10" r:id="rId4"/>
    <sheet name="GTPL_AMASES" sheetId="11" r:id="rId5"/>
    <sheet name="MOD_AMASES" sheetId="13" r:id="rId6"/>
    <sheet name="Cfr" sheetId="9" r:id="rId7"/>
  </sheets>
  <externalReferences>
    <externalReference r:id="rId8"/>
  </externalReferences>
  <definedNames>
    <definedName name="NC">'[1]Calcolo PE di Mack'!$C$7</definedName>
    <definedName name="NR">'[1]Calcolo PE di Mack'!$C$6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3" l="1"/>
  <c r="M52" i="3"/>
  <c r="M56" i="3" s="1"/>
  <c r="B34" i="3"/>
  <c r="A71" i="13" l="1"/>
  <c r="A71" i="11"/>
  <c r="A71" i="10"/>
  <c r="A71" i="8"/>
  <c r="A71" i="7"/>
  <c r="A71" i="3" l="1"/>
  <c r="B34" i="13"/>
  <c r="B31" i="13"/>
  <c r="B71" i="13" s="1"/>
  <c r="B30" i="13"/>
  <c r="C30" i="13" s="1"/>
  <c r="B29" i="13"/>
  <c r="C29" i="13" s="1"/>
  <c r="B28" i="13"/>
  <c r="C28" i="13" s="1"/>
  <c r="B43" i="13" s="1"/>
  <c r="B27" i="13"/>
  <c r="C27" i="13" s="1"/>
  <c r="C26" i="13"/>
  <c r="B41" i="13" s="1"/>
  <c r="B26" i="13"/>
  <c r="B25" i="13"/>
  <c r="C25" i="13" s="1"/>
  <c r="B40" i="13" s="1"/>
  <c r="B24" i="13"/>
  <c r="C24" i="13" s="1"/>
  <c r="B23" i="13"/>
  <c r="C23" i="13" s="1"/>
  <c r="D23" i="13" s="1"/>
  <c r="B22" i="13"/>
  <c r="C22" i="13" s="1"/>
  <c r="B21" i="13"/>
  <c r="C21" i="13" s="1"/>
  <c r="B20" i="13"/>
  <c r="C20" i="13" s="1"/>
  <c r="D20" i="13" s="1"/>
  <c r="C35" i="13" s="1"/>
  <c r="A20" i="13"/>
  <c r="A35" i="13" s="1"/>
  <c r="A60" i="13" s="1"/>
  <c r="C19" i="13"/>
  <c r="C34" i="13" s="1"/>
  <c r="A4" i="13"/>
  <c r="A5" i="13" s="1"/>
  <c r="A22" i="13" s="1"/>
  <c r="A37" i="13" s="1"/>
  <c r="A62" i="13" s="1"/>
  <c r="C2" i="13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B34" i="11"/>
  <c r="B31" i="11"/>
  <c r="B71" i="11" s="1"/>
  <c r="B30" i="11"/>
  <c r="C30" i="11" s="1"/>
  <c r="B29" i="11"/>
  <c r="C29" i="11" s="1"/>
  <c r="B28" i="11"/>
  <c r="C28" i="11" s="1"/>
  <c r="B43" i="11" s="1"/>
  <c r="B27" i="11"/>
  <c r="C27" i="11" s="1"/>
  <c r="B26" i="11"/>
  <c r="C26" i="11" s="1"/>
  <c r="B41" i="11" s="1"/>
  <c r="B25" i="11"/>
  <c r="C25" i="11" s="1"/>
  <c r="B40" i="11" s="1"/>
  <c r="B24" i="11"/>
  <c r="C24" i="11" s="1"/>
  <c r="B23" i="11"/>
  <c r="C23" i="11" s="1"/>
  <c r="D23" i="11" s="1"/>
  <c r="B22" i="11"/>
  <c r="C22" i="11" s="1"/>
  <c r="B21" i="11"/>
  <c r="C21" i="11" s="1"/>
  <c r="B20" i="11"/>
  <c r="C20" i="11" s="1"/>
  <c r="D20" i="11" s="1"/>
  <c r="C35" i="11" s="1"/>
  <c r="A20" i="11"/>
  <c r="A35" i="11" s="1"/>
  <c r="A60" i="11" s="1"/>
  <c r="C19" i="11"/>
  <c r="D19" i="11" s="1"/>
  <c r="A4" i="11"/>
  <c r="A5" i="11" s="1"/>
  <c r="C2" i="1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P2" i="9"/>
  <c r="P32" i="9" s="1"/>
  <c r="B20" i="10"/>
  <c r="C20" i="10" s="1"/>
  <c r="D20" i="10" s="1"/>
  <c r="E20" i="10" s="1"/>
  <c r="F20" i="10" s="1"/>
  <c r="G20" i="10" s="1"/>
  <c r="H20" i="10" s="1"/>
  <c r="I20" i="10" s="1"/>
  <c r="J20" i="10" s="1"/>
  <c r="K20" i="10" s="1"/>
  <c r="L20" i="10" s="1"/>
  <c r="M20" i="10" s="1"/>
  <c r="B21" i="10"/>
  <c r="C21" i="10" s="1"/>
  <c r="D21" i="10" s="1"/>
  <c r="E21" i="10" s="1"/>
  <c r="F21" i="10" s="1"/>
  <c r="G21" i="10" s="1"/>
  <c r="H21" i="10" s="1"/>
  <c r="I21" i="10" s="1"/>
  <c r="J21" i="10" s="1"/>
  <c r="K21" i="10" s="1"/>
  <c r="L21" i="10" s="1"/>
  <c r="B61" i="10" s="1"/>
  <c r="B22" i="10"/>
  <c r="C22" i="10" s="1"/>
  <c r="D22" i="10" s="1"/>
  <c r="E22" i="10" s="1"/>
  <c r="F22" i="10" s="1"/>
  <c r="G22" i="10" s="1"/>
  <c r="H22" i="10" s="1"/>
  <c r="I22" i="10" s="1"/>
  <c r="J22" i="10" s="1"/>
  <c r="K22" i="10" s="1"/>
  <c r="B62" i="10" s="1"/>
  <c r="B23" i="10"/>
  <c r="C23" i="10" s="1"/>
  <c r="D23" i="10" s="1"/>
  <c r="E23" i="10" s="1"/>
  <c r="F23" i="10" s="1"/>
  <c r="G23" i="10" s="1"/>
  <c r="H23" i="10" s="1"/>
  <c r="I23" i="10" s="1"/>
  <c r="J23" i="10" s="1"/>
  <c r="B63" i="10" s="1"/>
  <c r="B24" i="10"/>
  <c r="C24" i="10" s="1"/>
  <c r="D24" i="10" s="1"/>
  <c r="E24" i="10" s="1"/>
  <c r="F24" i="10" s="1"/>
  <c r="G24" i="10" s="1"/>
  <c r="H24" i="10" s="1"/>
  <c r="I24" i="10" s="1"/>
  <c r="B64" i="10" s="1"/>
  <c r="B25" i="10"/>
  <c r="C25" i="10"/>
  <c r="D25" i="10" s="1"/>
  <c r="E25" i="10" s="1"/>
  <c r="F25" i="10" s="1"/>
  <c r="G25" i="10" s="1"/>
  <c r="H25" i="10" s="1"/>
  <c r="B65" i="10" s="1"/>
  <c r="B26" i="10"/>
  <c r="C26" i="10" s="1"/>
  <c r="D26" i="10" s="1"/>
  <c r="E26" i="10" s="1"/>
  <c r="F26" i="10" s="1"/>
  <c r="G26" i="10" s="1"/>
  <c r="B66" i="10" s="1"/>
  <c r="B27" i="10"/>
  <c r="C27" i="10" s="1"/>
  <c r="D27" i="10" s="1"/>
  <c r="E27" i="10" s="1"/>
  <c r="F27" i="10" s="1"/>
  <c r="B67" i="10" s="1"/>
  <c r="B28" i="10"/>
  <c r="C28" i="10" s="1"/>
  <c r="D28" i="10" s="1"/>
  <c r="E28" i="10" s="1"/>
  <c r="B68" i="10" s="1"/>
  <c r="B29" i="10"/>
  <c r="C29" i="10" s="1"/>
  <c r="D29" i="10" s="1"/>
  <c r="B69" i="10" s="1"/>
  <c r="B30" i="10"/>
  <c r="C30" i="10" s="1"/>
  <c r="B31" i="10"/>
  <c r="B71" i="10" s="1"/>
  <c r="B34" i="10"/>
  <c r="A20" i="10"/>
  <c r="A35" i="10" s="1"/>
  <c r="A60" i="10" s="1"/>
  <c r="C19" i="10"/>
  <c r="A4" i="10"/>
  <c r="A21" i="10" s="1"/>
  <c r="A36" i="10" s="1"/>
  <c r="A61" i="10" s="1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B34" i="8"/>
  <c r="B31" i="8"/>
  <c r="B71" i="8" s="1"/>
  <c r="B30" i="8"/>
  <c r="C30" i="8" s="1"/>
  <c r="B29" i="8"/>
  <c r="C29" i="8" s="1"/>
  <c r="B28" i="8"/>
  <c r="C28" i="8" s="1"/>
  <c r="B43" i="8" s="1"/>
  <c r="B27" i="8"/>
  <c r="C27" i="8" s="1"/>
  <c r="B26" i="8"/>
  <c r="C26" i="8" s="1"/>
  <c r="B25" i="8"/>
  <c r="C25" i="8" s="1"/>
  <c r="B24" i="8"/>
  <c r="C24" i="8" s="1"/>
  <c r="B23" i="8"/>
  <c r="C23" i="8" s="1"/>
  <c r="B38" i="8" s="1"/>
  <c r="B22" i="8"/>
  <c r="C22" i="8" s="1"/>
  <c r="B21" i="8"/>
  <c r="C21" i="8" s="1"/>
  <c r="B20" i="8"/>
  <c r="C20" i="8" s="1"/>
  <c r="D20" i="8" s="1"/>
  <c r="C35" i="8" s="1"/>
  <c r="A20" i="8"/>
  <c r="A35" i="8" s="1"/>
  <c r="A60" i="8" s="1"/>
  <c r="C19" i="8"/>
  <c r="D19" i="8" s="1"/>
  <c r="A4" i="8"/>
  <c r="A21" i="8" s="1"/>
  <c r="A36" i="8" s="1"/>
  <c r="A61" i="8" s="1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B34" i="7"/>
  <c r="B31" i="7"/>
  <c r="B71" i="7" s="1"/>
  <c r="B30" i="7"/>
  <c r="C30" i="7" s="1"/>
  <c r="B29" i="7"/>
  <c r="C29" i="7" s="1"/>
  <c r="B28" i="7"/>
  <c r="C28" i="7" s="1"/>
  <c r="B43" i="7" s="1"/>
  <c r="B27" i="7"/>
  <c r="C27" i="7" s="1"/>
  <c r="C26" i="7"/>
  <c r="B41" i="7" s="1"/>
  <c r="B26" i="7"/>
  <c r="B25" i="7"/>
  <c r="C25" i="7" s="1"/>
  <c r="B40" i="7" s="1"/>
  <c r="B24" i="7"/>
  <c r="C24" i="7" s="1"/>
  <c r="B23" i="7"/>
  <c r="C23" i="7" s="1"/>
  <c r="D23" i="7" s="1"/>
  <c r="B22" i="7"/>
  <c r="C22" i="7" s="1"/>
  <c r="B21" i="7"/>
  <c r="C21" i="7" s="1"/>
  <c r="B20" i="7"/>
  <c r="C20" i="7" s="1"/>
  <c r="D20" i="7" s="1"/>
  <c r="C35" i="7" s="1"/>
  <c r="A20" i="7"/>
  <c r="A35" i="7" s="1"/>
  <c r="A60" i="7" s="1"/>
  <c r="C19" i="7"/>
  <c r="D19" i="7" s="1"/>
  <c r="A4" i="7"/>
  <c r="A21" i="7" s="1"/>
  <c r="A36" i="7" s="1"/>
  <c r="A61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B2" i="9"/>
  <c r="B32" i="9" s="1"/>
  <c r="A20" i="3"/>
  <c r="C19" i="3"/>
  <c r="A4" i="3"/>
  <c r="A21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A5" i="8" l="1"/>
  <c r="A22" i="8" s="1"/>
  <c r="A37" i="8" s="1"/>
  <c r="A62" i="8" s="1"/>
  <c r="A60" i="3"/>
  <c r="A35" i="3"/>
  <c r="A36" i="3"/>
  <c r="A61" i="3" s="1"/>
  <c r="C34" i="3"/>
  <c r="C2" i="9" s="1"/>
  <c r="A21" i="13"/>
  <c r="A36" i="13" s="1"/>
  <c r="A61" i="13" s="1"/>
  <c r="N20" i="10"/>
  <c r="B60" i="10"/>
  <c r="A5" i="7"/>
  <c r="A22" i="7" s="1"/>
  <c r="A37" i="7" s="1"/>
  <c r="A62" i="7" s="1"/>
  <c r="B45" i="13"/>
  <c r="B70" i="13"/>
  <c r="B45" i="7"/>
  <c r="B70" i="7"/>
  <c r="B45" i="8"/>
  <c r="B70" i="8"/>
  <c r="B45" i="10"/>
  <c r="B70" i="10"/>
  <c r="B45" i="11"/>
  <c r="B70" i="11"/>
  <c r="B40" i="8"/>
  <c r="D25" i="8"/>
  <c r="C40" i="8" s="1"/>
  <c r="A5" i="3"/>
  <c r="D19" i="3"/>
  <c r="D34" i="3" s="1"/>
  <c r="A6" i="7"/>
  <c r="A23" i="7" s="1"/>
  <c r="A38" i="7" s="1"/>
  <c r="A63" i="7" s="1"/>
  <c r="D26" i="7"/>
  <c r="E26" i="7" s="1"/>
  <c r="A6" i="8"/>
  <c r="A23" i="8" s="1"/>
  <c r="A38" i="8" s="1"/>
  <c r="A63" i="8" s="1"/>
  <c r="A22" i="11"/>
  <c r="A37" i="11" s="1"/>
  <c r="A62" i="11" s="1"/>
  <c r="A6" i="11"/>
  <c r="A23" i="11" s="1"/>
  <c r="A38" i="11" s="1"/>
  <c r="A63" i="11" s="1"/>
  <c r="C34" i="10"/>
  <c r="D19" i="10"/>
  <c r="D34" i="10" s="1"/>
  <c r="A21" i="11"/>
  <c r="A36" i="11" s="1"/>
  <c r="A61" i="11" s="1"/>
  <c r="D26" i="11"/>
  <c r="E26" i="11" s="1"/>
  <c r="D41" i="11" s="1"/>
  <c r="A6" i="13"/>
  <c r="A23" i="13" s="1"/>
  <c r="A38" i="13" s="1"/>
  <c r="A63" i="13" s="1"/>
  <c r="D19" i="13"/>
  <c r="D26" i="13"/>
  <c r="E26" i="13" s="1"/>
  <c r="D41" i="13" s="1"/>
  <c r="D25" i="13"/>
  <c r="C40" i="13" s="1"/>
  <c r="E23" i="13"/>
  <c r="C38" i="13"/>
  <c r="D27" i="13"/>
  <c r="B42" i="13"/>
  <c r="B44" i="13"/>
  <c r="D29" i="13"/>
  <c r="D22" i="13"/>
  <c r="B37" i="13"/>
  <c r="B36" i="13"/>
  <c r="D21" i="13"/>
  <c r="B39" i="13"/>
  <c r="D24" i="13"/>
  <c r="B48" i="13"/>
  <c r="P5" i="9" s="1"/>
  <c r="C41" i="13"/>
  <c r="B38" i="13"/>
  <c r="A7" i="13"/>
  <c r="E20" i="13"/>
  <c r="D28" i="13"/>
  <c r="B35" i="13"/>
  <c r="D25" i="11"/>
  <c r="C40" i="11" s="1"/>
  <c r="D34" i="11"/>
  <c r="E19" i="11"/>
  <c r="F26" i="11"/>
  <c r="B44" i="11"/>
  <c r="D29" i="11"/>
  <c r="D22" i="11"/>
  <c r="B37" i="11"/>
  <c r="B36" i="11"/>
  <c r="D21" i="11"/>
  <c r="E23" i="11"/>
  <c r="C38" i="11"/>
  <c r="B42" i="11"/>
  <c r="D27" i="11"/>
  <c r="B48" i="11"/>
  <c r="P4" i="9" s="1"/>
  <c r="D24" i="11"/>
  <c r="B39" i="11"/>
  <c r="C41" i="11"/>
  <c r="B38" i="11"/>
  <c r="E20" i="11"/>
  <c r="D28" i="11"/>
  <c r="C34" i="11"/>
  <c r="B35" i="11"/>
  <c r="B38" i="10"/>
  <c r="B44" i="10"/>
  <c r="C44" i="10"/>
  <c r="B37" i="10"/>
  <c r="B40" i="10"/>
  <c r="B43" i="10"/>
  <c r="B36" i="10"/>
  <c r="C39" i="10"/>
  <c r="C42" i="10"/>
  <c r="B41" i="10"/>
  <c r="B48" i="10"/>
  <c r="P3" i="9" s="1"/>
  <c r="B35" i="10"/>
  <c r="B42" i="10"/>
  <c r="B39" i="10"/>
  <c r="A5" i="10"/>
  <c r="E19" i="10"/>
  <c r="B41" i="8"/>
  <c r="D26" i="8"/>
  <c r="E26" i="8" s="1"/>
  <c r="F26" i="8" s="1"/>
  <c r="D34" i="8"/>
  <c r="E19" i="8"/>
  <c r="B44" i="8"/>
  <c r="D29" i="8"/>
  <c r="D22" i="8"/>
  <c r="B37" i="8"/>
  <c r="B36" i="8"/>
  <c r="D21" i="8"/>
  <c r="D24" i="8"/>
  <c r="B39" i="8"/>
  <c r="D27" i="8"/>
  <c r="B42" i="8"/>
  <c r="B48" i="8"/>
  <c r="B5" i="9" s="1"/>
  <c r="A7" i="8"/>
  <c r="E20" i="8"/>
  <c r="D23" i="8"/>
  <c r="D28" i="8"/>
  <c r="C34" i="8"/>
  <c r="B35" i="8"/>
  <c r="D25" i="7"/>
  <c r="C40" i="7" s="1"/>
  <c r="F26" i="7"/>
  <c r="D41" i="7"/>
  <c r="B44" i="7"/>
  <c r="D29" i="7"/>
  <c r="D22" i="7"/>
  <c r="B37" i="7"/>
  <c r="B36" i="7"/>
  <c r="D21" i="7"/>
  <c r="D24" i="7"/>
  <c r="B39" i="7"/>
  <c r="E23" i="7"/>
  <c r="C38" i="7"/>
  <c r="D27" i="7"/>
  <c r="B42" i="7"/>
  <c r="B50" i="7" s="1"/>
  <c r="B48" i="7"/>
  <c r="B4" i="9" s="1"/>
  <c r="D34" i="7"/>
  <c r="E19" i="7"/>
  <c r="C41" i="7"/>
  <c r="B38" i="7"/>
  <c r="A7" i="7"/>
  <c r="E20" i="7"/>
  <c r="D28" i="7"/>
  <c r="C34" i="7"/>
  <c r="B35" i="7"/>
  <c r="Q2" i="9" l="1"/>
  <c r="Q32" i="9" s="1"/>
  <c r="C32" i="9"/>
  <c r="C48" i="13"/>
  <c r="Q5" i="9" s="1"/>
  <c r="B49" i="11"/>
  <c r="C44" i="13"/>
  <c r="B69" i="13"/>
  <c r="F26" i="13"/>
  <c r="E41" i="13" s="1"/>
  <c r="C44" i="8"/>
  <c r="B69" i="8"/>
  <c r="E25" i="11"/>
  <c r="C44" i="11"/>
  <c r="B69" i="11"/>
  <c r="B50" i="11"/>
  <c r="B72" i="10"/>
  <c r="D41" i="8"/>
  <c r="C44" i="7"/>
  <c r="B69" i="7"/>
  <c r="E25" i="8"/>
  <c r="A7" i="11"/>
  <c r="A8" i="11" s="1"/>
  <c r="E19" i="3"/>
  <c r="E34" i="3" s="1"/>
  <c r="D2" i="9"/>
  <c r="C41" i="8"/>
  <c r="C50" i="8" s="1"/>
  <c r="D34" i="13"/>
  <c r="E19" i="13"/>
  <c r="A6" i="3"/>
  <c r="A22" i="3"/>
  <c r="E25" i="13"/>
  <c r="D40" i="13" s="1"/>
  <c r="F20" i="13"/>
  <c r="D35" i="13"/>
  <c r="C37" i="13"/>
  <c r="E22" i="13"/>
  <c r="D38" i="13"/>
  <c r="F23" i="13"/>
  <c r="C39" i="13"/>
  <c r="E24" i="13"/>
  <c r="E28" i="13"/>
  <c r="C43" i="13"/>
  <c r="A8" i="13"/>
  <c r="A24" i="13"/>
  <c r="A39" i="13" s="1"/>
  <c r="A64" i="13" s="1"/>
  <c r="C42" i="13"/>
  <c r="C50" i="13" s="1"/>
  <c r="E27" i="13"/>
  <c r="C36" i="13"/>
  <c r="E21" i="13"/>
  <c r="B49" i="13"/>
  <c r="B50" i="13"/>
  <c r="C42" i="11"/>
  <c r="E27" i="11"/>
  <c r="C36" i="11"/>
  <c r="E21" i="11"/>
  <c r="E34" i="11"/>
  <c r="F19" i="11"/>
  <c r="F20" i="11"/>
  <c r="D35" i="11"/>
  <c r="F23" i="11"/>
  <c r="D38" i="11"/>
  <c r="C37" i="11"/>
  <c r="E22" i="11"/>
  <c r="E41" i="11"/>
  <c r="G26" i="11"/>
  <c r="E28" i="11"/>
  <c r="C43" i="11"/>
  <c r="C48" i="11"/>
  <c r="Q4" i="9" s="1"/>
  <c r="D40" i="11"/>
  <c r="F25" i="11"/>
  <c r="C39" i="11"/>
  <c r="E24" i="11"/>
  <c r="B50" i="10"/>
  <c r="E34" i="10"/>
  <c r="F19" i="10"/>
  <c r="D39" i="10"/>
  <c r="C37" i="10"/>
  <c r="B49" i="10"/>
  <c r="C41" i="10"/>
  <c r="D43" i="10"/>
  <c r="C43" i="10"/>
  <c r="C38" i="10"/>
  <c r="A22" i="10"/>
  <c r="A37" i="10" s="1"/>
  <c r="A62" i="10" s="1"/>
  <c r="A6" i="10"/>
  <c r="C35" i="10"/>
  <c r="C48" i="10"/>
  <c r="Q3" i="9" s="1"/>
  <c r="D42" i="10"/>
  <c r="E42" i="10"/>
  <c r="C36" i="10"/>
  <c r="C40" i="10"/>
  <c r="C48" i="8"/>
  <c r="C5" i="9" s="1"/>
  <c r="E28" i="8"/>
  <c r="C43" i="8"/>
  <c r="A8" i="8"/>
  <c r="A24" i="8"/>
  <c r="A39" i="8" s="1"/>
  <c r="A64" i="8" s="1"/>
  <c r="E34" i="8"/>
  <c r="F19" i="8"/>
  <c r="F20" i="8"/>
  <c r="D35" i="8"/>
  <c r="C42" i="8"/>
  <c r="E27" i="8"/>
  <c r="E23" i="8"/>
  <c r="C38" i="8"/>
  <c r="D40" i="8"/>
  <c r="F25" i="8"/>
  <c r="C39" i="8"/>
  <c r="E24" i="8"/>
  <c r="C37" i="8"/>
  <c r="E22" i="8"/>
  <c r="B49" i="8"/>
  <c r="E41" i="8"/>
  <c r="G26" i="8"/>
  <c r="E21" i="8"/>
  <c r="C36" i="8"/>
  <c r="B50" i="8"/>
  <c r="B49" i="7"/>
  <c r="C48" i="7"/>
  <c r="C4" i="9" s="1"/>
  <c r="E25" i="7"/>
  <c r="F25" i="7" s="1"/>
  <c r="F20" i="7"/>
  <c r="D35" i="7"/>
  <c r="F19" i="7"/>
  <c r="E34" i="7"/>
  <c r="F23" i="7"/>
  <c r="D38" i="7"/>
  <c r="E28" i="7"/>
  <c r="C43" i="7"/>
  <c r="E21" i="7"/>
  <c r="C36" i="7"/>
  <c r="A8" i="7"/>
  <c r="A24" i="7"/>
  <c r="A39" i="7" s="1"/>
  <c r="A64" i="7" s="1"/>
  <c r="C42" i="7"/>
  <c r="E27" i="7"/>
  <c r="E24" i="7"/>
  <c r="C39" i="7"/>
  <c r="C37" i="7"/>
  <c r="E22" i="7"/>
  <c r="E41" i="7"/>
  <c r="G26" i="7"/>
  <c r="C49" i="13" l="1"/>
  <c r="A37" i="3"/>
  <c r="A62" i="3" s="1"/>
  <c r="D43" i="7"/>
  <c r="B68" i="7"/>
  <c r="F41" i="7"/>
  <c r="B66" i="7"/>
  <c r="C50" i="11"/>
  <c r="A24" i="11"/>
  <c r="A39" i="11" s="1"/>
  <c r="A64" i="11" s="1"/>
  <c r="G26" i="13"/>
  <c r="D43" i="11"/>
  <c r="B68" i="11"/>
  <c r="F41" i="8"/>
  <c r="B66" i="8"/>
  <c r="F41" i="11"/>
  <c r="B66" i="11"/>
  <c r="D43" i="8"/>
  <c r="B68" i="8"/>
  <c r="C49" i="8"/>
  <c r="D43" i="13"/>
  <c r="B68" i="13"/>
  <c r="C50" i="7"/>
  <c r="D48" i="8"/>
  <c r="D5" i="9" s="1"/>
  <c r="D48" i="11"/>
  <c r="R4" i="9" s="1"/>
  <c r="A7" i="3"/>
  <c r="A23" i="3"/>
  <c r="R2" i="9"/>
  <c r="R32" i="9" s="1"/>
  <c r="D32" i="9"/>
  <c r="E34" i="13"/>
  <c r="F19" i="13"/>
  <c r="F19" i="3"/>
  <c r="F34" i="3" s="1"/>
  <c r="E2" i="9"/>
  <c r="F25" i="13"/>
  <c r="E40" i="13" s="1"/>
  <c r="D39" i="13"/>
  <c r="F24" i="13"/>
  <c r="E38" i="13"/>
  <c r="G23" i="13"/>
  <c r="D37" i="13"/>
  <c r="F22" i="13"/>
  <c r="G20" i="13"/>
  <c r="E35" i="13"/>
  <c r="D36" i="13"/>
  <c r="F21" i="13"/>
  <c r="F27" i="13"/>
  <c r="D42" i="13"/>
  <c r="D50" i="13" s="1"/>
  <c r="A25" i="13"/>
  <c r="A40" i="13" s="1"/>
  <c r="A65" i="13" s="1"/>
  <c r="A9" i="13"/>
  <c r="D48" i="13"/>
  <c r="R5" i="9" s="1"/>
  <c r="C49" i="11"/>
  <c r="E40" i="11"/>
  <c r="G25" i="11"/>
  <c r="G20" i="11"/>
  <c r="E35" i="11"/>
  <c r="A25" i="11"/>
  <c r="A40" i="11" s="1"/>
  <c r="A65" i="11" s="1"/>
  <c r="A9" i="11"/>
  <c r="D36" i="11"/>
  <c r="F21" i="11"/>
  <c r="D39" i="11"/>
  <c r="F24" i="11"/>
  <c r="D37" i="11"/>
  <c r="F22" i="11"/>
  <c r="E38" i="11"/>
  <c r="G23" i="11"/>
  <c r="F34" i="11"/>
  <c r="G19" i="11"/>
  <c r="F27" i="11"/>
  <c r="D42" i="11"/>
  <c r="D50" i="11" s="1"/>
  <c r="A23" i="10"/>
  <c r="A38" i="10" s="1"/>
  <c r="A63" i="10" s="1"/>
  <c r="A7" i="10"/>
  <c r="D41" i="10"/>
  <c r="D40" i="10"/>
  <c r="D37" i="10"/>
  <c r="F34" i="10"/>
  <c r="G19" i="10"/>
  <c r="C49" i="10"/>
  <c r="D36" i="10"/>
  <c r="D35" i="10"/>
  <c r="D48" i="10"/>
  <c r="R3" i="9" s="1"/>
  <c r="D38" i="10"/>
  <c r="E39" i="10"/>
  <c r="C50" i="10"/>
  <c r="D36" i="8"/>
  <c r="F21" i="8"/>
  <c r="D38" i="8"/>
  <c r="F23" i="8"/>
  <c r="D39" i="8"/>
  <c r="F24" i="8"/>
  <c r="G19" i="8"/>
  <c r="F34" i="8"/>
  <c r="D37" i="8"/>
  <c r="F22" i="8"/>
  <c r="E40" i="8"/>
  <c r="G25" i="8"/>
  <c r="F27" i="8"/>
  <c r="D42" i="8"/>
  <c r="E35" i="8"/>
  <c r="G20" i="8"/>
  <c r="A9" i="8"/>
  <c r="A25" i="8"/>
  <c r="A40" i="8" s="1"/>
  <c r="A65" i="8" s="1"/>
  <c r="D48" i="7"/>
  <c r="D4" i="9" s="1"/>
  <c r="C49" i="7"/>
  <c r="D40" i="7"/>
  <c r="D37" i="7"/>
  <c r="F22" i="7"/>
  <c r="G20" i="7"/>
  <c r="E35" i="7"/>
  <c r="D39" i="7"/>
  <c r="F24" i="7"/>
  <c r="A9" i="7"/>
  <c r="A25" i="7"/>
  <c r="A40" i="7" s="1"/>
  <c r="A65" i="7" s="1"/>
  <c r="E40" i="7"/>
  <c r="G25" i="7"/>
  <c r="D42" i="7"/>
  <c r="F27" i="7"/>
  <c r="D36" i="7"/>
  <c r="F21" i="7"/>
  <c r="E38" i="7"/>
  <c r="G23" i="7"/>
  <c r="F34" i="7"/>
  <c r="G19" i="7"/>
  <c r="B31" i="3"/>
  <c r="B71" i="3" s="1"/>
  <c r="B30" i="3"/>
  <c r="C30" i="3" s="1"/>
  <c r="B45" i="3" s="1"/>
  <c r="B29" i="3"/>
  <c r="C29" i="3" s="1"/>
  <c r="B44" i="3" s="1"/>
  <c r="B28" i="3"/>
  <c r="C28" i="3" s="1"/>
  <c r="B27" i="3"/>
  <c r="C27" i="3" s="1"/>
  <c r="B42" i="3" s="1"/>
  <c r="B26" i="3"/>
  <c r="C26" i="3" s="1"/>
  <c r="B41" i="3" s="1"/>
  <c r="B25" i="3"/>
  <c r="C25" i="3" s="1"/>
  <c r="B40" i="3" s="1"/>
  <c r="B24" i="3"/>
  <c r="C24" i="3" s="1"/>
  <c r="B23" i="3"/>
  <c r="C23" i="3" s="1"/>
  <c r="B38" i="3" s="1"/>
  <c r="B22" i="3"/>
  <c r="C22" i="3" s="1"/>
  <c r="B37" i="3" s="1"/>
  <c r="B21" i="3"/>
  <c r="C21" i="3" s="1"/>
  <c r="B36" i="3" s="1"/>
  <c r="B20" i="3"/>
  <c r="C20" i="3" s="1"/>
  <c r="D50" i="8" l="1"/>
  <c r="A38" i="3"/>
  <c r="A63" i="3" s="1"/>
  <c r="D24" i="3"/>
  <c r="C39" i="3" s="1"/>
  <c r="B39" i="3"/>
  <c r="B50" i="3"/>
  <c r="B48" i="3"/>
  <c r="B35" i="3"/>
  <c r="B49" i="3" s="1"/>
  <c r="D28" i="3"/>
  <c r="C43" i="3" s="1"/>
  <c r="B43" i="3"/>
  <c r="E42" i="8"/>
  <c r="B67" i="8"/>
  <c r="F41" i="13"/>
  <c r="B66" i="13"/>
  <c r="E42" i="7"/>
  <c r="B67" i="7"/>
  <c r="E42" i="13"/>
  <c r="B67" i="13"/>
  <c r="D50" i="7"/>
  <c r="E42" i="11"/>
  <c r="B67" i="11"/>
  <c r="B70" i="3"/>
  <c r="D49" i="8"/>
  <c r="G19" i="3"/>
  <c r="G34" i="3" s="1"/>
  <c r="F2" i="9"/>
  <c r="A8" i="3"/>
  <c r="A24" i="3"/>
  <c r="E32" i="9"/>
  <c r="S2" i="9"/>
  <c r="S32" i="9" s="1"/>
  <c r="F34" i="13"/>
  <c r="G19" i="13"/>
  <c r="D49" i="13"/>
  <c r="G25" i="13"/>
  <c r="F40" i="13" s="1"/>
  <c r="G22" i="13"/>
  <c r="E37" i="13"/>
  <c r="G24" i="13"/>
  <c r="E39" i="13"/>
  <c r="A26" i="13"/>
  <c r="A41" i="13" s="1"/>
  <c r="A66" i="13" s="1"/>
  <c r="A10" i="13"/>
  <c r="E36" i="13"/>
  <c r="G21" i="13"/>
  <c r="F35" i="13"/>
  <c r="H20" i="13"/>
  <c r="H23" i="13"/>
  <c r="F38" i="13"/>
  <c r="E48" i="13"/>
  <c r="S5" i="9" s="1"/>
  <c r="D49" i="11"/>
  <c r="F35" i="11"/>
  <c r="H20" i="11"/>
  <c r="F38" i="11"/>
  <c r="H23" i="11"/>
  <c r="G22" i="11"/>
  <c r="E37" i="11"/>
  <c r="E36" i="11"/>
  <c r="G21" i="11"/>
  <c r="H19" i="11"/>
  <c r="G34" i="11"/>
  <c r="G24" i="11"/>
  <c r="E39" i="11"/>
  <c r="A10" i="11"/>
  <c r="A26" i="11"/>
  <c r="A41" i="11" s="1"/>
  <c r="A66" i="11" s="1"/>
  <c r="E48" i="11"/>
  <c r="S4" i="9" s="1"/>
  <c r="F40" i="11"/>
  <c r="H25" i="11"/>
  <c r="D49" i="10"/>
  <c r="D50" i="10"/>
  <c r="F39" i="10"/>
  <c r="H19" i="10"/>
  <c r="G34" i="10"/>
  <c r="E35" i="10"/>
  <c r="E48" i="10"/>
  <c r="S3" i="9" s="1"/>
  <c r="A8" i="10"/>
  <c r="A24" i="10"/>
  <c r="A39" i="10" s="1"/>
  <c r="A64" i="10" s="1"/>
  <c r="E41" i="10"/>
  <c r="F41" i="10"/>
  <c r="E40" i="10"/>
  <c r="E38" i="10"/>
  <c r="E36" i="10"/>
  <c r="E37" i="10"/>
  <c r="A26" i="8"/>
  <c r="A41" i="8" s="1"/>
  <c r="A66" i="8" s="1"/>
  <c r="A10" i="8"/>
  <c r="E37" i="8"/>
  <c r="G22" i="8"/>
  <c r="G24" i="8"/>
  <c r="E39" i="8"/>
  <c r="E50" i="8" s="1"/>
  <c r="E36" i="8"/>
  <c r="G21" i="8"/>
  <c r="H19" i="8"/>
  <c r="G34" i="8"/>
  <c r="F40" i="8"/>
  <c r="H25" i="8"/>
  <c r="E38" i="8"/>
  <c r="G23" i="8"/>
  <c r="E48" i="8"/>
  <c r="E5" i="9" s="1"/>
  <c r="H20" i="8"/>
  <c r="F35" i="8"/>
  <c r="D49" i="7"/>
  <c r="H19" i="7"/>
  <c r="G34" i="7"/>
  <c r="E36" i="7"/>
  <c r="G21" i="7"/>
  <c r="G22" i="7"/>
  <c r="E37" i="7"/>
  <c r="H23" i="7"/>
  <c r="F38" i="7"/>
  <c r="E48" i="7"/>
  <c r="E4" i="9" s="1"/>
  <c r="F40" i="7"/>
  <c r="H25" i="7"/>
  <c r="G24" i="7"/>
  <c r="E39" i="7"/>
  <c r="A10" i="7"/>
  <c r="A26" i="7"/>
  <c r="A41" i="7" s="1"/>
  <c r="A66" i="7" s="1"/>
  <c r="F35" i="7"/>
  <c r="H20" i="7"/>
  <c r="D22" i="3"/>
  <c r="C37" i="3" s="1"/>
  <c r="D26" i="3"/>
  <c r="C41" i="3" s="1"/>
  <c r="D20" i="3"/>
  <c r="D23" i="3"/>
  <c r="C38" i="3" s="1"/>
  <c r="E24" i="3"/>
  <c r="D39" i="3" s="1"/>
  <c r="D27" i="3"/>
  <c r="C42" i="3" s="1"/>
  <c r="D21" i="3"/>
  <c r="C36" i="3" s="1"/>
  <c r="D25" i="3"/>
  <c r="C40" i="3" s="1"/>
  <c r="D29" i="3"/>
  <c r="C44" i="3" s="1"/>
  <c r="E50" i="13" l="1"/>
  <c r="E28" i="3"/>
  <c r="D43" i="3" s="1"/>
  <c r="C48" i="3"/>
  <c r="C35" i="3"/>
  <c r="C49" i="3" s="1"/>
  <c r="C50" i="3"/>
  <c r="A39" i="3"/>
  <c r="A64" i="3" s="1"/>
  <c r="E50" i="7"/>
  <c r="G40" i="11"/>
  <c r="B65" i="11"/>
  <c r="G40" i="7"/>
  <c r="B65" i="7"/>
  <c r="G40" i="8"/>
  <c r="B65" i="8"/>
  <c r="E50" i="11"/>
  <c r="B69" i="3"/>
  <c r="B68" i="3"/>
  <c r="B3" i="9"/>
  <c r="E49" i="8"/>
  <c r="A9" i="3"/>
  <c r="A25" i="3"/>
  <c r="H19" i="3"/>
  <c r="H34" i="3" s="1"/>
  <c r="G2" i="9"/>
  <c r="H19" i="13"/>
  <c r="G34" i="13"/>
  <c r="T2" i="9"/>
  <c r="T32" i="9" s="1"/>
  <c r="F32" i="9"/>
  <c r="H25" i="13"/>
  <c r="E49" i="13"/>
  <c r="I23" i="13"/>
  <c r="G38" i="13"/>
  <c r="F36" i="13"/>
  <c r="H21" i="13"/>
  <c r="A27" i="13"/>
  <c r="A42" i="13" s="1"/>
  <c r="A67" i="13" s="1"/>
  <c r="A11" i="13"/>
  <c r="H24" i="13"/>
  <c r="F39" i="13"/>
  <c r="F50" i="13" s="1"/>
  <c r="G35" i="13"/>
  <c r="I20" i="13"/>
  <c r="H22" i="13"/>
  <c r="F37" i="13"/>
  <c r="F48" i="13"/>
  <c r="T5" i="9" s="1"/>
  <c r="E49" i="11"/>
  <c r="A11" i="11"/>
  <c r="A27" i="11"/>
  <c r="A42" i="11" s="1"/>
  <c r="A67" i="11" s="1"/>
  <c r="H34" i="11"/>
  <c r="I19" i="11"/>
  <c r="H22" i="11"/>
  <c r="F37" i="11"/>
  <c r="G35" i="11"/>
  <c r="I20" i="11"/>
  <c r="H24" i="11"/>
  <c r="F39" i="11"/>
  <c r="F50" i="11" s="1"/>
  <c r="F36" i="11"/>
  <c r="H21" i="11"/>
  <c r="I23" i="11"/>
  <c r="G38" i="11"/>
  <c r="F48" i="11"/>
  <c r="T4" i="9" s="1"/>
  <c r="E50" i="10"/>
  <c r="F36" i="10"/>
  <c r="H34" i="10"/>
  <c r="I19" i="10"/>
  <c r="F37" i="10"/>
  <c r="F38" i="10"/>
  <c r="F40" i="10"/>
  <c r="G40" i="10"/>
  <c r="A9" i="10"/>
  <c r="A25" i="10"/>
  <c r="A40" i="10" s="1"/>
  <c r="A65" i="10" s="1"/>
  <c r="F48" i="10"/>
  <c r="T3" i="9" s="1"/>
  <c r="F35" i="10"/>
  <c r="H39" i="10"/>
  <c r="G39" i="10"/>
  <c r="E49" i="10"/>
  <c r="H22" i="8"/>
  <c r="F37" i="8"/>
  <c r="H34" i="8"/>
  <c r="I19" i="8"/>
  <c r="F36" i="8"/>
  <c r="H21" i="8"/>
  <c r="F39" i="8"/>
  <c r="H24" i="8"/>
  <c r="G35" i="8"/>
  <c r="I20" i="8"/>
  <c r="H23" i="8"/>
  <c r="F38" i="8"/>
  <c r="A27" i="8"/>
  <c r="A42" i="8" s="1"/>
  <c r="A67" i="8" s="1"/>
  <c r="A11" i="8"/>
  <c r="F48" i="8"/>
  <c r="F5" i="9" s="1"/>
  <c r="F48" i="7"/>
  <c r="F4" i="9" s="1"/>
  <c r="H24" i="7"/>
  <c r="F39" i="7"/>
  <c r="H22" i="7"/>
  <c r="F37" i="7"/>
  <c r="H34" i="7"/>
  <c r="I19" i="7"/>
  <c r="G35" i="7"/>
  <c r="I20" i="7"/>
  <c r="A11" i="7"/>
  <c r="A27" i="7"/>
  <c r="A42" i="7" s="1"/>
  <c r="A67" i="7" s="1"/>
  <c r="I23" i="7"/>
  <c r="G38" i="7"/>
  <c r="E49" i="7"/>
  <c r="F36" i="7"/>
  <c r="H21" i="7"/>
  <c r="E26" i="3"/>
  <c r="D41" i="3" s="1"/>
  <c r="E22" i="3"/>
  <c r="D37" i="3" s="1"/>
  <c r="E21" i="3"/>
  <c r="D36" i="3" s="1"/>
  <c r="E25" i="3"/>
  <c r="D40" i="3" s="1"/>
  <c r="E27" i="3"/>
  <c r="D42" i="3" s="1"/>
  <c r="F24" i="3"/>
  <c r="E39" i="3" s="1"/>
  <c r="E23" i="3"/>
  <c r="D38" i="3" s="1"/>
  <c r="E20" i="3"/>
  <c r="D50" i="3" l="1"/>
  <c r="A65" i="3"/>
  <c r="A40" i="3"/>
  <c r="D35" i="3"/>
  <c r="D49" i="3" s="1"/>
  <c r="D48" i="3"/>
  <c r="G40" i="13"/>
  <c r="B65" i="13"/>
  <c r="G48" i="13"/>
  <c r="U5" i="9" s="1"/>
  <c r="C3" i="9"/>
  <c r="G48" i="8"/>
  <c r="G5" i="9" s="1"/>
  <c r="F49" i="13"/>
  <c r="H34" i="13"/>
  <c r="I19" i="13"/>
  <c r="G32" i="9"/>
  <c r="U2" i="9"/>
  <c r="U32" i="9" s="1"/>
  <c r="I19" i="3"/>
  <c r="I34" i="3" s="1"/>
  <c r="H2" i="9"/>
  <c r="A10" i="3"/>
  <c r="A26" i="3"/>
  <c r="J23" i="13"/>
  <c r="H38" i="13"/>
  <c r="G37" i="13"/>
  <c r="I22" i="13"/>
  <c r="A28" i="13"/>
  <c r="A43" i="13" s="1"/>
  <c r="A68" i="13" s="1"/>
  <c r="A12" i="13"/>
  <c r="I24" i="13"/>
  <c r="G39" i="13"/>
  <c r="J20" i="13"/>
  <c r="H35" i="13"/>
  <c r="I21" i="13"/>
  <c r="G36" i="13"/>
  <c r="F49" i="11"/>
  <c r="G39" i="11"/>
  <c r="I24" i="11"/>
  <c r="G36" i="11"/>
  <c r="I21" i="11"/>
  <c r="G37" i="11"/>
  <c r="G50" i="11" s="1"/>
  <c r="I22" i="11"/>
  <c r="A28" i="11"/>
  <c r="A43" i="11" s="1"/>
  <c r="A68" i="11" s="1"/>
  <c r="A12" i="11"/>
  <c r="J23" i="11"/>
  <c r="H38" i="11"/>
  <c r="G48" i="11"/>
  <c r="U4" i="9" s="1"/>
  <c r="I34" i="11"/>
  <c r="J19" i="11"/>
  <c r="J20" i="11"/>
  <c r="H35" i="11"/>
  <c r="G49" i="11"/>
  <c r="G37" i="10"/>
  <c r="G38" i="10"/>
  <c r="G36" i="10"/>
  <c r="G35" i="10"/>
  <c r="G48" i="10"/>
  <c r="U3" i="9" s="1"/>
  <c r="A10" i="10"/>
  <c r="A26" i="10"/>
  <c r="A41" i="10" s="1"/>
  <c r="A66" i="10" s="1"/>
  <c r="I34" i="10"/>
  <c r="J19" i="10"/>
  <c r="F49" i="10"/>
  <c r="F50" i="10"/>
  <c r="F49" i="8"/>
  <c r="A28" i="8"/>
  <c r="A43" i="8" s="1"/>
  <c r="A68" i="8" s="1"/>
  <c r="A12" i="8"/>
  <c r="I34" i="8"/>
  <c r="J19" i="8"/>
  <c r="I23" i="8"/>
  <c r="G38" i="8"/>
  <c r="I24" i="8"/>
  <c r="G39" i="8"/>
  <c r="G37" i="8"/>
  <c r="I22" i="8"/>
  <c r="F50" i="8"/>
  <c r="J20" i="8"/>
  <c r="H35" i="8"/>
  <c r="G36" i="8"/>
  <c r="I21" i="8"/>
  <c r="F49" i="7"/>
  <c r="F50" i="7"/>
  <c r="A28" i="7"/>
  <c r="A43" i="7" s="1"/>
  <c r="A68" i="7" s="1"/>
  <c r="A12" i="7"/>
  <c r="I34" i="7"/>
  <c r="J19" i="7"/>
  <c r="G37" i="7"/>
  <c r="I22" i="7"/>
  <c r="H38" i="7"/>
  <c r="J23" i="7"/>
  <c r="J20" i="7"/>
  <c r="H35" i="7"/>
  <c r="I21" i="7"/>
  <c r="G36" i="7"/>
  <c r="G39" i="7"/>
  <c r="I24" i="7"/>
  <c r="G48" i="7"/>
  <c r="G4" i="9" s="1"/>
  <c r="G24" i="3"/>
  <c r="F39" i="3" s="1"/>
  <c r="F22" i="3"/>
  <c r="E37" i="3" s="1"/>
  <c r="F26" i="3"/>
  <c r="E41" i="3" s="1"/>
  <c r="F20" i="3"/>
  <c r="F23" i="3"/>
  <c r="E38" i="3" s="1"/>
  <c r="F27" i="3"/>
  <c r="E42" i="3" s="1"/>
  <c r="F25" i="3"/>
  <c r="E40" i="3" s="1"/>
  <c r="F21" i="3"/>
  <c r="E36" i="3" s="1"/>
  <c r="E50" i="3" l="1"/>
  <c r="E35" i="3"/>
  <c r="E49" i="3" s="1"/>
  <c r="E48" i="3"/>
  <c r="A66" i="3"/>
  <c r="A41" i="3"/>
  <c r="G49" i="13"/>
  <c r="I38" i="13"/>
  <c r="B63" i="13"/>
  <c r="H39" i="11"/>
  <c r="B64" i="11"/>
  <c r="I38" i="7"/>
  <c r="B63" i="7"/>
  <c r="H39" i="7"/>
  <c r="B64" i="7"/>
  <c r="H39" i="8"/>
  <c r="B64" i="8"/>
  <c r="H39" i="13"/>
  <c r="B64" i="13"/>
  <c r="I38" i="11"/>
  <c r="B63" i="11"/>
  <c r="B67" i="3"/>
  <c r="A11" i="3"/>
  <c r="A27" i="3"/>
  <c r="J19" i="3"/>
  <c r="J34" i="3" s="1"/>
  <c r="I2" i="9"/>
  <c r="I34" i="13"/>
  <c r="J19" i="13"/>
  <c r="D3" i="9"/>
  <c r="G49" i="7"/>
  <c r="V2" i="9"/>
  <c r="V32" i="9" s="1"/>
  <c r="H32" i="9"/>
  <c r="K20" i="13"/>
  <c r="I35" i="13"/>
  <c r="H37" i="13"/>
  <c r="J22" i="13"/>
  <c r="A13" i="13"/>
  <c r="A29" i="13"/>
  <c r="A44" i="13" s="1"/>
  <c r="A69" i="13" s="1"/>
  <c r="H36" i="13"/>
  <c r="J21" i="13"/>
  <c r="I48" i="13" s="1"/>
  <c r="W5" i="9" s="1"/>
  <c r="H48" i="13"/>
  <c r="V5" i="9" s="1"/>
  <c r="G50" i="13"/>
  <c r="A13" i="11"/>
  <c r="A29" i="11"/>
  <c r="A44" i="11" s="1"/>
  <c r="A69" i="11" s="1"/>
  <c r="H36" i="11"/>
  <c r="J21" i="11"/>
  <c r="H48" i="11"/>
  <c r="V4" i="9" s="1"/>
  <c r="I35" i="11"/>
  <c r="K20" i="11"/>
  <c r="K19" i="11"/>
  <c r="J34" i="11"/>
  <c r="H37" i="11"/>
  <c r="J22" i="11"/>
  <c r="G50" i="10"/>
  <c r="G49" i="10"/>
  <c r="A27" i="10"/>
  <c r="A42" i="10" s="1"/>
  <c r="A67" i="10" s="1"/>
  <c r="A11" i="10"/>
  <c r="J34" i="10"/>
  <c r="K19" i="10"/>
  <c r="H36" i="10"/>
  <c r="H37" i="10"/>
  <c r="H35" i="10"/>
  <c r="H48" i="10"/>
  <c r="V3" i="9" s="1"/>
  <c r="I38" i="10"/>
  <c r="H38" i="10"/>
  <c r="G49" i="8"/>
  <c r="H36" i="8"/>
  <c r="J21" i="8"/>
  <c r="K20" i="8"/>
  <c r="I35" i="8"/>
  <c r="J34" i="8"/>
  <c r="K19" i="8"/>
  <c r="H38" i="8"/>
  <c r="J23" i="8"/>
  <c r="G50" i="8"/>
  <c r="H37" i="8"/>
  <c r="J22" i="8"/>
  <c r="A29" i="8"/>
  <c r="A44" i="8" s="1"/>
  <c r="A69" i="8" s="1"/>
  <c r="A13" i="8"/>
  <c r="H48" i="8"/>
  <c r="H5" i="9" s="1"/>
  <c r="H48" i="7"/>
  <c r="H4" i="9" s="1"/>
  <c r="K20" i="7"/>
  <c r="I35" i="7"/>
  <c r="H37" i="7"/>
  <c r="J22" i="7"/>
  <c r="A29" i="7"/>
  <c r="A44" i="7" s="1"/>
  <c r="A69" i="7" s="1"/>
  <c r="A13" i="7"/>
  <c r="G50" i="7"/>
  <c r="H36" i="7"/>
  <c r="J21" i="7"/>
  <c r="K19" i="7"/>
  <c r="J34" i="7"/>
  <c r="G21" i="3"/>
  <c r="F36" i="3" s="1"/>
  <c r="G25" i="3"/>
  <c r="F40" i="3" s="1"/>
  <c r="G23" i="3"/>
  <c r="F38" i="3" s="1"/>
  <c r="G20" i="3"/>
  <c r="G26" i="3"/>
  <c r="F41" i="3" s="1"/>
  <c r="G22" i="3"/>
  <c r="F37" i="3" s="1"/>
  <c r="H24" i="3"/>
  <c r="G39" i="3" s="1"/>
  <c r="H49" i="13" l="1"/>
  <c r="H49" i="11"/>
  <c r="F35" i="3"/>
  <c r="F49" i="3" s="1"/>
  <c r="F48" i="3"/>
  <c r="A42" i="3"/>
  <c r="A67" i="3" s="1"/>
  <c r="F50" i="3"/>
  <c r="H50" i="13"/>
  <c r="I38" i="8"/>
  <c r="B63" i="8"/>
  <c r="B66" i="3"/>
  <c r="E3" i="9"/>
  <c r="K19" i="3"/>
  <c r="K34" i="3" s="1"/>
  <c r="J2" i="9"/>
  <c r="A12" i="3"/>
  <c r="A28" i="3"/>
  <c r="H50" i="10"/>
  <c r="J34" i="13"/>
  <c r="K19" i="13"/>
  <c r="I32" i="9"/>
  <c r="W2" i="9"/>
  <c r="W32" i="9" s="1"/>
  <c r="I36" i="13"/>
  <c r="K21" i="13"/>
  <c r="K22" i="13"/>
  <c r="I37" i="13"/>
  <c r="I50" i="13" s="1"/>
  <c r="L20" i="13"/>
  <c r="J35" i="13"/>
  <c r="A30" i="13"/>
  <c r="A45" i="13" s="1"/>
  <c r="A70" i="13" s="1"/>
  <c r="A14" i="13"/>
  <c r="A31" i="13" s="1"/>
  <c r="H50" i="11"/>
  <c r="I37" i="11"/>
  <c r="K22" i="11"/>
  <c r="L20" i="11"/>
  <c r="J35" i="11"/>
  <c r="L19" i="11"/>
  <c r="K34" i="11"/>
  <c r="I36" i="11"/>
  <c r="K21" i="11"/>
  <c r="A30" i="11"/>
  <c r="A45" i="11" s="1"/>
  <c r="A70" i="11" s="1"/>
  <c r="A14" i="11"/>
  <c r="A31" i="11" s="1"/>
  <c r="I48" i="11"/>
  <c r="W4" i="9" s="1"/>
  <c r="I37" i="10"/>
  <c r="J37" i="10"/>
  <c r="L19" i="10"/>
  <c r="K34" i="10"/>
  <c r="I35" i="10"/>
  <c r="I48" i="10"/>
  <c r="W3" i="9" s="1"/>
  <c r="I36" i="10"/>
  <c r="A28" i="10"/>
  <c r="A43" i="10" s="1"/>
  <c r="A68" i="10" s="1"/>
  <c r="A12" i="10"/>
  <c r="H49" i="10"/>
  <c r="K22" i="8"/>
  <c r="I37" i="8"/>
  <c r="I36" i="8"/>
  <c r="K21" i="8"/>
  <c r="L19" i="8"/>
  <c r="K34" i="8"/>
  <c r="J35" i="8"/>
  <c r="L20" i="8"/>
  <c r="H50" i="8"/>
  <c r="H49" i="8"/>
  <c r="A14" i="8"/>
  <c r="A31" i="8" s="1"/>
  <c r="A30" i="8"/>
  <c r="A45" i="8" s="1"/>
  <c r="A70" i="8" s="1"/>
  <c r="I48" i="8"/>
  <c r="I5" i="9" s="1"/>
  <c r="L19" i="7"/>
  <c r="K34" i="7"/>
  <c r="A30" i="7"/>
  <c r="A45" i="7" s="1"/>
  <c r="A70" i="7" s="1"/>
  <c r="A14" i="7"/>
  <c r="A31" i="7" s="1"/>
  <c r="J35" i="7"/>
  <c r="L20" i="7"/>
  <c r="I37" i="7"/>
  <c r="K22" i="7"/>
  <c r="I36" i="7"/>
  <c r="K21" i="7"/>
  <c r="H50" i="7"/>
  <c r="I48" i="7"/>
  <c r="I4" i="9" s="1"/>
  <c r="H49" i="7"/>
  <c r="I24" i="3"/>
  <c r="H39" i="3" s="1"/>
  <c r="H22" i="3"/>
  <c r="G37" i="3" s="1"/>
  <c r="H20" i="3"/>
  <c r="H23" i="3"/>
  <c r="G38" i="3" s="1"/>
  <c r="H25" i="3"/>
  <c r="G40" i="3" s="1"/>
  <c r="H21" i="3"/>
  <c r="G36" i="3" s="1"/>
  <c r="G50" i="3" l="1"/>
  <c r="G35" i="3"/>
  <c r="G49" i="3" s="1"/>
  <c r="G48" i="3"/>
  <c r="A43" i="3"/>
  <c r="A68" i="3" s="1"/>
  <c r="J37" i="8"/>
  <c r="B62" i="8"/>
  <c r="J37" i="11"/>
  <c r="B62" i="11"/>
  <c r="J37" i="13"/>
  <c r="B62" i="13"/>
  <c r="J48" i="13"/>
  <c r="X5" i="9" s="1"/>
  <c r="J37" i="7"/>
  <c r="B62" i="7"/>
  <c r="B64" i="3"/>
  <c r="B65" i="3"/>
  <c r="F3" i="9"/>
  <c r="K34" i="13"/>
  <c r="L19" i="13"/>
  <c r="A13" i="3"/>
  <c r="A29" i="3"/>
  <c r="L19" i="3"/>
  <c r="L34" i="3" s="1"/>
  <c r="K2" i="9"/>
  <c r="I49" i="8"/>
  <c r="X2" i="9"/>
  <c r="X32" i="9" s="1"/>
  <c r="J32" i="9"/>
  <c r="I49" i="13"/>
  <c r="K35" i="13"/>
  <c r="M20" i="13"/>
  <c r="B60" i="13" s="1"/>
  <c r="J36" i="13"/>
  <c r="L21" i="13"/>
  <c r="J49" i="13"/>
  <c r="I49" i="11"/>
  <c r="J36" i="11"/>
  <c r="L21" i="11"/>
  <c r="L34" i="11"/>
  <c r="M19" i="11"/>
  <c r="I50" i="11"/>
  <c r="K35" i="11"/>
  <c r="M20" i="11"/>
  <c r="B60" i="11" s="1"/>
  <c r="J48" i="11"/>
  <c r="X4" i="9" s="1"/>
  <c r="L34" i="10"/>
  <c r="M19" i="10"/>
  <c r="J36" i="10"/>
  <c r="K36" i="10"/>
  <c r="J48" i="10"/>
  <c r="X3" i="9" s="1"/>
  <c r="J35" i="10"/>
  <c r="J49" i="10" s="1"/>
  <c r="I50" i="10"/>
  <c r="I49" i="10"/>
  <c r="A29" i="10"/>
  <c r="A44" i="10" s="1"/>
  <c r="A69" i="10" s="1"/>
  <c r="A13" i="10"/>
  <c r="J48" i="8"/>
  <c r="J5" i="9" s="1"/>
  <c r="I50" i="8"/>
  <c r="K35" i="8"/>
  <c r="M20" i="8"/>
  <c r="B60" i="8" s="1"/>
  <c r="L34" i="8"/>
  <c r="M19" i="8"/>
  <c r="J36" i="8"/>
  <c r="J49" i="8" s="1"/>
  <c r="L21" i="8"/>
  <c r="I50" i="7"/>
  <c r="I49" i="7"/>
  <c r="J36" i="7"/>
  <c r="J49" i="7" s="1"/>
  <c r="L21" i="7"/>
  <c r="K48" i="7" s="1"/>
  <c r="K4" i="9" s="1"/>
  <c r="L34" i="7"/>
  <c r="M19" i="7"/>
  <c r="K35" i="7"/>
  <c r="M20" i="7"/>
  <c r="B60" i="7" s="1"/>
  <c r="J48" i="7"/>
  <c r="J4" i="9" s="1"/>
  <c r="I22" i="3"/>
  <c r="H37" i="3" s="1"/>
  <c r="I21" i="3"/>
  <c r="H36" i="3" s="1"/>
  <c r="I23" i="3"/>
  <c r="H38" i="3" s="1"/>
  <c r="I20" i="3"/>
  <c r="J49" i="11" l="1"/>
  <c r="A44" i="3"/>
  <c r="A69" i="3" s="1"/>
  <c r="H48" i="3"/>
  <c r="H35" i="3"/>
  <c r="H49" i="3" s="1"/>
  <c r="H50" i="3"/>
  <c r="B72" i="8"/>
  <c r="K36" i="13"/>
  <c r="K49" i="13" s="1"/>
  <c r="B61" i="13"/>
  <c r="B72" i="13" s="1"/>
  <c r="K36" i="11"/>
  <c r="B61" i="11"/>
  <c r="B72" i="11" s="1"/>
  <c r="K36" i="8"/>
  <c r="B61" i="8"/>
  <c r="K36" i="7"/>
  <c r="B61" i="7"/>
  <c r="K48" i="11"/>
  <c r="Y4" i="9" s="1"/>
  <c r="G3" i="9"/>
  <c r="K32" i="9"/>
  <c r="Y2" i="9"/>
  <c r="Y32" i="9" s="1"/>
  <c r="M19" i="13"/>
  <c r="L34" i="13"/>
  <c r="M19" i="3"/>
  <c r="M34" i="3" s="1"/>
  <c r="L2" i="9"/>
  <c r="A14" i="3"/>
  <c r="A31" i="3" s="1"/>
  <c r="A30" i="3"/>
  <c r="N20" i="13"/>
  <c r="L35" i="13"/>
  <c r="L49" i="13" s="1"/>
  <c r="L48" i="13"/>
  <c r="Z5" i="9" s="1"/>
  <c r="J50" i="13"/>
  <c r="K48" i="13"/>
  <c r="Y5" i="9" s="1"/>
  <c r="K49" i="11"/>
  <c r="K50" i="11" s="1"/>
  <c r="M34" i="11"/>
  <c r="N19" i="11"/>
  <c r="J50" i="11"/>
  <c r="N20" i="11"/>
  <c r="L35" i="11"/>
  <c r="L49" i="11" s="1"/>
  <c r="L48" i="11"/>
  <c r="Z4" i="9" s="1"/>
  <c r="K35" i="10"/>
  <c r="K49" i="10" s="1"/>
  <c r="K48" i="10"/>
  <c r="Y3" i="9" s="1"/>
  <c r="M34" i="10"/>
  <c r="N19" i="10"/>
  <c r="A30" i="10"/>
  <c r="A45" i="10" s="1"/>
  <c r="A70" i="10" s="1"/>
  <c r="A14" i="10"/>
  <c r="A31" i="10" s="1"/>
  <c r="J50" i="10"/>
  <c r="K49" i="8"/>
  <c r="K50" i="8" s="1"/>
  <c r="N19" i="8"/>
  <c r="M34" i="8"/>
  <c r="N20" i="8"/>
  <c r="L35" i="8"/>
  <c r="L49" i="8" s="1"/>
  <c r="L48" i="8"/>
  <c r="L5" i="9" s="1"/>
  <c r="J50" i="8"/>
  <c r="K48" i="8"/>
  <c r="K5" i="9" s="1"/>
  <c r="J50" i="7"/>
  <c r="M34" i="7"/>
  <c r="N19" i="7"/>
  <c r="K49" i="7"/>
  <c r="N20" i="7"/>
  <c r="L35" i="7"/>
  <c r="L49" i="7" s="1"/>
  <c r="L48" i="7"/>
  <c r="L4" i="9" s="1"/>
  <c r="J22" i="3"/>
  <c r="I37" i="3" s="1"/>
  <c r="J20" i="3"/>
  <c r="J23" i="3"/>
  <c r="I38" i="3" s="1"/>
  <c r="J21" i="3"/>
  <c r="I36" i="3" s="1"/>
  <c r="A45" i="3" l="1"/>
  <c r="A70" i="3" s="1"/>
  <c r="I48" i="3"/>
  <c r="I35" i="3"/>
  <c r="B72" i="7"/>
  <c r="B63" i="3"/>
  <c r="M35" i="7"/>
  <c r="M49" i="7" s="1"/>
  <c r="H53" i="7" s="1"/>
  <c r="M48" i="7"/>
  <c r="M4" i="9" s="1"/>
  <c r="Z2" i="9"/>
  <c r="Z32" i="9" s="1"/>
  <c r="L32" i="9"/>
  <c r="H3" i="9"/>
  <c r="N19" i="3"/>
  <c r="M2" i="9"/>
  <c r="M34" i="13"/>
  <c r="N19" i="13"/>
  <c r="M48" i="13"/>
  <c r="L52" i="13" s="1"/>
  <c r="M35" i="13"/>
  <c r="M49" i="13" s="1"/>
  <c r="G53" i="13" s="1"/>
  <c r="L50" i="13"/>
  <c r="K50" i="13"/>
  <c r="L50" i="11"/>
  <c r="M48" i="11"/>
  <c r="AA4" i="9" s="1"/>
  <c r="M35" i="11"/>
  <c r="M49" i="11" s="1"/>
  <c r="J53" i="11" s="1"/>
  <c r="I53" i="11"/>
  <c r="L35" i="10"/>
  <c r="L49" i="10" s="1"/>
  <c r="L48" i="10"/>
  <c r="Z3" i="9" s="1"/>
  <c r="K50" i="10"/>
  <c r="L50" i="8"/>
  <c r="M35" i="8"/>
  <c r="M49" i="8" s="1"/>
  <c r="G53" i="8" s="1"/>
  <c r="M48" i="8"/>
  <c r="K50" i="7"/>
  <c r="L50" i="7"/>
  <c r="D53" i="7"/>
  <c r="G52" i="7"/>
  <c r="K21" i="3"/>
  <c r="J36" i="3" s="1"/>
  <c r="K20" i="3"/>
  <c r="K22" i="3"/>
  <c r="J37" i="3" s="1"/>
  <c r="M50" i="7" l="1"/>
  <c r="I53" i="7"/>
  <c r="E53" i="7"/>
  <c r="B53" i="7"/>
  <c r="L53" i="7"/>
  <c r="K53" i="11"/>
  <c r="I50" i="3"/>
  <c r="I49" i="3"/>
  <c r="J48" i="3"/>
  <c r="J35" i="3"/>
  <c r="J49" i="3" s="1"/>
  <c r="J53" i="7"/>
  <c r="M53" i="7"/>
  <c r="K53" i="7"/>
  <c r="Z35" i="9"/>
  <c r="L56" i="13"/>
  <c r="C61" i="13" s="1"/>
  <c r="D61" i="13" s="1"/>
  <c r="E61" i="13" s="1"/>
  <c r="F53" i="7"/>
  <c r="G53" i="7"/>
  <c r="F52" i="7"/>
  <c r="K52" i="11"/>
  <c r="K53" i="13"/>
  <c r="G34" i="9"/>
  <c r="G56" i="7"/>
  <c r="C66" i="7" s="1"/>
  <c r="D66" i="7" s="1"/>
  <c r="E66" i="7" s="1"/>
  <c r="H52" i="11"/>
  <c r="C53" i="7"/>
  <c r="B62" i="3"/>
  <c r="J53" i="13"/>
  <c r="J52" i="13"/>
  <c r="AA5" i="9"/>
  <c r="M32" i="9"/>
  <c r="AA2" i="9"/>
  <c r="AA32" i="9" s="1"/>
  <c r="I3" i="9"/>
  <c r="K52" i="8"/>
  <c r="M5" i="9"/>
  <c r="E52" i="8"/>
  <c r="G52" i="13"/>
  <c r="I53" i="13"/>
  <c r="L53" i="13"/>
  <c r="F52" i="13"/>
  <c r="K52" i="13"/>
  <c r="M52" i="13"/>
  <c r="B52" i="13"/>
  <c r="C52" i="13"/>
  <c r="E52" i="13"/>
  <c r="M53" i="13"/>
  <c r="M50" i="13"/>
  <c r="L54" i="13" s="1"/>
  <c r="B53" i="13"/>
  <c r="C53" i="13"/>
  <c r="D53" i="13"/>
  <c r="F53" i="13"/>
  <c r="E53" i="13"/>
  <c r="H53" i="13"/>
  <c r="F54" i="13"/>
  <c r="H52" i="13"/>
  <c r="I52" i="13"/>
  <c r="D52" i="13"/>
  <c r="M52" i="11"/>
  <c r="B52" i="11"/>
  <c r="D52" i="11"/>
  <c r="C52" i="11"/>
  <c r="F52" i="11"/>
  <c r="G52" i="11"/>
  <c r="E52" i="11"/>
  <c r="J52" i="11"/>
  <c r="M53" i="11"/>
  <c r="M50" i="11"/>
  <c r="I54" i="11" s="1"/>
  <c r="B53" i="11"/>
  <c r="C53" i="11"/>
  <c r="D53" i="11"/>
  <c r="F53" i="11"/>
  <c r="H53" i="11"/>
  <c r="G53" i="11"/>
  <c r="E53" i="11"/>
  <c r="H54" i="11"/>
  <c r="I52" i="11"/>
  <c r="L52" i="11"/>
  <c r="L53" i="11"/>
  <c r="M35" i="10"/>
  <c r="M49" i="10" s="1"/>
  <c r="F53" i="10" s="1"/>
  <c r="M48" i="10"/>
  <c r="L50" i="10"/>
  <c r="G52" i="8"/>
  <c r="I53" i="8"/>
  <c r="K53" i="8"/>
  <c r="L53" i="8"/>
  <c r="J53" i="8"/>
  <c r="H52" i="8"/>
  <c r="M53" i="8"/>
  <c r="M50" i="8"/>
  <c r="F54" i="8" s="1"/>
  <c r="C53" i="8"/>
  <c r="B53" i="8"/>
  <c r="D53" i="8"/>
  <c r="H53" i="8"/>
  <c r="E53" i="8"/>
  <c r="F53" i="8"/>
  <c r="L52" i="8"/>
  <c r="F52" i="8"/>
  <c r="M52" i="8"/>
  <c r="B52" i="8"/>
  <c r="C52" i="8"/>
  <c r="D52" i="8"/>
  <c r="I52" i="8"/>
  <c r="J52" i="8"/>
  <c r="M52" i="7"/>
  <c r="H52" i="7"/>
  <c r="C52" i="7"/>
  <c r="J52" i="7"/>
  <c r="E52" i="7"/>
  <c r="K52" i="7"/>
  <c r="I52" i="7"/>
  <c r="D52" i="7"/>
  <c r="L52" i="7"/>
  <c r="B52" i="7"/>
  <c r="M54" i="7"/>
  <c r="B54" i="7"/>
  <c r="C54" i="7"/>
  <c r="E54" i="7"/>
  <c r="D54" i="7"/>
  <c r="G54" i="7"/>
  <c r="K54" i="7"/>
  <c r="F54" i="7"/>
  <c r="H54" i="7"/>
  <c r="J54" i="7"/>
  <c r="I54" i="7"/>
  <c r="L54" i="7"/>
  <c r="L20" i="3"/>
  <c r="L21" i="3"/>
  <c r="K36" i="3" s="1"/>
  <c r="J54" i="8" l="1"/>
  <c r="I54" i="8"/>
  <c r="J50" i="3"/>
  <c r="K35" i="3"/>
  <c r="K49" i="3" s="1"/>
  <c r="K48" i="3"/>
  <c r="J34" i="9"/>
  <c r="J56" i="7"/>
  <c r="C63" i="7" s="1"/>
  <c r="D63" i="7" s="1"/>
  <c r="E63" i="7" s="1"/>
  <c r="C34" i="9"/>
  <c r="C56" i="7"/>
  <c r="C70" i="7" s="1"/>
  <c r="D70" i="7" s="1"/>
  <c r="E70" i="7" s="1"/>
  <c r="I35" i="9"/>
  <c r="I56" i="8"/>
  <c r="C64" i="8" s="1"/>
  <c r="D64" i="8" s="1"/>
  <c r="E64" i="8" s="1"/>
  <c r="X34" i="9"/>
  <c r="J56" i="11"/>
  <c r="C63" i="11" s="1"/>
  <c r="D63" i="11" s="1"/>
  <c r="E63" i="11" s="1"/>
  <c r="K35" i="9"/>
  <c r="K56" i="8"/>
  <c r="C62" i="8" s="1"/>
  <c r="D62" i="8" s="1"/>
  <c r="E62" i="8" s="1"/>
  <c r="K34" i="9"/>
  <c r="K56" i="7"/>
  <c r="C62" i="7" s="1"/>
  <c r="D62" i="7" s="1"/>
  <c r="E62" i="7" s="1"/>
  <c r="H35" i="9"/>
  <c r="H56" i="8"/>
  <c r="C65" i="8" s="1"/>
  <c r="D65" i="8" s="1"/>
  <c r="E65" i="8" s="1"/>
  <c r="S34" i="9"/>
  <c r="E56" i="11"/>
  <c r="C68" i="11" s="1"/>
  <c r="D68" i="11" s="1"/>
  <c r="E68" i="11" s="1"/>
  <c r="W35" i="9"/>
  <c r="I56" i="13"/>
  <c r="C64" i="13" s="1"/>
  <c r="D64" i="13" s="1"/>
  <c r="E64" i="13" s="1"/>
  <c r="Y35" i="9"/>
  <c r="K56" i="13"/>
  <c r="C62" i="13" s="1"/>
  <c r="D62" i="13" s="1"/>
  <c r="E62" i="13" s="1"/>
  <c r="F34" i="9"/>
  <c r="F56" i="7"/>
  <c r="C67" i="7" s="1"/>
  <c r="D67" i="7" s="1"/>
  <c r="E67" i="7" s="1"/>
  <c r="T34" i="9"/>
  <c r="F56" i="11"/>
  <c r="C67" i="11" s="1"/>
  <c r="D67" i="11" s="1"/>
  <c r="E67" i="11" s="1"/>
  <c r="I34" i="9"/>
  <c r="I56" i="7"/>
  <c r="C64" i="7" s="1"/>
  <c r="D64" i="7" s="1"/>
  <c r="E64" i="7" s="1"/>
  <c r="R35" i="9"/>
  <c r="D56" i="13"/>
  <c r="C69" i="13" s="1"/>
  <c r="D69" i="13" s="1"/>
  <c r="E69" i="13" s="1"/>
  <c r="AA35" i="9"/>
  <c r="M56" i="13"/>
  <c r="C60" i="13" s="1"/>
  <c r="D60" i="13" s="1"/>
  <c r="Y34" i="9"/>
  <c r="K56" i="11"/>
  <c r="C62" i="11" s="1"/>
  <c r="D62" i="11" s="1"/>
  <c r="E62" i="11" s="1"/>
  <c r="E34" i="9"/>
  <c r="E56" i="7"/>
  <c r="C68" i="7" s="1"/>
  <c r="D68" i="7" s="1"/>
  <c r="E68" i="7" s="1"/>
  <c r="D35" i="9"/>
  <c r="D56" i="8"/>
  <c r="C69" i="8" s="1"/>
  <c r="D69" i="8" s="1"/>
  <c r="E69" i="8" s="1"/>
  <c r="U34" i="9"/>
  <c r="G56" i="11"/>
  <c r="C66" i="11" s="1"/>
  <c r="D66" i="11" s="1"/>
  <c r="E66" i="11" s="1"/>
  <c r="V35" i="9"/>
  <c r="H56" i="13"/>
  <c r="C65" i="13" s="1"/>
  <c r="D65" i="13" s="1"/>
  <c r="E65" i="13" s="1"/>
  <c r="T35" i="9"/>
  <c r="F56" i="13"/>
  <c r="C67" i="13" s="1"/>
  <c r="D67" i="13" s="1"/>
  <c r="E67" i="13" s="1"/>
  <c r="Z34" i="9"/>
  <c r="L56" i="11"/>
  <c r="C61" i="11" s="1"/>
  <c r="D61" i="11" s="1"/>
  <c r="E61" i="11" s="1"/>
  <c r="Q34" i="9"/>
  <c r="C56" i="11"/>
  <c r="C70" i="11" s="1"/>
  <c r="D70" i="11" s="1"/>
  <c r="E70" i="11" s="1"/>
  <c r="V34" i="9"/>
  <c r="H56" i="11"/>
  <c r="C65" i="11" s="1"/>
  <c r="D65" i="11" s="1"/>
  <c r="E65" i="11" s="1"/>
  <c r="H34" i="9"/>
  <c r="H56" i="7"/>
  <c r="C65" i="7" s="1"/>
  <c r="D65" i="7" s="1"/>
  <c r="E65" i="7" s="1"/>
  <c r="R34" i="9"/>
  <c r="D56" i="11"/>
  <c r="C69" i="11" s="1"/>
  <c r="D69" i="11" s="1"/>
  <c r="E69" i="11" s="1"/>
  <c r="S35" i="9"/>
  <c r="E56" i="13"/>
  <c r="C68" i="13" s="1"/>
  <c r="D68" i="13" s="1"/>
  <c r="E68" i="13" s="1"/>
  <c r="U35" i="9"/>
  <c r="G56" i="13"/>
  <c r="C66" i="13" s="1"/>
  <c r="D66" i="13" s="1"/>
  <c r="E66" i="13" s="1"/>
  <c r="X35" i="9"/>
  <c r="J56" i="13"/>
  <c r="C63" i="13" s="1"/>
  <c r="D63" i="13" s="1"/>
  <c r="E63" i="13" s="1"/>
  <c r="L34" i="9"/>
  <c r="L56" i="7"/>
  <c r="C61" i="7" s="1"/>
  <c r="D61" i="7" s="1"/>
  <c r="E61" i="7" s="1"/>
  <c r="M34" i="9"/>
  <c r="M56" i="7"/>
  <c r="C60" i="7" s="1"/>
  <c r="D60" i="7" s="1"/>
  <c r="F35" i="9"/>
  <c r="F56" i="8"/>
  <c r="C67" i="8" s="1"/>
  <c r="D67" i="8" s="1"/>
  <c r="E67" i="8" s="1"/>
  <c r="G35" i="9"/>
  <c r="G56" i="8"/>
  <c r="C66" i="8" s="1"/>
  <c r="D66" i="8" s="1"/>
  <c r="E66" i="8" s="1"/>
  <c r="P34" i="9"/>
  <c r="B56" i="11"/>
  <c r="C71" i="11" s="1"/>
  <c r="D71" i="11" s="1"/>
  <c r="E71" i="11" s="1"/>
  <c r="Q35" i="9"/>
  <c r="C56" i="13"/>
  <c r="C70" i="13" s="1"/>
  <c r="D70" i="13" s="1"/>
  <c r="E70" i="13" s="1"/>
  <c r="E35" i="9"/>
  <c r="E56" i="8"/>
  <c r="C68" i="8" s="1"/>
  <c r="D68" i="8" s="1"/>
  <c r="E68" i="8" s="1"/>
  <c r="C35" i="9"/>
  <c r="C56" i="8"/>
  <c r="C70" i="8" s="1"/>
  <c r="D70" i="8" s="1"/>
  <c r="E70" i="8" s="1"/>
  <c r="B35" i="9"/>
  <c r="B56" i="8"/>
  <c r="C71" i="8" s="1"/>
  <c r="D71" i="8" s="1"/>
  <c r="E71" i="8" s="1"/>
  <c r="B34" i="9"/>
  <c r="B56" i="7"/>
  <c r="C71" i="7" s="1"/>
  <c r="D71" i="7" s="1"/>
  <c r="E71" i="7" s="1"/>
  <c r="M35" i="9"/>
  <c r="M56" i="8"/>
  <c r="C60" i="8" s="1"/>
  <c r="D60" i="8" s="1"/>
  <c r="W34" i="9"/>
  <c r="I56" i="11"/>
  <c r="C64" i="11" s="1"/>
  <c r="D64" i="11" s="1"/>
  <c r="E64" i="11" s="1"/>
  <c r="D34" i="9"/>
  <c r="D56" i="7"/>
  <c r="C69" i="7" s="1"/>
  <c r="D69" i="7" s="1"/>
  <c r="E69" i="7" s="1"/>
  <c r="J35" i="9"/>
  <c r="J56" i="8"/>
  <c r="C63" i="8" s="1"/>
  <c r="D63" i="8" s="1"/>
  <c r="E63" i="8" s="1"/>
  <c r="L35" i="9"/>
  <c r="L56" i="8"/>
  <c r="C61" i="8" s="1"/>
  <c r="D61" i="8" s="1"/>
  <c r="E61" i="8" s="1"/>
  <c r="I53" i="10"/>
  <c r="AA34" i="9"/>
  <c r="M56" i="11"/>
  <c r="C60" i="11" s="1"/>
  <c r="D60" i="11" s="1"/>
  <c r="P35" i="9"/>
  <c r="B56" i="13"/>
  <c r="C71" i="13" s="1"/>
  <c r="D71" i="13" s="1"/>
  <c r="E71" i="13" s="1"/>
  <c r="B61" i="3"/>
  <c r="L54" i="11"/>
  <c r="J3" i="9"/>
  <c r="L52" i="10"/>
  <c r="AA3" i="9"/>
  <c r="M54" i="13"/>
  <c r="B54" i="13"/>
  <c r="C54" i="13"/>
  <c r="E54" i="13"/>
  <c r="H54" i="13"/>
  <c r="D54" i="13"/>
  <c r="K54" i="13"/>
  <c r="I54" i="13"/>
  <c r="J54" i="13"/>
  <c r="G54" i="13"/>
  <c r="F54" i="11"/>
  <c r="J54" i="11"/>
  <c r="E54" i="11"/>
  <c r="K54" i="11"/>
  <c r="M54" i="11"/>
  <c r="C54" i="11"/>
  <c r="B54" i="11"/>
  <c r="D54" i="11"/>
  <c r="G54" i="11"/>
  <c r="J53" i="10"/>
  <c r="G53" i="10"/>
  <c r="L53" i="10"/>
  <c r="M53" i="10"/>
  <c r="M50" i="10"/>
  <c r="H54" i="10" s="1"/>
  <c r="B53" i="10"/>
  <c r="C53" i="10"/>
  <c r="D53" i="10"/>
  <c r="K53" i="10"/>
  <c r="E53" i="10"/>
  <c r="H53" i="10"/>
  <c r="M52" i="10"/>
  <c r="B52" i="10"/>
  <c r="C52" i="10"/>
  <c r="D52" i="10"/>
  <c r="E52" i="10"/>
  <c r="G52" i="10"/>
  <c r="H52" i="10"/>
  <c r="J52" i="10"/>
  <c r="K52" i="10"/>
  <c r="I52" i="10"/>
  <c r="F52" i="10"/>
  <c r="K54" i="8"/>
  <c r="H54" i="8"/>
  <c r="L54" i="8"/>
  <c r="M54" i="8"/>
  <c r="B54" i="8"/>
  <c r="D54" i="8"/>
  <c r="E54" i="8"/>
  <c r="C54" i="8"/>
  <c r="G54" i="8"/>
  <c r="M20" i="3"/>
  <c r="B60" i="3" l="1"/>
  <c r="B72" i="3" s="1"/>
  <c r="L35" i="3"/>
  <c r="L49" i="3" s="1"/>
  <c r="L48" i="3"/>
  <c r="K50" i="3"/>
  <c r="S33" i="9"/>
  <c r="E56" i="10"/>
  <c r="C68" i="10" s="1"/>
  <c r="D68" i="10" s="1"/>
  <c r="E68" i="10" s="1"/>
  <c r="E60" i="7"/>
  <c r="E72" i="7" s="1"/>
  <c r="D72" i="7"/>
  <c r="E60" i="13"/>
  <c r="E72" i="13" s="1"/>
  <c r="D72" i="13"/>
  <c r="T33" i="9"/>
  <c r="F56" i="10"/>
  <c r="C67" i="10" s="1"/>
  <c r="D67" i="10" s="1"/>
  <c r="E67" i="10" s="1"/>
  <c r="Q33" i="9"/>
  <c r="C56" i="10"/>
  <c r="C70" i="10" s="1"/>
  <c r="D70" i="10" s="1"/>
  <c r="E70" i="10" s="1"/>
  <c r="U33" i="9"/>
  <c r="G56" i="10"/>
  <c r="C66" i="10" s="1"/>
  <c r="D66" i="10" s="1"/>
  <c r="E66" i="10" s="1"/>
  <c r="E60" i="8"/>
  <c r="E72" i="8" s="1"/>
  <c r="D72" i="8"/>
  <c r="P33" i="9"/>
  <c r="B56" i="10"/>
  <c r="C71" i="10" s="1"/>
  <c r="D71" i="10" s="1"/>
  <c r="E71" i="10" s="1"/>
  <c r="R33" i="9"/>
  <c r="D56" i="10"/>
  <c r="C69" i="10" s="1"/>
  <c r="D69" i="10" s="1"/>
  <c r="E69" i="10" s="1"/>
  <c r="Y33" i="9"/>
  <c r="K56" i="10"/>
  <c r="C62" i="10" s="1"/>
  <c r="D62" i="10" s="1"/>
  <c r="E62" i="10" s="1"/>
  <c r="AA33" i="9"/>
  <c r="M56" i="10"/>
  <c r="C60" i="10" s="1"/>
  <c r="D60" i="10" s="1"/>
  <c r="Z33" i="9"/>
  <c r="L56" i="10"/>
  <c r="C61" i="10" s="1"/>
  <c r="D61" i="10" s="1"/>
  <c r="E61" i="10" s="1"/>
  <c r="E60" i="11"/>
  <c r="E72" i="11" s="1"/>
  <c r="D72" i="11"/>
  <c r="W33" i="9"/>
  <c r="I56" i="10"/>
  <c r="C64" i="10" s="1"/>
  <c r="D64" i="10" s="1"/>
  <c r="E64" i="10" s="1"/>
  <c r="X33" i="9"/>
  <c r="J56" i="10"/>
  <c r="C63" i="10" s="1"/>
  <c r="D63" i="10" s="1"/>
  <c r="E63" i="10" s="1"/>
  <c r="V33" i="9"/>
  <c r="H56" i="10"/>
  <c r="C65" i="10" s="1"/>
  <c r="D65" i="10" s="1"/>
  <c r="E65" i="10" s="1"/>
  <c r="K3" i="9"/>
  <c r="J54" i="10"/>
  <c r="I54" i="10"/>
  <c r="L54" i="10"/>
  <c r="F54" i="10"/>
  <c r="M54" i="10"/>
  <c r="B54" i="10"/>
  <c r="D54" i="10"/>
  <c r="C54" i="10"/>
  <c r="E54" i="10"/>
  <c r="K54" i="10"/>
  <c r="G54" i="10"/>
  <c r="N20" i="3"/>
  <c r="M35" i="3" l="1"/>
  <c r="M49" i="3" s="1"/>
  <c r="I53" i="3" s="1"/>
  <c r="L52" i="3"/>
  <c r="L56" i="3" s="1"/>
  <c r="F52" i="3"/>
  <c r="F56" i="3" s="1"/>
  <c r="I52" i="3"/>
  <c r="I56" i="3" s="1"/>
  <c r="L50" i="3"/>
  <c r="H52" i="3"/>
  <c r="H56" i="3" s="1"/>
  <c r="C65" i="3" s="1"/>
  <c r="D65" i="3" s="1"/>
  <c r="E65" i="3" s="1"/>
  <c r="K52" i="3"/>
  <c r="K56" i="3" s="1"/>
  <c r="E60" i="10"/>
  <c r="E72" i="10" s="1"/>
  <c r="D72" i="10"/>
  <c r="L3" i="9"/>
  <c r="M3" i="9"/>
  <c r="C52" i="3" l="1"/>
  <c r="C56" i="3" s="1"/>
  <c r="C70" i="3" s="1"/>
  <c r="D70" i="3" s="1"/>
  <c r="E70" i="3" s="1"/>
  <c r="B52" i="3"/>
  <c r="B56" i="3" s="1"/>
  <c r="D52" i="3"/>
  <c r="D56" i="3" s="1"/>
  <c r="C69" i="3" s="1"/>
  <c r="D69" i="3" s="1"/>
  <c r="E69" i="3" s="1"/>
  <c r="E52" i="3"/>
  <c r="E56" i="3" s="1"/>
  <c r="C68" i="3" s="1"/>
  <c r="D68" i="3" s="1"/>
  <c r="E68" i="3" s="1"/>
  <c r="G52" i="3"/>
  <c r="G56" i="3" s="1"/>
  <c r="C66" i="3" s="1"/>
  <c r="D66" i="3" s="1"/>
  <c r="E66" i="3" s="1"/>
  <c r="J52" i="3"/>
  <c r="J56" i="3" s="1"/>
  <c r="C63" i="3" s="1"/>
  <c r="D63" i="3" s="1"/>
  <c r="E63" i="3" s="1"/>
  <c r="M53" i="3"/>
  <c r="M50" i="3"/>
  <c r="B53" i="3"/>
  <c r="E53" i="3"/>
  <c r="C53" i="3"/>
  <c r="D53" i="3"/>
  <c r="G53" i="3"/>
  <c r="H53" i="3"/>
  <c r="K53" i="3"/>
  <c r="H33" i="9"/>
  <c r="F53" i="3"/>
  <c r="L53" i="3"/>
  <c r="J53" i="3"/>
  <c r="L54" i="3"/>
  <c r="I54" i="3"/>
  <c r="K54" i="3"/>
  <c r="I33" i="9"/>
  <c r="C64" i="3"/>
  <c r="D64" i="3" s="1"/>
  <c r="E64" i="3" s="1"/>
  <c r="F33" i="9"/>
  <c r="C67" i="3"/>
  <c r="D67" i="3" s="1"/>
  <c r="E67" i="3" s="1"/>
  <c r="B33" i="9"/>
  <c r="C71" i="3"/>
  <c r="D71" i="3" s="1"/>
  <c r="E71" i="3" s="1"/>
  <c r="L33" i="9"/>
  <c r="C61" i="3"/>
  <c r="D61" i="3" s="1"/>
  <c r="E61" i="3" s="1"/>
  <c r="K33" i="9"/>
  <c r="C62" i="3"/>
  <c r="D62" i="3" s="1"/>
  <c r="E62" i="3" s="1"/>
  <c r="E33" i="9"/>
  <c r="M33" i="9"/>
  <c r="C60" i="3"/>
  <c r="D60" i="3" s="1"/>
  <c r="C33" i="9" l="1"/>
  <c r="J33" i="9"/>
  <c r="M54" i="3"/>
  <c r="B54" i="3"/>
  <c r="C54" i="3"/>
  <c r="D54" i="3"/>
  <c r="G54" i="3"/>
  <c r="E54" i="3"/>
  <c r="J54" i="3"/>
  <c r="F54" i="3"/>
  <c r="D33" i="9"/>
  <c r="G33" i="9"/>
  <c r="H54" i="3"/>
  <c r="E60" i="3"/>
  <c r="E72" i="3" s="1"/>
  <c r="D72" i="3"/>
</calcChain>
</file>

<file path=xl/sharedStrings.xml><?xml version="1.0" encoding="utf-8"?>
<sst xmlns="http://schemas.openxmlformats.org/spreadsheetml/2006/main" count="100" uniqueCount="21">
  <si>
    <t>WA</t>
  </si>
  <si>
    <t>SA</t>
  </si>
  <si>
    <t>Prod. WA</t>
  </si>
  <si>
    <t>SA_L4</t>
  </si>
  <si>
    <t>Prod. SA</t>
  </si>
  <si>
    <t>Prod. SA_L4</t>
  </si>
  <si>
    <t>RCA</t>
  </si>
  <si>
    <t>RCG</t>
  </si>
  <si>
    <t>CVT</t>
  </si>
  <si>
    <t>Selected</t>
  </si>
  <si>
    <t>CDF</t>
  </si>
  <si>
    <t>Incremental Payments</t>
  </si>
  <si>
    <t>Cumulative Payments</t>
  </si>
  <si>
    <t>Individual Dev. Factors</t>
  </si>
  <si>
    <t>Last Cum. Payments</t>
  </si>
  <si>
    <t>Ultimate Cost</t>
  </si>
  <si>
    <t>Claims Reserve</t>
  </si>
  <si>
    <t>Dev. Factors PAID CHL - SIFA</t>
  </si>
  <si>
    <t>Dev. Factors PAID CHL - AMASES</t>
  </si>
  <si>
    <t>1/CDF PAID CHL - SIFA</t>
  </si>
  <si>
    <t>1/CDF PAID CHL - AMASES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</si>
</sst>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00_-;\-* #,##0.0000_-;_-* &quot;-&quot;??_-;_-@_-"/>
    <numFmt numFmtId="167" formatCode="_-* #,##0.0000000_-;\-* #,##0.0000000_-;_-* &quot;-&quot;??_-;_-@_-"/>
    <numFmt numFmtId="168" formatCode="0.0%"/>
  </numFmts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3" fontId="0" fillId="0" borderId="0" xfId="0" applyNumberFormat="1"/>
    <xf numFmtId="164" fontId="0" fillId="3" borderId="0" xfId="1" applyNumberFormat="1" applyFont="1" applyFill="1" applyBorder="1"/>
    <xf numFmtId="164" fontId="0" fillId="0" borderId="0" xfId="1" applyNumberFormat="1" applyFont="1" applyBorder="1"/>
    <xf numFmtId="165" fontId="0" fillId="0" borderId="0" xfId="1" applyNumberFormat="1" applyFont="1"/>
    <xf numFmtId="164" fontId="0" fillId="3" borderId="1" xfId="1" applyNumberFormat="1" applyFont="1" applyFill="1" applyBorder="1"/>
    <xf numFmtId="164" fontId="0" fillId="3" borderId="2" xfId="1" applyNumberFormat="1" applyFont="1" applyFill="1" applyBorder="1"/>
    <xf numFmtId="164" fontId="0" fillId="3" borderId="3" xfId="1" applyNumberFormat="1" applyFont="1" applyFill="1" applyBorder="1"/>
    <xf numFmtId="164" fontId="0" fillId="3" borderId="4" xfId="1" applyNumberFormat="1" applyFont="1" applyFill="1" applyBorder="1"/>
    <xf numFmtId="0" fontId="0" fillId="0" borderId="5" xfId="0" applyBorder="1"/>
    <xf numFmtId="164" fontId="0" fillId="3" borderId="6" xfId="1" applyNumberFormat="1" applyFont="1" applyFill="1" applyBorder="1"/>
    <xf numFmtId="164" fontId="0" fillId="0" borderId="7" xfId="1" applyNumberFormat="1" applyFont="1" applyBorder="1"/>
    <xf numFmtId="0" fontId="0" fillId="0" borderId="8" xfId="0" applyBorder="1"/>
    <xf numFmtId="0" fontId="1" fillId="0" borderId="0" xfId="0" applyFont="1"/>
    <xf numFmtId="0" fontId="3" fillId="2" borderId="0" xfId="0" applyFont="1" applyFill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0" xfId="0" applyNumberFormat="1" applyBorder="1"/>
    <xf numFmtId="0" fontId="0" fillId="0" borderId="0" xfId="0" applyBorder="1"/>
    <xf numFmtId="3" fontId="0" fillId="0" borderId="6" xfId="0" applyNumberFormat="1" applyBorder="1"/>
    <xf numFmtId="0" fontId="0" fillId="0" borderId="7" xfId="0" applyBorder="1"/>
    <xf numFmtId="3" fontId="3" fillId="2" borderId="0" xfId="0" applyNumberFormat="1" applyFont="1" applyFill="1"/>
    <xf numFmtId="165" fontId="0" fillId="4" borderId="0" xfId="1" applyNumberFormat="1" applyFont="1" applyFill="1"/>
    <xf numFmtId="0" fontId="3" fillId="0" borderId="0" xfId="0" applyFont="1"/>
    <xf numFmtId="165" fontId="4" fillId="0" borderId="0" xfId="1" applyNumberFormat="1" applyFont="1"/>
    <xf numFmtId="165" fontId="4" fillId="4" borderId="0" xfId="1" applyNumberFormat="1" applyFont="1" applyFill="1"/>
    <xf numFmtId="10" fontId="0" fillId="0" borderId="0" xfId="2" applyNumberFormat="1" applyFont="1"/>
    <xf numFmtId="0" fontId="0" fillId="2" borderId="0" xfId="0" applyFill="1"/>
    <xf numFmtId="43" fontId="0" fillId="0" borderId="0" xfId="1" applyFont="1"/>
    <xf numFmtId="166" fontId="0" fillId="0" borderId="0" xfId="0" applyNumberFormat="1"/>
    <xf numFmtId="43" fontId="0" fillId="0" borderId="0" xfId="0" applyNumberFormat="1"/>
    <xf numFmtId="167" fontId="0" fillId="0" borderId="0" xfId="1" applyNumberFormat="1" applyFont="1"/>
    <xf numFmtId="168" fontId="0" fillId="0" borderId="0" xfId="2" applyNumberFormat="1" applyFont="1"/>
    <xf numFmtId="166" fontId="0" fillId="5" borderId="0" xfId="1" applyNumberFormat="1" applyFont="1" applyFill="1"/>
    <xf numFmtId="0" fontId="3" fillId="5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3" fillId="2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MTPL!$B$35:$M$35</c:f>
              <c:numCache>
                <c:formatCode>_-* #,##0.000_-;\-* #,##0.000_-;_-* "-"??_-;_-@_-</c:formatCode>
                <c:ptCount val="12"/>
                <c:pt idx="0">
                  <c:v>2.0282974196169148</c:v>
                </c:pt>
                <c:pt idx="1">
                  <c:v>1.2160231996475825</c:v>
                </c:pt>
                <c:pt idx="2">
                  <c:v>1.073317866507391</c:v>
                </c:pt>
                <c:pt idx="3">
                  <c:v>1.0362118012321537</c:v>
                </c:pt>
                <c:pt idx="4">
                  <c:v>1.0302356584560437</c:v>
                </c:pt>
                <c:pt idx="5">
                  <c:v>1.0165919400082364</c:v>
                </c:pt>
                <c:pt idx="6">
                  <c:v>1.0151535009515595</c:v>
                </c:pt>
                <c:pt idx="7">
                  <c:v>1.0113475648940662</c:v>
                </c:pt>
                <c:pt idx="8">
                  <c:v>1.0102503829512732</c:v>
                </c:pt>
                <c:pt idx="9">
                  <c:v>1.0033252837701321</c:v>
                </c:pt>
                <c:pt idx="10">
                  <c:v>1.0085498376415254</c:v>
                </c:pt>
                <c:pt idx="11">
                  <c:v>1.0124522638391824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3-4E98-B411-4FAE539A7346}"/>
            </c:ext>
          </c:extLst>
        </c:ser>
        <c:ser>
          <c:idx val="1"/>
          <c:order val="1"/>
          <c:marker>
            <c:symbol val="none"/>
          </c:marker>
          <c:val>
            <c:numRef>
              <c:f>MTPL!$B$36:$M$36</c:f>
              <c:numCache>
                <c:formatCode>_-* #,##0.000_-;\-* #,##0.000_-;_-* "-"??_-;_-@_-</c:formatCode>
                <c:ptCount val="12"/>
                <c:pt idx="0">
                  <c:v>2.1296261508729835</c:v>
                </c:pt>
                <c:pt idx="1">
                  <c:v>1.1974652966940986</c:v>
                </c:pt>
                <c:pt idx="2">
                  <c:v>1.0719934476814301</c:v>
                </c:pt>
                <c:pt idx="3">
                  <c:v>1.0329824700495323</c:v>
                </c:pt>
                <c:pt idx="4">
                  <c:v>1.0268331950712166</c:v>
                </c:pt>
                <c:pt idx="5">
                  <c:v>1.009904786338933</c:v>
                </c:pt>
                <c:pt idx="6">
                  <c:v>1.0114953875618273</c:v>
                </c:pt>
                <c:pt idx="7">
                  <c:v>1.0077499515007038</c:v>
                </c:pt>
                <c:pt idx="8">
                  <c:v>1.0048019411999829</c:v>
                </c:pt>
                <c:pt idx="9">
                  <c:v>1.0047593261210175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13-4E98-B411-4FAE539A7346}"/>
            </c:ext>
          </c:extLst>
        </c:ser>
        <c:ser>
          <c:idx val="2"/>
          <c:order val="2"/>
          <c:marker>
            <c:symbol val="none"/>
          </c:marker>
          <c:val>
            <c:numRef>
              <c:f>MTPL!$B$37:$M$37</c:f>
              <c:numCache>
                <c:formatCode>_-* #,##0.000_-;\-* #,##0.000_-;_-* "-"??_-;_-@_-</c:formatCode>
                <c:ptCount val="12"/>
                <c:pt idx="0">
                  <c:v>2.0622281062870993</c:v>
                </c:pt>
                <c:pt idx="1">
                  <c:v>1.1662535894623522</c:v>
                </c:pt>
                <c:pt idx="2">
                  <c:v>1.0664135237676928</c:v>
                </c:pt>
                <c:pt idx="3">
                  <c:v>1.0310641885004925</c:v>
                </c:pt>
                <c:pt idx="4">
                  <c:v>1.0126572884240004</c:v>
                </c:pt>
                <c:pt idx="5">
                  <c:v>1.0123563014270842</c:v>
                </c:pt>
                <c:pt idx="6">
                  <c:v>1.0110801335325594</c:v>
                </c:pt>
                <c:pt idx="7">
                  <c:v>1.0087341916704313</c:v>
                </c:pt>
                <c:pt idx="8">
                  <c:v>1.0053551937629057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3-4E98-B411-4FAE539A7346}"/>
            </c:ext>
          </c:extLst>
        </c:ser>
        <c:ser>
          <c:idx val="3"/>
          <c:order val="3"/>
          <c:marker>
            <c:symbol val="none"/>
          </c:marker>
          <c:val>
            <c:numRef>
              <c:f>MTPL!$B$38:$M$38</c:f>
              <c:numCache>
                <c:formatCode>_-* #,##0.000_-;\-* #,##0.000_-;_-* "-"??_-;_-@_-</c:formatCode>
                <c:ptCount val="12"/>
                <c:pt idx="0">
                  <c:v>2.1009800909582736</c:v>
                </c:pt>
                <c:pt idx="1">
                  <c:v>1.1810062947594349</c:v>
                </c:pt>
                <c:pt idx="2">
                  <c:v>1.0557784857884482</c:v>
                </c:pt>
                <c:pt idx="3">
                  <c:v>1.0247024630417849</c:v>
                </c:pt>
                <c:pt idx="4">
                  <c:v>1.0182892103027594</c:v>
                </c:pt>
                <c:pt idx="5">
                  <c:v>1.0193409912546454</c:v>
                </c:pt>
                <c:pt idx="6">
                  <c:v>1.0105166268412891</c:v>
                </c:pt>
                <c:pt idx="7">
                  <c:v>1.0076680112771106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13-4E98-B411-4FAE539A7346}"/>
            </c:ext>
          </c:extLst>
        </c:ser>
        <c:ser>
          <c:idx val="4"/>
          <c:order val="4"/>
          <c:marker>
            <c:symbol val="none"/>
          </c:marker>
          <c:val>
            <c:numRef>
              <c:f>MTPL!$B$39:$M$39</c:f>
              <c:numCache>
                <c:formatCode>_-* #,##0.000_-;\-* #,##0.000_-;_-* "-"??_-;_-@_-</c:formatCode>
                <c:ptCount val="12"/>
                <c:pt idx="0">
                  <c:v>2.0311474564863432</c:v>
                </c:pt>
                <c:pt idx="1">
                  <c:v>1.1711869656680589</c:v>
                </c:pt>
                <c:pt idx="2">
                  <c:v>1.0521991531894246</c:v>
                </c:pt>
                <c:pt idx="3">
                  <c:v>1.0230080848043046</c:v>
                </c:pt>
                <c:pt idx="4">
                  <c:v>1.0257281777464446</c:v>
                </c:pt>
                <c:pt idx="5">
                  <c:v>1.0111705293452484</c:v>
                </c:pt>
                <c:pt idx="6">
                  <c:v>1.0095961691479005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13-4E98-B411-4FAE539A7346}"/>
            </c:ext>
          </c:extLst>
        </c:ser>
        <c:ser>
          <c:idx val="5"/>
          <c:order val="5"/>
          <c:marker>
            <c:symbol val="none"/>
          </c:marker>
          <c:val>
            <c:numRef>
              <c:f>MTPL!$B$40:$M$40</c:f>
              <c:numCache>
                <c:formatCode>_-* #,##0.000_-;\-* #,##0.000_-;_-* "-"??_-;_-@_-</c:formatCode>
                <c:ptCount val="12"/>
                <c:pt idx="0">
                  <c:v>1.955184982843192</c:v>
                </c:pt>
                <c:pt idx="1">
                  <c:v>1.1814509355388039</c:v>
                </c:pt>
                <c:pt idx="2">
                  <c:v>1.0605556172585144</c:v>
                </c:pt>
                <c:pt idx="3">
                  <c:v>1.0319253342535448</c:v>
                </c:pt>
                <c:pt idx="4">
                  <c:v>1.021437377162792</c:v>
                </c:pt>
                <c:pt idx="5">
                  <c:v>1.017452571578791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13-4E98-B411-4FAE539A7346}"/>
            </c:ext>
          </c:extLst>
        </c:ser>
        <c:ser>
          <c:idx val="6"/>
          <c:order val="6"/>
          <c:marker>
            <c:symbol val="none"/>
          </c:marker>
          <c:val>
            <c:numRef>
              <c:f>MTPL!$B$41:$M$41</c:f>
              <c:numCache>
                <c:formatCode>_-* #,##0.000_-;\-* #,##0.000_-;_-* "-"??_-;_-@_-</c:formatCode>
                <c:ptCount val="12"/>
                <c:pt idx="0">
                  <c:v>2.0074880075836687</c:v>
                </c:pt>
                <c:pt idx="1">
                  <c:v>1.1964659712874268</c:v>
                </c:pt>
                <c:pt idx="2">
                  <c:v>1.0843006547935803</c:v>
                </c:pt>
                <c:pt idx="3">
                  <c:v>1.0444940013550876</c:v>
                </c:pt>
                <c:pt idx="4">
                  <c:v>1.0245423961507978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13-4E98-B411-4FAE539A7346}"/>
            </c:ext>
          </c:extLst>
        </c:ser>
        <c:ser>
          <c:idx val="7"/>
          <c:order val="7"/>
          <c:marker>
            <c:symbol val="none"/>
          </c:marker>
          <c:val>
            <c:numRef>
              <c:f>MTPL!$B$42:$M$42</c:f>
              <c:numCache>
                <c:formatCode>_-* #,##0.000_-;\-* #,##0.000_-;_-* "-"??_-;_-@_-</c:formatCode>
                <c:ptCount val="12"/>
                <c:pt idx="0">
                  <c:v>2.0707734054403759</c:v>
                </c:pt>
                <c:pt idx="1">
                  <c:v>1.217271534046459</c:v>
                </c:pt>
                <c:pt idx="2">
                  <c:v>1.0701079748773976</c:v>
                </c:pt>
                <c:pt idx="3">
                  <c:v>1.037657239071428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13-4E98-B411-4FAE539A7346}"/>
            </c:ext>
          </c:extLst>
        </c:ser>
        <c:ser>
          <c:idx val="8"/>
          <c:order val="8"/>
          <c:marker>
            <c:symbol val="none"/>
          </c:marker>
          <c:val>
            <c:numRef>
              <c:f>MTPL!$B$43:$M$43</c:f>
              <c:numCache>
                <c:formatCode>_-* #,##0.000_-;\-* #,##0.000_-;_-* "-"??_-;_-@_-</c:formatCode>
                <c:ptCount val="12"/>
                <c:pt idx="0">
                  <c:v>2.0219243631908066</c:v>
                </c:pt>
                <c:pt idx="1">
                  <c:v>1.1874506494912223</c:v>
                </c:pt>
                <c:pt idx="2">
                  <c:v>1.0761818904698714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13-4E98-B411-4FAE539A7346}"/>
            </c:ext>
          </c:extLst>
        </c:ser>
        <c:ser>
          <c:idx val="9"/>
          <c:order val="9"/>
          <c:marker>
            <c:symbol val="none"/>
          </c:marker>
          <c:val>
            <c:numRef>
              <c:f>MTPL!$B$44:$M$44</c:f>
              <c:numCache>
                <c:formatCode>_-* #,##0.000_-;\-* #,##0.000_-;_-* "-"??_-;_-@_-</c:formatCode>
                <c:ptCount val="12"/>
                <c:pt idx="0">
                  <c:v>1.9622667438819101</c:v>
                </c:pt>
                <c:pt idx="1">
                  <c:v>1.1802754542221885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13-4E98-B411-4FAE539A7346}"/>
            </c:ext>
          </c:extLst>
        </c:ser>
        <c:ser>
          <c:idx val="10"/>
          <c:order val="10"/>
          <c:marker>
            <c:symbol val="none"/>
          </c:marker>
          <c:val>
            <c:numRef>
              <c:f>MTPL!$B$45:$M$45</c:f>
              <c:numCache>
                <c:formatCode>_-* #,##0.000_-;\-* #,##0.000_-;_-* "-"??_-;_-@_-</c:formatCode>
                <c:ptCount val="12"/>
                <c:pt idx="0">
                  <c:v>1.9171316916670933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13-4E98-B411-4FAE539A7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5808"/>
        <c:axId val="192969536"/>
      </c:lineChart>
      <c:catAx>
        <c:axId val="192975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92969536"/>
        <c:crosses val="autoZero"/>
        <c:auto val="1"/>
        <c:lblAlgn val="ctr"/>
        <c:lblOffset val="100"/>
        <c:noMultiLvlLbl val="0"/>
      </c:catAx>
      <c:valAx>
        <c:axId val="192969536"/>
        <c:scaling>
          <c:orientation val="minMax"/>
          <c:max val="2.2000000000000002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192975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GTPL!$B$35:$M$35</c:f>
              <c:numCache>
                <c:formatCode>_-* #,##0.000_-;\-* #,##0.000_-;_-* "-"??_-;_-@_-</c:formatCode>
                <c:ptCount val="12"/>
                <c:pt idx="0">
                  <c:v>2.5461254612546127</c:v>
                </c:pt>
                <c:pt idx="1">
                  <c:v>1.2713768115942028</c:v>
                </c:pt>
                <c:pt idx="2">
                  <c:v>1.1316614420062696</c:v>
                </c:pt>
                <c:pt idx="3">
                  <c:v>1.1440443213296398</c:v>
                </c:pt>
                <c:pt idx="4">
                  <c:v>1.2209993396434073</c:v>
                </c:pt>
                <c:pt idx="5">
                  <c:v>1.2055164954029205</c:v>
                </c:pt>
                <c:pt idx="6">
                  <c:v>1.136533572603559</c:v>
                </c:pt>
                <c:pt idx="7">
                  <c:v>1.0634565789473684</c:v>
                </c:pt>
                <c:pt idx="8">
                  <c:v>1.0452689652783191</c:v>
                </c:pt>
                <c:pt idx="9">
                  <c:v>1.031883918672807</c:v>
                </c:pt>
                <c:pt idx="10">
                  <c:v>1.0469043426971991</c:v>
                </c:pt>
                <c:pt idx="11">
                  <c:v>1.3565969349415981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B-4BE6-9048-35A649C4E477}"/>
            </c:ext>
          </c:extLst>
        </c:ser>
        <c:ser>
          <c:idx val="1"/>
          <c:order val="1"/>
          <c:marker>
            <c:symbol val="none"/>
          </c:marker>
          <c:val>
            <c:numRef>
              <c:f>GTPL!$B$36:$M$36</c:f>
              <c:numCache>
                <c:formatCode>_-* #,##0.000_-;\-* #,##0.000_-;_-* "-"??_-;_-@_-</c:formatCode>
                <c:ptCount val="12"/>
                <c:pt idx="0">
                  <c:v>3.0753768844221105</c:v>
                </c:pt>
                <c:pt idx="1">
                  <c:v>1.1928104575163399</c:v>
                </c:pt>
                <c:pt idx="2">
                  <c:v>1.0953033268101762</c:v>
                </c:pt>
                <c:pt idx="3">
                  <c:v>1.2842594246917993</c:v>
                </c:pt>
                <c:pt idx="4">
                  <c:v>1.209515859766277</c:v>
                </c:pt>
                <c:pt idx="5">
                  <c:v>1.1159420289855073</c:v>
                </c:pt>
                <c:pt idx="6">
                  <c:v>1.076911358482787</c:v>
                </c:pt>
                <c:pt idx="7">
                  <c:v>1.0495706722137816</c:v>
                </c:pt>
                <c:pt idx="8">
                  <c:v>1.0566773036730044</c:v>
                </c:pt>
                <c:pt idx="9">
                  <c:v>1.0228540770309904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B-4BE6-9048-35A649C4E477}"/>
            </c:ext>
          </c:extLst>
        </c:ser>
        <c:ser>
          <c:idx val="2"/>
          <c:order val="2"/>
          <c:marker>
            <c:symbol val="none"/>
          </c:marker>
          <c:val>
            <c:numRef>
              <c:f>GTPL!$B$37:$M$37</c:f>
              <c:numCache>
                <c:formatCode>_-* #,##0.000_-;\-* #,##0.000_-;_-* "-"??_-;_-@_-</c:formatCode>
                <c:ptCount val="12"/>
                <c:pt idx="0">
                  <c:v>2.3834853090172237</c:v>
                </c:pt>
                <c:pt idx="1">
                  <c:v>1.1917109458023381</c:v>
                </c:pt>
                <c:pt idx="2">
                  <c:v>1.1512395220260387</c:v>
                </c:pt>
                <c:pt idx="3">
                  <c:v>1.1738187451587916</c:v>
                </c:pt>
                <c:pt idx="4">
                  <c:v>1.1244555892833574</c:v>
                </c:pt>
                <c:pt idx="5">
                  <c:v>1.1474402582159626</c:v>
                </c:pt>
                <c:pt idx="6">
                  <c:v>1.213079715811608</c:v>
                </c:pt>
                <c:pt idx="7">
                  <c:v>1.0595941631963237</c:v>
                </c:pt>
                <c:pt idx="8">
                  <c:v>1.1206425029229565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2B-4BE6-9048-35A649C4E477}"/>
            </c:ext>
          </c:extLst>
        </c:ser>
        <c:ser>
          <c:idx val="3"/>
          <c:order val="3"/>
          <c:marker>
            <c:symbol val="none"/>
          </c:marker>
          <c:val>
            <c:numRef>
              <c:f>GTPL!$B$38:$M$38</c:f>
              <c:numCache>
                <c:formatCode>_-* #,##0.000_-;\-* #,##0.000_-;_-* "-"??_-;_-@_-</c:formatCode>
                <c:ptCount val="12"/>
                <c:pt idx="0">
                  <c:v>2.5268817204301075</c:v>
                </c:pt>
                <c:pt idx="1">
                  <c:v>1.321418439716312</c:v>
                </c:pt>
                <c:pt idx="2">
                  <c:v>1.1316015457277802</c:v>
                </c:pt>
                <c:pt idx="3">
                  <c:v>1.1637260481881995</c:v>
                </c:pt>
                <c:pt idx="4">
                  <c:v>1.2607533420280406</c:v>
                </c:pt>
                <c:pt idx="5">
                  <c:v>1.4278021186115764</c:v>
                </c:pt>
                <c:pt idx="6">
                  <c:v>1.199149291260198</c:v>
                </c:pt>
                <c:pt idx="7">
                  <c:v>1.0611359001766429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2B-4BE6-9048-35A649C4E477}"/>
            </c:ext>
          </c:extLst>
        </c:ser>
        <c:ser>
          <c:idx val="4"/>
          <c:order val="4"/>
          <c:marker>
            <c:symbol val="none"/>
          </c:marker>
          <c:val>
            <c:numRef>
              <c:f>GTPL!$B$39:$M$39</c:f>
              <c:numCache>
                <c:formatCode>_-* #,##0.000_-;\-* #,##0.000_-;_-* "-"??_-;_-@_-</c:formatCode>
                <c:ptCount val="12"/>
                <c:pt idx="0">
                  <c:v>2.9801623083859332</c:v>
                </c:pt>
                <c:pt idx="1">
                  <c:v>1.3216338880484115</c:v>
                </c:pt>
                <c:pt idx="2">
                  <c:v>1.1130952380952381</c:v>
                </c:pt>
                <c:pt idx="3">
                  <c:v>1.1368702180172767</c:v>
                </c:pt>
                <c:pt idx="4">
                  <c:v>1.1594836546169554</c:v>
                </c:pt>
                <c:pt idx="5">
                  <c:v>1.1923770358665771</c:v>
                </c:pt>
                <c:pt idx="6">
                  <c:v>1.1663613780151343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2B-4BE6-9048-35A649C4E477}"/>
            </c:ext>
          </c:extLst>
        </c:ser>
        <c:ser>
          <c:idx val="5"/>
          <c:order val="5"/>
          <c:marker>
            <c:symbol val="none"/>
          </c:marker>
          <c:val>
            <c:numRef>
              <c:f>GTPL!$B$40:$M$40</c:f>
              <c:numCache>
                <c:formatCode>_-* #,##0.000_-;\-* #,##0.000_-;_-* "-"??_-;_-@_-</c:formatCode>
                <c:ptCount val="12"/>
                <c:pt idx="0">
                  <c:v>2.6642468239564425</c:v>
                </c:pt>
                <c:pt idx="1">
                  <c:v>1.2316076294277929</c:v>
                </c:pt>
                <c:pt idx="2">
                  <c:v>1.116529314159292</c:v>
                </c:pt>
                <c:pt idx="3">
                  <c:v>1.124440663104942</c:v>
                </c:pt>
                <c:pt idx="4">
                  <c:v>1.1417840896800575</c:v>
                </c:pt>
                <c:pt idx="5">
                  <c:v>1.1408312452782432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2B-4BE6-9048-35A649C4E477}"/>
            </c:ext>
          </c:extLst>
        </c:ser>
        <c:ser>
          <c:idx val="6"/>
          <c:order val="6"/>
          <c:marker>
            <c:symbol val="none"/>
          </c:marker>
          <c:val>
            <c:numRef>
              <c:f>GTPL!$B$41:$M$41</c:f>
              <c:numCache>
                <c:formatCode>_-* #,##0.000_-;\-* #,##0.000_-;_-* "-"??_-;_-@_-</c:formatCode>
                <c:ptCount val="12"/>
                <c:pt idx="0">
                  <c:v>2.9762949956101838</c:v>
                </c:pt>
                <c:pt idx="1">
                  <c:v>1.1785297935103245</c:v>
                </c:pt>
                <c:pt idx="2">
                  <c:v>1.0846727686312829</c:v>
                </c:pt>
                <c:pt idx="3">
                  <c:v>1.0917742740167191</c:v>
                </c:pt>
                <c:pt idx="4">
                  <c:v>1.2590540340031695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2B-4BE6-9048-35A649C4E477}"/>
            </c:ext>
          </c:extLst>
        </c:ser>
        <c:ser>
          <c:idx val="7"/>
          <c:order val="7"/>
          <c:marker>
            <c:symbol val="none"/>
          </c:marker>
          <c:val>
            <c:numRef>
              <c:f>GTPL!$B$42:$M$42</c:f>
              <c:numCache>
                <c:formatCode>_-* #,##0.000_-;\-* #,##0.000_-;_-* "-"??_-;_-@_-</c:formatCode>
                <c:ptCount val="12"/>
                <c:pt idx="0">
                  <c:v>2.8785529715762275</c:v>
                </c:pt>
                <c:pt idx="1">
                  <c:v>1.2131947935368044</c:v>
                </c:pt>
                <c:pt idx="2">
                  <c:v>1.1195164283017103</c:v>
                </c:pt>
                <c:pt idx="3">
                  <c:v>1.2207918527911847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2B-4BE6-9048-35A649C4E477}"/>
            </c:ext>
          </c:extLst>
        </c:ser>
        <c:ser>
          <c:idx val="8"/>
          <c:order val="8"/>
          <c:marker>
            <c:symbol val="none"/>
          </c:marker>
          <c:val>
            <c:numRef>
              <c:f>GTPL!$B$43:$M$43</c:f>
              <c:numCache>
                <c:formatCode>_-* #,##0.000_-;\-* #,##0.000_-;_-* "-"??_-;_-@_-</c:formatCode>
                <c:ptCount val="12"/>
                <c:pt idx="0">
                  <c:v>3.1426727403869013</c:v>
                </c:pt>
                <c:pt idx="1">
                  <c:v>2.2453326758080707</c:v>
                </c:pt>
                <c:pt idx="2">
                  <c:v>1.1405642100047797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2B-4BE6-9048-35A649C4E477}"/>
            </c:ext>
          </c:extLst>
        </c:ser>
        <c:ser>
          <c:idx val="9"/>
          <c:order val="9"/>
          <c:marker>
            <c:symbol val="none"/>
          </c:marker>
          <c:val>
            <c:numRef>
              <c:f>GTPL!$B$44:$M$44</c:f>
              <c:numCache>
                <c:formatCode>_-* #,##0.000_-;\-* #,##0.000_-;_-* "-"??_-;_-@_-</c:formatCode>
                <c:ptCount val="12"/>
                <c:pt idx="0">
                  <c:v>3.2209038079109544</c:v>
                </c:pt>
                <c:pt idx="1">
                  <c:v>1.3344113712345398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52B-4BE6-9048-35A649C4E477}"/>
            </c:ext>
          </c:extLst>
        </c:ser>
        <c:ser>
          <c:idx val="10"/>
          <c:order val="10"/>
          <c:marker>
            <c:symbol val="none"/>
          </c:marker>
          <c:val>
            <c:numRef>
              <c:f>GTPL!$B$45:$M$45</c:f>
              <c:numCache>
                <c:formatCode>_-* #,##0.000_-;\-* #,##0.000_-;_-* "-"??_-;_-@_-</c:formatCode>
                <c:ptCount val="12"/>
                <c:pt idx="0">
                  <c:v>3.1191952471031441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2B-4BE6-9048-35A649C4E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69144"/>
        <c:axId val="192976200"/>
      </c:lineChart>
      <c:catAx>
        <c:axId val="192969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2976200"/>
        <c:crosses val="autoZero"/>
        <c:auto val="1"/>
        <c:lblAlgn val="ctr"/>
        <c:lblOffset val="100"/>
        <c:noMultiLvlLbl val="0"/>
      </c:catAx>
      <c:valAx>
        <c:axId val="192976200"/>
        <c:scaling>
          <c:orientation val="minMax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192969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MOD!$B$35:$M$35</c:f>
              <c:numCache>
                <c:formatCode>_-* #,##0.000_-;\-* #,##0.000_-;_-* "-"??_-;_-@_-</c:formatCode>
                <c:ptCount val="12"/>
                <c:pt idx="0">
                  <c:v>1.4006683375104427</c:v>
                </c:pt>
                <c:pt idx="1">
                  <c:v>1.003817249194799</c:v>
                </c:pt>
                <c:pt idx="2">
                  <c:v>1.0001584472172709</c:v>
                </c:pt>
                <c:pt idx="3">
                  <c:v>1.0015842211572736</c:v>
                </c:pt>
                <c:pt idx="4">
                  <c:v>1.0004745146110956</c:v>
                </c:pt>
                <c:pt idx="5">
                  <c:v>1.0013833445318367</c:v>
                </c:pt>
                <c:pt idx="6">
                  <c:v>1.0006315124723713</c:v>
                </c:pt>
                <c:pt idx="7">
                  <c:v>1.0001972230987692</c:v>
                </c:pt>
                <c:pt idx="8">
                  <c:v>1.0008281736798517</c:v>
                </c:pt>
                <c:pt idx="9">
                  <c:v>1.0002758294585861</c:v>
                </c:pt>
                <c:pt idx="10">
                  <c:v>1.0001969667126256</c:v>
                </c:pt>
                <c:pt idx="11">
                  <c:v>1.0064001575423396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B-499A-9E34-42516211AFF6}"/>
            </c:ext>
          </c:extLst>
        </c:ser>
        <c:ser>
          <c:idx val="1"/>
          <c:order val="1"/>
          <c:marker>
            <c:symbol val="none"/>
          </c:marker>
          <c:val>
            <c:numRef>
              <c:f>MOD!$B$36:$M$36</c:f>
              <c:numCache>
                <c:formatCode>_-* #,##0.000_-;\-* #,##0.000_-;_-* "-"??_-;_-@_-</c:formatCode>
                <c:ptCount val="12"/>
                <c:pt idx="0">
                  <c:v>1.3934457924500943</c:v>
                </c:pt>
                <c:pt idx="1">
                  <c:v>1.0120364910333344</c:v>
                </c:pt>
                <c:pt idx="2">
                  <c:v>1.0046613655058951</c:v>
                </c:pt>
                <c:pt idx="3">
                  <c:v>1.0011940502183405</c:v>
                </c:pt>
                <c:pt idx="4">
                  <c:v>1.0017378266943811</c:v>
                </c:pt>
                <c:pt idx="5">
                  <c:v>1.0050343560786448</c:v>
                </c:pt>
                <c:pt idx="6">
                  <c:v>1.0021661138563596</c:v>
                </c:pt>
                <c:pt idx="7">
                  <c:v>1.0003039513677812</c:v>
                </c:pt>
                <c:pt idx="8">
                  <c:v>1.0003038590094198</c:v>
                </c:pt>
                <c:pt idx="9">
                  <c:v>1.0009788038342109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B-499A-9E34-42516211AFF6}"/>
            </c:ext>
          </c:extLst>
        </c:ser>
        <c:ser>
          <c:idx val="2"/>
          <c:order val="2"/>
          <c:marker>
            <c:symbol val="none"/>
          </c:marker>
          <c:val>
            <c:numRef>
              <c:f>MOD!$B$37:$M$37</c:f>
              <c:numCache>
                <c:formatCode>_-* #,##0.000_-;\-* #,##0.000_-;_-* "-"??_-;_-@_-</c:formatCode>
                <c:ptCount val="12"/>
                <c:pt idx="0">
                  <c:v>1.4147080745341614</c:v>
                </c:pt>
                <c:pt idx="1">
                  <c:v>1.0123283340943416</c:v>
                </c:pt>
                <c:pt idx="2">
                  <c:v>1.0049961834709598</c:v>
                </c:pt>
                <c:pt idx="3">
                  <c:v>1.000724987916868</c:v>
                </c:pt>
                <c:pt idx="4">
                  <c:v>1.001724911167075</c:v>
                </c:pt>
                <c:pt idx="5">
                  <c:v>1.0028584220132934</c:v>
                </c:pt>
                <c:pt idx="6">
                  <c:v>1.0013392857142858</c:v>
                </c:pt>
                <c:pt idx="7">
                  <c:v>1.0003429472890017</c:v>
                </c:pt>
                <c:pt idx="8">
                  <c:v>1.0010627721210874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B-499A-9E34-42516211AFF6}"/>
            </c:ext>
          </c:extLst>
        </c:ser>
        <c:ser>
          <c:idx val="3"/>
          <c:order val="3"/>
          <c:marker>
            <c:symbol val="none"/>
          </c:marker>
          <c:val>
            <c:numRef>
              <c:f>MOD!$B$38:$M$38</c:f>
              <c:numCache>
                <c:formatCode>_-* #,##0.000_-;\-* #,##0.000_-;_-* "-"??_-;_-@_-</c:formatCode>
                <c:ptCount val="12"/>
                <c:pt idx="0">
                  <c:v>1.4086674558649441</c:v>
                </c:pt>
                <c:pt idx="1">
                  <c:v>1.0066133216412729</c:v>
                </c:pt>
                <c:pt idx="2">
                  <c:v>1.0005444646098003</c:v>
                </c:pt>
                <c:pt idx="3">
                  <c:v>1.000906947215672</c:v>
                </c:pt>
                <c:pt idx="4">
                  <c:v>1.001812250815513</c:v>
                </c:pt>
                <c:pt idx="5">
                  <c:v>1.0002532561505064</c:v>
                </c:pt>
                <c:pt idx="6">
                  <c:v>1.000036170289724</c:v>
                </c:pt>
                <c:pt idx="7">
                  <c:v>1.000144675925926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5B-499A-9E34-42516211AFF6}"/>
            </c:ext>
          </c:extLst>
        </c:ser>
        <c:ser>
          <c:idx val="4"/>
          <c:order val="4"/>
          <c:marker>
            <c:symbol val="none"/>
          </c:marker>
          <c:val>
            <c:numRef>
              <c:f>MOD!$B$39:$M$39</c:f>
              <c:numCache>
                <c:formatCode>_-* #,##0.000_-;\-* #,##0.000_-;_-* "-"??_-;_-@_-</c:formatCode>
                <c:ptCount val="12"/>
                <c:pt idx="0">
                  <c:v>1.4659380692167578</c:v>
                </c:pt>
                <c:pt idx="1">
                  <c:v>1.0178216415790968</c:v>
                </c:pt>
                <c:pt idx="2">
                  <c:v>1.0007324729682594</c:v>
                </c:pt>
                <c:pt idx="3">
                  <c:v>1.0006970827088635</c:v>
                </c:pt>
                <c:pt idx="4">
                  <c:v>1.0004179582738322</c:v>
                </c:pt>
                <c:pt idx="5">
                  <c:v>1.0017407652403998</c:v>
                </c:pt>
                <c:pt idx="6">
                  <c:v>1.0001042644145555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5B-499A-9E34-42516211AFF6}"/>
            </c:ext>
          </c:extLst>
        </c:ser>
        <c:ser>
          <c:idx val="5"/>
          <c:order val="5"/>
          <c:marker>
            <c:symbol val="none"/>
          </c:marker>
          <c:val>
            <c:numRef>
              <c:f>MOD!$B$40:$M$40</c:f>
              <c:numCache>
                <c:formatCode>_-* #,##0.000_-;\-* #,##0.000_-;_-* "-"??_-;_-@_-</c:formatCode>
                <c:ptCount val="12"/>
                <c:pt idx="0">
                  <c:v>1.4093101565344013</c:v>
                </c:pt>
                <c:pt idx="1">
                  <c:v>1.0104613993736076</c:v>
                </c:pt>
                <c:pt idx="2">
                  <c:v>1.0059753954305799</c:v>
                </c:pt>
                <c:pt idx="3">
                  <c:v>1.0063210723588083</c:v>
                </c:pt>
                <c:pt idx="4">
                  <c:v>1.0005681638837158</c:v>
                </c:pt>
                <c:pt idx="5">
                  <c:v>1.001104135777154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5B-499A-9E34-42516211AFF6}"/>
            </c:ext>
          </c:extLst>
        </c:ser>
        <c:ser>
          <c:idx val="6"/>
          <c:order val="6"/>
          <c:marker>
            <c:symbol val="none"/>
          </c:marker>
          <c:val>
            <c:numRef>
              <c:f>MOD!$B$41:$M$41</c:f>
              <c:numCache>
                <c:formatCode>_-* #,##0.000_-;\-* #,##0.000_-;_-* "-"??_-;_-@_-</c:formatCode>
                <c:ptCount val="12"/>
                <c:pt idx="0">
                  <c:v>1.3595553838891035</c:v>
                </c:pt>
                <c:pt idx="1">
                  <c:v>1.0083651630417627</c:v>
                </c:pt>
                <c:pt idx="2">
                  <c:v>1.0047270222890057</c:v>
                </c:pt>
                <c:pt idx="3">
                  <c:v>1.0010905125408942</c:v>
                </c:pt>
                <c:pt idx="4">
                  <c:v>1.0023031434796141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5B-499A-9E34-42516211AFF6}"/>
            </c:ext>
          </c:extLst>
        </c:ser>
        <c:ser>
          <c:idx val="7"/>
          <c:order val="7"/>
          <c:marker>
            <c:symbol val="none"/>
          </c:marker>
          <c:val>
            <c:numRef>
              <c:f>MOD!$B$42:$M$42</c:f>
              <c:numCache>
                <c:formatCode>_-* #,##0.000_-;\-* #,##0.000_-;_-* "-"??_-;_-@_-</c:formatCode>
                <c:ptCount val="12"/>
                <c:pt idx="0">
                  <c:v>1.341664450943898</c:v>
                </c:pt>
                <c:pt idx="1">
                  <c:v>1.017666043825378</c:v>
                </c:pt>
                <c:pt idx="2">
                  <c:v>1.0057029989428588</c:v>
                </c:pt>
                <c:pt idx="3">
                  <c:v>1.0026002046969655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5B-499A-9E34-42516211AFF6}"/>
            </c:ext>
          </c:extLst>
        </c:ser>
        <c:ser>
          <c:idx val="8"/>
          <c:order val="8"/>
          <c:marker>
            <c:symbol val="none"/>
          </c:marker>
          <c:val>
            <c:numRef>
              <c:f>MOD!$B$43:$M$43</c:f>
              <c:numCache>
                <c:formatCode>_-* #,##0.000_-;\-* #,##0.000_-;_-* "-"??_-;_-@_-</c:formatCode>
                <c:ptCount val="12"/>
                <c:pt idx="0">
                  <c:v>1.3392728750507987</c:v>
                </c:pt>
                <c:pt idx="1">
                  <c:v>1.0088231175015172</c:v>
                </c:pt>
                <c:pt idx="2">
                  <c:v>1.0021517815826007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5B-499A-9E34-42516211AFF6}"/>
            </c:ext>
          </c:extLst>
        </c:ser>
        <c:ser>
          <c:idx val="9"/>
          <c:order val="9"/>
          <c:marker>
            <c:symbol val="none"/>
          </c:marker>
          <c:val>
            <c:numRef>
              <c:f>MOD!$B$44:$M$44</c:f>
              <c:numCache>
                <c:formatCode>_-* #,##0.000_-;\-* #,##0.000_-;_-* "-"??_-;_-@_-</c:formatCode>
                <c:ptCount val="12"/>
                <c:pt idx="0">
                  <c:v>1.3350822505478226</c:v>
                </c:pt>
                <c:pt idx="1">
                  <c:v>1.0167830227934718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5B-499A-9E34-42516211AFF6}"/>
            </c:ext>
          </c:extLst>
        </c:ser>
        <c:ser>
          <c:idx val="10"/>
          <c:order val="10"/>
          <c:marker>
            <c:symbol val="none"/>
          </c:marker>
          <c:val>
            <c:numRef>
              <c:f>MOD!$B$45:$M$45</c:f>
              <c:numCache>
                <c:formatCode>_-* #,##0.000_-;\-* #,##0.000_-;_-* "-"??_-;_-@_-</c:formatCode>
                <c:ptCount val="12"/>
                <c:pt idx="0">
                  <c:v>1.3224877952422609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5B-499A-9E34-42516211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1496"/>
        <c:axId val="192976592"/>
      </c:lineChart>
      <c:catAx>
        <c:axId val="192971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92976592"/>
        <c:crosses val="autoZero"/>
        <c:auto val="1"/>
        <c:lblAlgn val="ctr"/>
        <c:lblOffset val="100"/>
        <c:noMultiLvlLbl val="0"/>
      </c:catAx>
      <c:valAx>
        <c:axId val="192976592"/>
        <c:scaling>
          <c:orientation val="minMax"/>
          <c:max val="1.5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192971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MTPL_AMASES!$B$35:$M$35</c:f>
              <c:numCache>
                <c:formatCode>_-* #,##0.000_-;\-* #,##0.000_-;_-* "-"??_-;_-@_-</c:formatCode>
                <c:ptCount val="12"/>
                <c:pt idx="0">
                  <c:v>1.8922023469868758</c:v>
                </c:pt>
                <c:pt idx="1">
                  <c:v>1.2381931059801492</c:v>
                </c:pt>
                <c:pt idx="2">
                  <c:v>1.1010343010988952</c:v>
                </c:pt>
                <c:pt idx="3">
                  <c:v>1.0596454023485964</c:v>
                </c:pt>
                <c:pt idx="4">
                  <c:v>1.0374300852024549</c:v>
                </c:pt>
                <c:pt idx="5">
                  <c:v>1.0360555629676451</c:v>
                </c:pt>
                <c:pt idx="6">
                  <c:v>1.030460464095116</c:v>
                </c:pt>
                <c:pt idx="7">
                  <c:v>1.0228281690140846</c:v>
                </c:pt>
                <c:pt idx="8">
                  <c:v>1.0209506717834911</c:v>
                </c:pt>
                <c:pt idx="9">
                  <c:v>1.0144371115575366</c:v>
                </c:pt>
                <c:pt idx="10">
                  <c:v>1.0129781513233427</c:v>
                </c:pt>
                <c:pt idx="11">
                  <c:v>1.0316422971076309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5-475F-9CF7-DF36DE8B04B9}"/>
            </c:ext>
          </c:extLst>
        </c:ser>
        <c:ser>
          <c:idx val="1"/>
          <c:order val="1"/>
          <c:marker>
            <c:symbol val="none"/>
          </c:marker>
          <c:val>
            <c:numRef>
              <c:f>MTPL_AMASES!$B$36:$M$36</c:f>
              <c:numCache>
                <c:formatCode>_-* #,##0.000_-;\-* #,##0.000_-;_-* "-"??_-;_-@_-</c:formatCode>
                <c:ptCount val="12"/>
                <c:pt idx="0">
                  <c:v>1.8454471764388003</c:v>
                </c:pt>
                <c:pt idx="1">
                  <c:v>1.2183796974133723</c:v>
                </c:pt>
                <c:pt idx="2">
                  <c:v>1.0904747789536651</c:v>
                </c:pt>
                <c:pt idx="3">
                  <c:v>1.0592899700991065</c:v>
                </c:pt>
                <c:pt idx="4">
                  <c:v>1.0406903088588866</c:v>
                </c:pt>
                <c:pt idx="5">
                  <c:v>1.036957888399928</c:v>
                </c:pt>
                <c:pt idx="6">
                  <c:v>1.0254371269799787</c:v>
                </c:pt>
                <c:pt idx="7">
                  <c:v>1.0186620483337232</c:v>
                </c:pt>
                <c:pt idx="8">
                  <c:v>1.0233857323038114</c:v>
                </c:pt>
                <c:pt idx="9">
                  <c:v>1.0100339072720277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5-475F-9CF7-DF36DE8B04B9}"/>
            </c:ext>
          </c:extLst>
        </c:ser>
        <c:ser>
          <c:idx val="2"/>
          <c:order val="2"/>
          <c:marker>
            <c:symbol val="none"/>
          </c:marker>
          <c:val>
            <c:numRef>
              <c:f>MTPL_AMASES!$B$37:$M$37</c:f>
              <c:numCache>
                <c:formatCode>_-* #,##0.000_-;\-* #,##0.000_-;_-* "-"??_-;_-@_-</c:formatCode>
                <c:ptCount val="12"/>
                <c:pt idx="0">
                  <c:v>1.8279356534136246</c:v>
                </c:pt>
                <c:pt idx="1">
                  <c:v>1.2263873650758543</c:v>
                </c:pt>
                <c:pt idx="2">
                  <c:v>1.0941458437151468</c:v>
                </c:pt>
                <c:pt idx="3">
                  <c:v>1.0559746163388883</c:v>
                </c:pt>
                <c:pt idx="4">
                  <c:v>1.0449975662003768</c:v>
                </c:pt>
                <c:pt idx="5">
                  <c:v>1.0288599494498842</c:v>
                </c:pt>
                <c:pt idx="6">
                  <c:v>1.0293073740271947</c:v>
                </c:pt>
                <c:pt idx="7">
                  <c:v>1.0226751393765727</c:v>
                </c:pt>
                <c:pt idx="8">
                  <c:v>1.0114799853369771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5-475F-9CF7-DF36DE8B04B9}"/>
            </c:ext>
          </c:extLst>
        </c:ser>
        <c:ser>
          <c:idx val="3"/>
          <c:order val="3"/>
          <c:marker>
            <c:symbol val="none"/>
          </c:marker>
          <c:val>
            <c:numRef>
              <c:f>MTPL_AMASES!$B$38:$M$38</c:f>
              <c:numCache>
                <c:formatCode>_-* #,##0.000_-;\-* #,##0.000_-;_-* "-"??_-;_-@_-</c:formatCode>
                <c:ptCount val="12"/>
                <c:pt idx="0">
                  <c:v>1.9230898836964407</c:v>
                </c:pt>
                <c:pt idx="1">
                  <c:v>1.2141972319096999</c:v>
                </c:pt>
                <c:pt idx="2">
                  <c:v>1.0854723296786994</c:v>
                </c:pt>
                <c:pt idx="3">
                  <c:v>1.0574551336618947</c:v>
                </c:pt>
                <c:pt idx="4">
                  <c:v>1.0350482303882877</c:v>
                </c:pt>
                <c:pt idx="5">
                  <c:v>1.0291781036847585</c:v>
                </c:pt>
                <c:pt idx="6">
                  <c:v>1.0165039981378088</c:v>
                </c:pt>
                <c:pt idx="7">
                  <c:v>1.0189984873456301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25-475F-9CF7-DF36DE8B04B9}"/>
            </c:ext>
          </c:extLst>
        </c:ser>
        <c:ser>
          <c:idx val="4"/>
          <c:order val="4"/>
          <c:marker>
            <c:symbol val="none"/>
          </c:marker>
          <c:val>
            <c:numRef>
              <c:f>MTPL_AMASES!$B$39:$M$39</c:f>
              <c:numCache>
                <c:formatCode>_-* #,##0.000_-;\-* #,##0.000_-;_-* "-"??_-;_-@_-</c:formatCode>
                <c:ptCount val="12"/>
                <c:pt idx="0">
                  <c:v>1.9301645059097443</c:v>
                </c:pt>
                <c:pt idx="1">
                  <c:v>1.2204197949143867</c:v>
                </c:pt>
                <c:pt idx="2">
                  <c:v>1.0955520428628527</c:v>
                </c:pt>
                <c:pt idx="3">
                  <c:v>1.0509712088345495</c:v>
                </c:pt>
                <c:pt idx="4">
                  <c:v>1.0380994375618611</c:v>
                </c:pt>
                <c:pt idx="5">
                  <c:v>1.0290208057502377</c:v>
                </c:pt>
                <c:pt idx="6">
                  <c:v>1.0189176925216272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25-475F-9CF7-DF36DE8B04B9}"/>
            </c:ext>
          </c:extLst>
        </c:ser>
        <c:ser>
          <c:idx val="5"/>
          <c:order val="5"/>
          <c:marker>
            <c:symbol val="none"/>
          </c:marker>
          <c:val>
            <c:numRef>
              <c:f>MTPL_AMASES!$B$40:$M$40</c:f>
              <c:numCache>
                <c:formatCode>_-* #,##0.000_-;\-* #,##0.000_-;_-* "-"??_-;_-@_-</c:formatCode>
                <c:ptCount val="12"/>
                <c:pt idx="0">
                  <c:v>1.9725511920883088</c:v>
                </c:pt>
                <c:pt idx="1">
                  <c:v>1.2451325279649503</c:v>
                </c:pt>
                <c:pt idx="2">
                  <c:v>1.0785131423301322</c:v>
                </c:pt>
                <c:pt idx="3">
                  <c:v>1.0518902707291531</c:v>
                </c:pt>
                <c:pt idx="4">
                  <c:v>1.0343086720116874</c:v>
                </c:pt>
                <c:pt idx="5">
                  <c:v>1.0355812549479717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25-475F-9CF7-DF36DE8B04B9}"/>
            </c:ext>
          </c:extLst>
        </c:ser>
        <c:ser>
          <c:idx val="6"/>
          <c:order val="6"/>
          <c:marker>
            <c:symbol val="none"/>
          </c:marker>
          <c:val>
            <c:numRef>
              <c:f>MTPL_AMASES!$B$41:$M$41</c:f>
              <c:numCache>
                <c:formatCode>_-* #,##0.000_-;\-* #,##0.000_-;_-* "-"??_-;_-@_-</c:formatCode>
                <c:ptCount val="12"/>
                <c:pt idx="0">
                  <c:v>1.9140580578734652</c:v>
                </c:pt>
                <c:pt idx="1">
                  <c:v>1.2202647858149309</c:v>
                </c:pt>
                <c:pt idx="2">
                  <c:v>1.1031494210901172</c:v>
                </c:pt>
                <c:pt idx="3">
                  <c:v>1.0578397794421341</c:v>
                </c:pt>
                <c:pt idx="4">
                  <c:v>1.045494140564434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25-475F-9CF7-DF36DE8B04B9}"/>
            </c:ext>
          </c:extLst>
        </c:ser>
        <c:ser>
          <c:idx val="7"/>
          <c:order val="7"/>
          <c:marker>
            <c:symbol val="none"/>
          </c:marker>
          <c:val>
            <c:numRef>
              <c:f>MTPL_AMASES!$B$42:$M$42</c:f>
              <c:numCache>
                <c:formatCode>_-* #,##0.000_-;\-* #,##0.000_-;_-* "-"??_-;_-@_-</c:formatCode>
                <c:ptCount val="12"/>
                <c:pt idx="0">
                  <c:v>1.9399364977056406</c:v>
                </c:pt>
                <c:pt idx="1">
                  <c:v>1.2540903607748231</c:v>
                </c:pt>
                <c:pt idx="2">
                  <c:v>1.0978010531101068</c:v>
                </c:pt>
                <c:pt idx="3">
                  <c:v>1.0602134407621671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25-475F-9CF7-DF36DE8B04B9}"/>
            </c:ext>
          </c:extLst>
        </c:ser>
        <c:ser>
          <c:idx val="8"/>
          <c:order val="8"/>
          <c:marker>
            <c:symbol val="none"/>
          </c:marker>
          <c:val>
            <c:numRef>
              <c:f>MTPL_AMASES!$B$43:$M$43</c:f>
              <c:numCache>
                <c:formatCode>_-* #,##0.000_-;\-* #,##0.000_-;_-* "-"??_-;_-@_-</c:formatCode>
                <c:ptCount val="12"/>
                <c:pt idx="0">
                  <c:v>1.9599327799921626</c:v>
                </c:pt>
                <c:pt idx="1">
                  <c:v>1.2790710241754915</c:v>
                </c:pt>
                <c:pt idx="2">
                  <c:v>1.1188522339189524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25-475F-9CF7-DF36DE8B04B9}"/>
            </c:ext>
          </c:extLst>
        </c:ser>
        <c:ser>
          <c:idx val="9"/>
          <c:order val="9"/>
          <c:marker>
            <c:symbol val="none"/>
          </c:marker>
          <c:val>
            <c:numRef>
              <c:f>MTPL_AMASES!$B$44:$M$44</c:f>
              <c:numCache>
                <c:formatCode>_-* #,##0.000_-;\-* #,##0.000_-;_-* "-"??_-;_-@_-</c:formatCode>
                <c:ptCount val="12"/>
                <c:pt idx="0">
                  <c:v>2.039247436941654</c:v>
                </c:pt>
                <c:pt idx="1">
                  <c:v>1.2549200789304762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25-475F-9CF7-DF36DE8B04B9}"/>
            </c:ext>
          </c:extLst>
        </c:ser>
        <c:ser>
          <c:idx val="10"/>
          <c:order val="10"/>
          <c:marker>
            <c:symbol val="none"/>
          </c:marker>
          <c:val>
            <c:numRef>
              <c:f>MTPL_AMASES!$B$45:$M$45</c:f>
              <c:numCache>
                <c:formatCode>_-* #,##0.000_-;\-* #,##0.000_-;_-* "-"??_-;_-@_-</c:formatCode>
                <c:ptCount val="12"/>
                <c:pt idx="0">
                  <c:v>2.0069892439864669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25-475F-9CF7-DF36DE8B0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0320"/>
        <c:axId val="192971104"/>
      </c:lineChart>
      <c:catAx>
        <c:axId val="192970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2971104"/>
        <c:crosses val="autoZero"/>
        <c:auto val="1"/>
        <c:lblAlgn val="ctr"/>
        <c:lblOffset val="100"/>
        <c:noMultiLvlLbl val="0"/>
      </c:catAx>
      <c:valAx>
        <c:axId val="192971104"/>
        <c:scaling>
          <c:orientation val="minMax"/>
          <c:max val="2.2000000000000002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19297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GTPL_AMASES!$B$35:$M$35</c:f>
              <c:numCache>
                <c:formatCode>_-* #,##0.000_-;\-* #,##0.000_-;_-* "-"??_-;_-@_-</c:formatCode>
                <c:ptCount val="12"/>
                <c:pt idx="0">
                  <c:v>2.6090513603012795</c:v>
                </c:pt>
                <c:pt idx="1">
                  <c:v>1.3878104623960976</c:v>
                </c:pt>
                <c:pt idx="2">
                  <c:v>1.1886667264413162</c:v>
                </c:pt>
                <c:pt idx="3">
                  <c:v>1.1446006698246989</c:v>
                </c:pt>
                <c:pt idx="4">
                  <c:v>1.1482384573816082</c:v>
                </c:pt>
                <c:pt idx="5">
                  <c:v>1.117036662916963</c:v>
                </c:pt>
                <c:pt idx="6">
                  <c:v>1.0874899808866145</c:v>
                </c:pt>
                <c:pt idx="7">
                  <c:v>1.0830309558906905</c:v>
                </c:pt>
                <c:pt idx="8">
                  <c:v>1.0586659686777473</c:v>
                </c:pt>
                <c:pt idx="9">
                  <c:v>1.046621448998261</c:v>
                </c:pt>
                <c:pt idx="10">
                  <c:v>1.0275336756013314</c:v>
                </c:pt>
                <c:pt idx="11">
                  <c:v>1.1413531965184933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9-45C5-AA0B-4A88E8FF197E}"/>
            </c:ext>
          </c:extLst>
        </c:ser>
        <c:ser>
          <c:idx val="1"/>
          <c:order val="1"/>
          <c:marker>
            <c:symbol val="none"/>
          </c:marker>
          <c:val>
            <c:numRef>
              <c:f>GTPL_AMASES!$B$36:$M$36</c:f>
              <c:numCache>
                <c:formatCode>_-* #,##0.000_-;\-* #,##0.000_-;_-* "-"??_-;_-@_-</c:formatCode>
                <c:ptCount val="12"/>
                <c:pt idx="0">
                  <c:v>2.2977041993539453</c:v>
                </c:pt>
                <c:pt idx="1">
                  <c:v>1.4110159917656215</c:v>
                </c:pt>
                <c:pt idx="2">
                  <c:v>1.2145894493372476</c:v>
                </c:pt>
                <c:pt idx="3">
                  <c:v>1.1679752731960271</c:v>
                </c:pt>
                <c:pt idx="4">
                  <c:v>1.206752536590872</c:v>
                </c:pt>
                <c:pt idx="5">
                  <c:v>1.1092623001933111</c:v>
                </c:pt>
                <c:pt idx="6">
                  <c:v>1.0712351612933448</c:v>
                </c:pt>
                <c:pt idx="7">
                  <c:v>1.0585827487886368</c:v>
                </c:pt>
                <c:pt idx="8">
                  <c:v>1.0558860466653448</c:v>
                </c:pt>
                <c:pt idx="9">
                  <c:v>1.0378885098125137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9-45C5-AA0B-4A88E8FF197E}"/>
            </c:ext>
          </c:extLst>
        </c:ser>
        <c:ser>
          <c:idx val="2"/>
          <c:order val="2"/>
          <c:marker>
            <c:symbol val="none"/>
          </c:marker>
          <c:val>
            <c:numRef>
              <c:f>GTPL_AMASES!$B$37:$M$37</c:f>
              <c:numCache>
                <c:formatCode>_-* #,##0.000_-;\-* #,##0.000_-;_-* "-"??_-;_-@_-</c:formatCode>
                <c:ptCount val="12"/>
                <c:pt idx="0">
                  <c:v>2.4044117647058822</c:v>
                </c:pt>
                <c:pt idx="1">
                  <c:v>1.3466608810645508</c:v>
                </c:pt>
                <c:pt idx="2">
                  <c:v>1.2238963988154603</c:v>
                </c:pt>
                <c:pt idx="3">
                  <c:v>1.1765059863348588</c:v>
                </c:pt>
                <c:pt idx="4">
                  <c:v>1.1219364050978218</c:v>
                </c:pt>
                <c:pt idx="5">
                  <c:v>1.124269852878323</c:v>
                </c:pt>
                <c:pt idx="6">
                  <c:v>1.0700931816069814</c:v>
                </c:pt>
                <c:pt idx="7">
                  <c:v>1.0429942842706919</c:v>
                </c:pt>
                <c:pt idx="8">
                  <c:v>1.0524244213330911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9-45C5-AA0B-4A88E8FF197E}"/>
            </c:ext>
          </c:extLst>
        </c:ser>
        <c:ser>
          <c:idx val="3"/>
          <c:order val="3"/>
          <c:marker>
            <c:symbol val="none"/>
          </c:marker>
          <c:val>
            <c:numRef>
              <c:f>GTPL_AMASES!$B$38:$M$38</c:f>
              <c:numCache>
                <c:formatCode>_-* #,##0.000_-;\-* #,##0.000_-;_-* "-"??_-;_-@_-</c:formatCode>
                <c:ptCount val="12"/>
                <c:pt idx="0">
                  <c:v>2.5414569536423839</c:v>
                </c:pt>
                <c:pt idx="1">
                  <c:v>1.4680008338544923</c:v>
                </c:pt>
                <c:pt idx="2">
                  <c:v>1.3218545867651235</c:v>
                </c:pt>
                <c:pt idx="3">
                  <c:v>1.1641940162217328</c:v>
                </c:pt>
                <c:pt idx="4">
                  <c:v>1.127988631435189</c:v>
                </c:pt>
                <c:pt idx="5">
                  <c:v>1.1128036060504423</c:v>
                </c:pt>
                <c:pt idx="6">
                  <c:v>1.0916281941953128</c:v>
                </c:pt>
                <c:pt idx="7">
                  <c:v>1.0543935026802789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9-45C5-AA0B-4A88E8FF197E}"/>
            </c:ext>
          </c:extLst>
        </c:ser>
        <c:ser>
          <c:idx val="4"/>
          <c:order val="4"/>
          <c:marker>
            <c:symbol val="none"/>
          </c:marker>
          <c:val>
            <c:numRef>
              <c:f>GTPL_AMASES!$B$39:$M$39</c:f>
              <c:numCache>
                <c:formatCode>_-* #,##0.000_-;\-* #,##0.000_-;_-* "-"??_-;_-@_-</c:formatCode>
                <c:ptCount val="12"/>
                <c:pt idx="0">
                  <c:v>2.8021204914783988</c:v>
                </c:pt>
                <c:pt idx="1">
                  <c:v>1.4834329361009935</c:v>
                </c:pt>
                <c:pt idx="2">
                  <c:v>1.2274016686531586</c:v>
                </c:pt>
                <c:pt idx="3">
                  <c:v>1.1716951999922314</c:v>
                </c:pt>
                <c:pt idx="4">
                  <c:v>1.1269186142880823</c:v>
                </c:pt>
                <c:pt idx="5">
                  <c:v>1.0937017370967979</c:v>
                </c:pt>
                <c:pt idx="6">
                  <c:v>1.0858622196819421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89-45C5-AA0B-4A88E8FF197E}"/>
            </c:ext>
          </c:extLst>
        </c:ser>
        <c:ser>
          <c:idx val="5"/>
          <c:order val="5"/>
          <c:marker>
            <c:symbol val="none"/>
          </c:marker>
          <c:val>
            <c:numRef>
              <c:f>GTPL_AMASES!$B$40:$M$40</c:f>
              <c:numCache>
                <c:formatCode>_-* #,##0.000_-;\-* #,##0.000_-;_-* "-"??_-;_-@_-</c:formatCode>
                <c:ptCount val="12"/>
                <c:pt idx="0">
                  <c:v>2.8883768838772634</c:v>
                </c:pt>
                <c:pt idx="1">
                  <c:v>1.4444903245181029</c:v>
                </c:pt>
                <c:pt idx="2">
                  <c:v>1.2493600654877146</c:v>
                </c:pt>
                <c:pt idx="3">
                  <c:v>1.1693048506531325</c:v>
                </c:pt>
                <c:pt idx="4">
                  <c:v>1.1019291832323825</c:v>
                </c:pt>
                <c:pt idx="5">
                  <c:v>1.1077237248871992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89-45C5-AA0B-4A88E8FF197E}"/>
            </c:ext>
          </c:extLst>
        </c:ser>
        <c:ser>
          <c:idx val="6"/>
          <c:order val="6"/>
          <c:marker>
            <c:symbol val="none"/>
          </c:marker>
          <c:val>
            <c:numRef>
              <c:f>GTPL_AMASES!$B$41:$M$41</c:f>
              <c:numCache>
                <c:formatCode>_-* #,##0.000_-;\-* #,##0.000_-;_-* "-"??_-;_-@_-</c:formatCode>
                <c:ptCount val="12"/>
                <c:pt idx="0">
                  <c:v>2.8164398185214838</c:v>
                </c:pt>
                <c:pt idx="1">
                  <c:v>1.7346397301292498</c:v>
                </c:pt>
                <c:pt idx="2">
                  <c:v>1.1950289522560908</c:v>
                </c:pt>
                <c:pt idx="3">
                  <c:v>1.108720893025297</c:v>
                </c:pt>
                <c:pt idx="4">
                  <c:v>1.193752937587097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89-45C5-AA0B-4A88E8FF197E}"/>
            </c:ext>
          </c:extLst>
        </c:ser>
        <c:ser>
          <c:idx val="7"/>
          <c:order val="7"/>
          <c:marker>
            <c:symbol val="none"/>
          </c:marker>
          <c:val>
            <c:numRef>
              <c:f>GTPL_AMASES!$B$42:$M$42</c:f>
              <c:numCache>
                <c:formatCode>_-* #,##0.000_-;\-* #,##0.000_-;_-* "-"??_-;_-@_-</c:formatCode>
                <c:ptCount val="12"/>
                <c:pt idx="0">
                  <c:v>2.7791452226448872</c:v>
                </c:pt>
                <c:pt idx="1">
                  <c:v>1.4391103059581321</c:v>
                </c:pt>
                <c:pt idx="2">
                  <c:v>1.2393593957619413</c:v>
                </c:pt>
                <c:pt idx="3">
                  <c:v>1.1264784218129289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89-45C5-AA0B-4A88E8FF197E}"/>
            </c:ext>
          </c:extLst>
        </c:ser>
        <c:ser>
          <c:idx val="8"/>
          <c:order val="8"/>
          <c:marker>
            <c:symbol val="none"/>
          </c:marker>
          <c:val>
            <c:numRef>
              <c:f>GTPL_AMASES!$B$43:$M$43</c:f>
              <c:numCache>
                <c:formatCode>_-* #,##0.000_-;\-* #,##0.000_-;_-* "-"??_-;_-@_-</c:formatCode>
                <c:ptCount val="12"/>
                <c:pt idx="0">
                  <c:v>2.4413108015528664</c:v>
                </c:pt>
                <c:pt idx="1">
                  <c:v>1.3887329872316541</c:v>
                </c:pt>
                <c:pt idx="2">
                  <c:v>1.1870842805422244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89-45C5-AA0B-4A88E8FF197E}"/>
            </c:ext>
          </c:extLst>
        </c:ser>
        <c:ser>
          <c:idx val="9"/>
          <c:order val="9"/>
          <c:marker>
            <c:symbol val="none"/>
          </c:marker>
          <c:val>
            <c:numRef>
              <c:f>GTPL_AMASES!$B$44:$M$44</c:f>
              <c:numCache>
                <c:formatCode>_-* #,##0.000_-;\-* #,##0.000_-;_-* "-"??_-;_-@_-</c:formatCode>
                <c:ptCount val="12"/>
                <c:pt idx="0">
                  <c:v>2.7433685923515054</c:v>
                </c:pt>
                <c:pt idx="1">
                  <c:v>1.3899236761972555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89-45C5-AA0B-4A88E8FF197E}"/>
            </c:ext>
          </c:extLst>
        </c:ser>
        <c:ser>
          <c:idx val="10"/>
          <c:order val="10"/>
          <c:marker>
            <c:symbol val="none"/>
          </c:marker>
          <c:val>
            <c:numRef>
              <c:f>GTPL_AMASES!$B$45:$M$45</c:f>
              <c:numCache>
                <c:formatCode>_-* #,##0.000_-;\-* #,##0.000_-;_-* "-"??_-;_-@_-</c:formatCode>
                <c:ptCount val="12"/>
                <c:pt idx="0">
                  <c:v>2.6036117381489841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89-45C5-AA0B-4A88E8FF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71888"/>
        <c:axId val="189023040"/>
      </c:lineChart>
      <c:catAx>
        <c:axId val="19297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9023040"/>
        <c:crosses val="autoZero"/>
        <c:auto val="1"/>
        <c:lblAlgn val="ctr"/>
        <c:lblOffset val="100"/>
        <c:noMultiLvlLbl val="0"/>
      </c:catAx>
      <c:valAx>
        <c:axId val="189023040"/>
        <c:scaling>
          <c:orientation val="minMax"/>
          <c:max val="3.5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192971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MOD_AMASES!$B$35:$M$35</c:f>
              <c:numCache>
                <c:formatCode>_-* #,##0.000_-;\-* #,##0.000_-;_-* "-"??_-;_-@_-</c:formatCode>
                <c:ptCount val="12"/>
                <c:pt idx="0">
                  <c:v>1.4080823607936732</c:v>
                </c:pt>
                <c:pt idx="1">
                  <c:v>1.0038065415056667</c:v>
                </c:pt>
                <c:pt idx="2">
                  <c:v>1.0002575770584698</c:v>
                </c:pt>
                <c:pt idx="3">
                  <c:v>1.0001144492131615</c:v>
                </c:pt>
                <c:pt idx="4">
                  <c:v>1.0001001316015334</c:v>
                </c:pt>
                <c:pt idx="5">
                  <c:v>1.001859400700851</c:v>
                </c:pt>
                <c:pt idx="6">
                  <c:v>1.0003997430223428</c:v>
                </c:pt>
                <c:pt idx="7">
                  <c:v>1.000142708318468</c:v>
                </c:pt>
                <c:pt idx="8">
                  <c:v>1.0001426879557096</c:v>
                </c:pt>
                <c:pt idx="9">
                  <c:v>1.0001141340790092</c:v>
                </c:pt>
                <c:pt idx="10">
                  <c:v>1.0001109510246327</c:v>
                </c:pt>
                <c:pt idx="11">
                  <c:v>1.0008558129509857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C-49C2-9006-9808462C61CB}"/>
            </c:ext>
          </c:extLst>
        </c:ser>
        <c:ser>
          <c:idx val="1"/>
          <c:order val="1"/>
          <c:marker>
            <c:symbol val="none"/>
          </c:marker>
          <c:val>
            <c:numRef>
              <c:f>MOD_AMASES!$B$36:$M$36</c:f>
              <c:numCache>
                <c:formatCode>_-* #,##0.000_-;\-* #,##0.000_-;_-* "-"??_-;_-@_-</c:formatCode>
                <c:ptCount val="12"/>
                <c:pt idx="0">
                  <c:v>1.425925925925926</c:v>
                </c:pt>
                <c:pt idx="1">
                  <c:v>1.0050726369744776</c:v>
                </c:pt>
                <c:pt idx="2">
                  <c:v>1.0001321213402388</c:v>
                </c:pt>
                <c:pt idx="3">
                  <c:v>1.0009643583714232</c:v>
                </c:pt>
                <c:pt idx="4">
                  <c:v>1.000131976613744</c:v>
                </c:pt>
                <c:pt idx="5">
                  <c:v>1.0001583510378591</c:v>
                </c:pt>
                <c:pt idx="6">
                  <c:v>1.0001715197973426</c:v>
                </c:pt>
                <c:pt idx="7">
                  <c:v>1.0004748964461916</c:v>
                </c:pt>
                <c:pt idx="8">
                  <c:v>1.0010020832783946</c:v>
                </c:pt>
                <c:pt idx="9">
                  <c:v>1.0002897863484286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C-49C2-9006-9808462C61CB}"/>
            </c:ext>
          </c:extLst>
        </c:ser>
        <c:ser>
          <c:idx val="2"/>
          <c:order val="2"/>
          <c:marker>
            <c:symbol val="none"/>
          </c:marker>
          <c:val>
            <c:numRef>
              <c:f>MOD_AMASES!$B$37:$M$37</c:f>
              <c:numCache>
                <c:formatCode>_-* #,##0.000_-;\-* #,##0.000_-;_-* "-"??_-;_-@_-</c:formatCode>
                <c:ptCount val="12"/>
                <c:pt idx="0">
                  <c:v>1.4163281482215395</c:v>
                </c:pt>
                <c:pt idx="1">
                  <c:v>1.0053398624227585</c:v>
                </c:pt>
                <c:pt idx="2">
                  <c:v>1.0022382520758917</c:v>
                </c:pt>
                <c:pt idx="3">
                  <c:v>1.0008215595746404</c:v>
                </c:pt>
                <c:pt idx="4">
                  <c:v>1.0021620496693335</c:v>
                </c:pt>
                <c:pt idx="5">
                  <c:v>1.0004730096101708</c:v>
                </c:pt>
                <c:pt idx="6">
                  <c:v>1.0006226937269374</c:v>
                </c:pt>
                <c:pt idx="7">
                  <c:v>1.0005185885172978</c:v>
                </c:pt>
                <c:pt idx="8">
                  <c:v>1.0002188461051154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C-49C2-9006-9808462C61CB}"/>
            </c:ext>
          </c:extLst>
        </c:ser>
        <c:ser>
          <c:idx val="3"/>
          <c:order val="3"/>
          <c:marker>
            <c:symbol val="none"/>
          </c:marker>
          <c:val>
            <c:numRef>
              <c:f>MOD_AMASES!$B$38:$M$38</c:f>
              <c:numCache>
                <c:formatCode>_-* #,##0.000_-;\-* #,##0.000_-;_-* "-"??_-;_-@_-</c:formatCode>
                <c:ptCount val="12"/>
                <c:pt idx="0">
                  <c:v>1.406534812013424</c:v>
                </c:pt>
                <c:pt idx="1">
                  <c:v>1.0083812753588082</c:v>
                </c:pt>
                <c:pt idx="2">
                  <c:v>1.0031228605402549</c:v>
                </c:pt>
                <c:pt idx="3">
                  <c:v>1.001843935965133</c:v>
                </c:pt>
                <c:pt idx="4">
                  <c:v>1.0009322226338875</c:v>
                </c:pt>
                <c:pt idx="5">
                  <c:v>1.0001194044107988</c:v>
                </c:pt>
                <c:pt idx="6">
                  <c:v>1.0004059265272987</c:v>
                </c:pt>
                <c:pt idx="7">
                  <c:v>1.0006921819245045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C-49C2-9006-9808462C61CB}"/>
            </c:ext>
          </c:extLst>
        </c:ser>
        <c:ser>
          <c:idx val="4"/>
          <c:order val="4"/>
          <c:marker>
            <c:symbol val="none"/>
          </c:marker>
          <c:val>
            <c:numRef>
              <c:f>MOD_AMASES!$B$39:$M$39</c:f>
              <c:numCache>
                <c:formatCode>_-* #,##0.000_-;\-* #,##0.000_-;_-* "-"??_-;_-@_-</c:formatCode>
                <c:ptCount val="12"/>
                <c:pt idx="0">
                  <c:v>1.5127974079257653</c:v>
                </c:pt>
                <c:pt idx="1">
                  <c:v>1.0200745190479812</c:v>
                </c:pt>
                <c:pt idx="2">
                  <c:v>1.0040253447633247</c:v>
                </c:pt>
                <c:pt idx="3">
                  <c:v>1.0008909347390305</c:v>
                </c:pt>
                <c:pt idx="4">
                  <c:v>1.0007170585762677</c:v>
                </c:pt>
                <c:pt idx="5">
                  <c:v>1.0002841470646373</c:v>
                </c:pt>
                <c:pt idx="6">
                  <c:v>1.0004569762989861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C-49C2-9006-9808462C61CB}"/>
            </c:ext>
          </c:extLst>
        </c:ser>
        <c:ser>
          <c:idx val="5"/>
          <c:order val="5"/>
          <c:marker>
            <c:symbol val="none"/>
          </c:marker>
          <c:val>
            <c:numRef>
              <c:f>MOD_AMASES!$B$40:$M$40</c:f>
              <c:numCache>
                <c:formatCode>_-* #,##0.000_-;\-* #,##0.000_-;_-* "-"??_-;_-@_-</c:formatCode>
                <c:ptCount val="12"/>
                <c:pt idx="0">
                  <c:v>1.4398055429937335</c:v>
                </c:pt>
                <c:pt idx="1">
                  <c:v>1.0144480464850192</c:v>
                </c:pt>
                <c:pt idx="2">
                  <c:v>1.0241831149444354</c:v>
                </c:pt>
                <c:pt idx="3">
                  <c:v>1.0017490445034658</c:v>
                </c:pt>
                <c:pt idx="4">
                  <c:v>1.0003556647697878</c:v>
                </c:pt>
                <c:pt idx="5">
                  <c:v>1.001357509938912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0C-49C2-9006-9808462C61CB}"/>
            </c:ext>
          </c:extLst>
        </c:ser>
        <c:ser>
          <c:idx val="6"/>
          <c:order val="6"/>
          <c:marker>
            <c:symbol val="none"/>
          </c:marker>
          <c:val>
            <c:numRef>
              <c:f>MOD_AMASES!$B$41:$M$41</c:f>
              <c:numCache>
                <c:formatCode>_-* #,##0.000_-;\-* #,##0.000_-;_-* "-"??_-;_-@_-</c:formatCode>
                <c:ptCount val="12"/>
                <c:pt idx="0">
                  <c:v>1.4273769539276957</c:v>
                </c:pt>
                <c:pt idx="1">
                  <c:v>1.0196683876092136</c:v>
                </c:pt>
                <c:pt idx="2">
                  <c:v>1.0016066055831978</c:v>
                </c:pt>
                <c:pt idx="3">
                  <c:v>1.0003596912488091</c:v>
                </c:pt>
                <c:pt idx="4">
                  <c:v>1.0003984334761862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0C-49C2-9006-9808462C61CB}"/>
            </c:ext>
          </c:extLst>
        </c:ser>
        <c:ser>
          <c:idx val="7"/>
          <c:order val="7"/>
          <c:marker>
            <c:symbol val="none"/>
          </c:marker>
          <c:val>
            <c:numRef>
              <c:f>MOD_AMASES!$B$42:$M$42</c:f>
              <c:numCache>
                <c:formatCode>_-* #,##0.000_-;\-* #,##0.000_-;_-* "-"??_-;_-@_-</c:formatCode>
                <c:ptCount val="12"/>
                <c:pt idx="0">
                  <c:v>1.4383689821953372</c:v>
                </c:pt>
                <c:pt idx="1">
                  <c:v>1.0101335874365505</c:v>
                </c:pt>
                <c:pt idx="2">
                  <c:v>1.0016871054350192</c:v>
                </c:pt>
                <c:pt idx="3">
                  <c:v>1.0010141804154518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0C-49C2-9006-9808462C61CB}"/>
            </c:ext>
          </c:extLst>
        </c:ser>
        <c:ser>
          <c:idx val="8"/>
          <c:order val="8"/>
          <c:marker>
            <c:symbol val="none"/>
          </c:marker>
          <c:val>
            <c:numRef>
              <c:f>MOD_AMASES!$B$43:$M$43</c:f>
              <c:numCache>
                <c:formatCode>_-* #,##0.000_-;\-* #,##0.000_-;_-* "-"??_-;_-@_-</c:formatCode>
                <c:ptCount val="12"/>
                <c:pt idx="0">
                  <c:v>1.3925230198050234</c:v>
                </c:pt>
                <c:pt idx="1">
                  <c:v>1.0134101984603432</c:v>
                </c:pt>
                <c:pt idx="2">
                  <c:v>1.0033190755372807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0C-49C2-9006-9808462C61CB}"/>
            </c:ext>
          </c:extLst>
        </c:ser>
        <c:ser>
          <c:idx val="9"/>
          <c:order val="9"/>
          <c:marker>
            <c:symbol val="none"/>
          </c:marker>
          <c:val>
            <c:numRef>
              <c:f>MOD_AMASES!$B$44:$M$44</c:f>
              <c:numCache>
                <c:formatCode>_-* #,##0.000_-;\-* #,##0.000_-;_-* "-"??_-;_-@_-</c:formatCode>
                <c:ptCount val="12"/>
                <c:pt idx="0">
                  <c:v>1.4161726173945592</c:v>
                </c:pt>
                <c:pt idx="1">
                  <c:v>1.0148440564091195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0C-49C2-9006-9808462C61CB}"/>
            </c:ext>
          </c:extLst>
        </c:ser>
        <c:ser>
          <c:idx val="10"/>
          <c:order val="10"/>
          <c:marker>
            <c:symbol val="none"/>
          </c:marker>
          <c:val>
            <c:numRef>
              <c:f>MOD_AMASES!$B$45:$M$45</c:f>
              <c:numCache>
                <c:formatCode>_-* #,##0.000_-;\-* #,##0.000_-;_-* "-"??_-;_-@_-</c:formatCode>
                <c:ptCount val="12"/>
                <c:pt idx="0">
                  <c:v>1.3733430355951732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0C-49C2-9006-9808462C6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9128"/>
        <c:axId val="647980696"/>
      </c:lineChart>
      <c:catAx>
        <c:axId val="647979128"/>
        <c:scaling>
          <c:orientation val="minMax"/>
        </c:scaling>
        <c:delete val="0"/>
        <c:axPos val="b"/>
        <c:majorTickMark val="out"/>
        <c:minorTickMark val="none"/>
        <c:tickLblPos val="nextTo"/>
        <c:crossAx val="647980696"/>
        <c:crosses val="autoZero"/>
        <c:auto val="1"/>
        <c:lblAlgn val="ctr"/>
        <c:lblOffset val="100"/>
        <c:noMultiLvlLbl val="0"/>
      </c:catAx>
      <c:valAx>
        <c:axId val="647980696"/>
        <c:scaling>
          <c:orientation val="minMax"/>
          <c:max val="1.5"/>
          <c:min val="1"/>
        </c:scaling>
        <c:delete val="0"/>
        <c:axPos val="l"/>
        <c:majorGridlines/>
        <c:numFmt formatCode="_-* #,##0.000_-;\-* #,##0.000_-;_-* &quot;-&quot;??_-;_-@_-" sourceLinked="1"/>
        <c:majorTickMark val="out"/>
        <c:minorTickMark val="none"/>
        <c:tickLblPos val="nextTo"/>
        <c:crossAx val="647979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Link Ratio - CHL classico</a:t>
            </a:r>
          </a:p>
          <a:p>
            <a:pPr>
              <a:defRPr/>
            </a:pPr>
            <a:r>
              <a:rPr lang="it-IT"/>
              <a:t>SIFA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Cfr!$A$3</c:f>
              <c:strCache>
                <c:ptCount val="1"/>
                <c:pt idx="0">
                  <c:v>RCA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Cfr!$B$3:$M$3</c:f>
              <c:numCache>
                <c:formatCode>_-* #,##0.000_-;\-* #,##0.000_-;_-* "-"??_-;_-@_-</c:formatCode>
                <c:ptCount val="12"/>
                <c:pt idx="0">
                  <c:v>2.0171433188244361</c:v>
                </c:pt>
                <c:pt idx="1">
                  <c:v>1.188719647365996</c:v>
                </c:pt>
                <c:pt idx="2">
                  <c:v>1.0679386190747573</c:v>
                </c:pt>
                <c:pt idx="3">
                  <c:v>1.0330080258939325</c:v>
                </c:pt>
                <c:pt idx="4">
                  <c:v>1.0225796785638588</c:v>
                </c:pt>
                <c:pt idx="5">
                  <c:v>1.0145918797043163</c:v>
                </c:pt>
                <c:pt idx="6">
                  <c:v>1.0113450250708893</c:v>
                </c:pt>
                <c:pt idx="7">
                  <c:v>1.0087400099976809</c:v>
                </c:pt>
                <c:pt idx="8">
                  <c:v>1.0066166186595176</c:v>
                </c:pt>
                <c:pt idx="9">
                  <c:v>1.0040863784742426</c:v>
                </c:pt>
                <c:pt idx="10">
                  <c:v>1.0085498376415254</c:v>
                </c:pt>
                <c:pt idx="11">
                  <c:v>1.0124522638391824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F-4BF7-B54F-12CC9199D43E}"/>
            </c:ext>
          </c:extLst>
        </c:ser>
        <c:ser>
          <c:idx val="1"/>
          <c:order val="1"/>
          <c:tx>
            <c:strRef>
              <c:f>Cfr!$A$4</c:f>
              <c:strCache>
                <c:ptCount val="1"/>
                <c:pt idx="0">
                  <c:v>RCG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Cfr!$B$4:$M$4</c:f>
              <c:numCache>
                <c:formatCode>_-* #,##0.000_-;\-* #,##0.000_-;_-* "-"??_-;_-@_-</c:formatCode>
                <c:ptCount val="12"/>
                <c:pt idx="0">
                  <c:v>2.8126756206904791</c:v>
                </c:pt>
                <c:pt idx="1">
                  <c:v>1.3360300553275966</c:v>
                </c:pt>
                <c:pt idx="2">
                  <c:v>1.12242407507172</c:v>
                </c:pt>
                <c:pt idx="3">
                  <c:v>1.1719085634373956</c:v>
                </c:pt>
                <c:pt idx="4">
                  <c:v>1.1939170066976386</c:v>
                </c:pt>
                <c:pt idx="5">
                  <c:v>1.2061333978474451</c:v>
                </c:pt>
                <c:pt idx="6">
                  <c:v>1.1608197606942818</c:v>
                </c:pt>
                <c:pt idx="7">
                  <c:v>1.0583204371192001</c:v>
                </c:pt>
                <c:pt idx="8">
                  <c:v>1.0791855124899921</c:v>
                </c:pt>
                <c:pt idx="9">
                  <c:v>1.0266615338528635</c:v>
                </c:pt>
                <c:pt idx="10">
                  <c:v>1.0469043426971991</c:v>
                </c:pt>
                <c:pt idx="11">
                  <c:v>1.3565969349415981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F-4BF7-B54F-12CC9199D43E}"/>
            </c:ext>
          </c:extLst>
        </c:ser>
        <c:ser>
          <c:idx val="2"/>
          <c:order val="2"/>
          <c:tx>
            <c:strRef>
              <c:f>Cfr!$A$5</c:f>
              <c:strCache>
                <c:ptCount val="1"/>
                <c:pt idx="0">
                  <c:v>CVT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Cfr!$B$5:$M$5</c:f>
              <c:numCache>
                <c:formatCode>_-* #,##0.000_-;\-* #,##0.000_-;_-* "-"??_-;_-@_-</c:formatCode>
                <c:ptCount val="12"/>
                <c:pt idx="0">
                  <c:v>1.3722567734448228</c:v>
                </c:pt>
                <c:pt idx="1">
                  <c:v>1.0117804867446238</c:v>
                </c:pt>
                <c:pt idx="2">
                  <c:v>1.0033916585068186</c:v>
                </c:pt>
                <c:pt idx="3">
                  <c:v>1.0019581564103528</c:v>
                </c:pt>
                <c:pt idx="4">
                  <c:v>1.0013105259282893</c:v>
                </c:pt>
                <c:pt idx="5">
                  <c:v>1.0020838426524175</c:v>
                </c:pt>
                <c:pt idx="6">
                  <c:v>1.000875931121904</c:v>
                </c:pt>
                <c:pt idx="7">
                  <c:v>1.0002505166906746</c:v>
                </c:pt>
                <c:pt idx="8">
                  <c:v>1.000724939093232</c:v>
                </c:pt>
                <c:pt idx="9">
                  <c:v>1.0006544740573755</c:v>
                </c:pt>
                <c:pt idx="10">
                  <c:v>1.0001969667126256</c:v>
                </c:pt>
                <c:pt idx="11">
                  <c:v>1.0064001575423396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F-4BF7-B54F-12CC9199D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4032"/>
        <c:axId val="647981480"/>
      </c:lineChart>
      <c:catAx>
        <c:axId val="64797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647981480"/>
        <c:crosses val="autoZero"/>
        <c:auto val="1"/>
        <c:lblAlgn val="ctr"/>
        <c:lblOffset val="100"/>
        <c:noMultiLvlLbl val="0"/>
      </c:catAx>
      <c:valAx>
        <c:axId val="647981480"/>
        <c:scaling>
          <c:orientation val="minMax"/>
          <c:min val="1"/>
        </c:scaling>
        <c:delete val="0"/>
        <c:axPos val="l"/>
        <c:majorGridlines/>
        <c:numFmt formatCode="_-* #,##0.000_-;\-* #,##0.0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crossAx val="6479740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Link Ratio - CHL classico</a:t>
            </a:r>
          </a:p>
          <a:p>
            <a:pPr>
              <a:defRPr/>
            </a:pPr>
            <a:r>
              <a:rPr lang="it-IT"/>
              <a:t>AMASES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Cfr!$A$3</c:f>
              <c:strCache>
                <c:ptCount val="1"/>
                <c:pt idx="0">
                  <c:v>RCA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Cfr!$P$3:$AA$3</c:f>
              <c:numCache>
                <c:formatCode>_-* #,##0.000_-;\-* #,##0.000_-;_-* "-"??_-;_-@_-</c:formatCode>
                <c:ptCount val="12"/>
                <c:pt idx="0">
                  <c:v>1.943282050394638</c:v>
                </c:pt>
                <c:pt idx="1">
                  <c:v>1.239959050464944</c:v>
                </c:pt>
                <c:pt idx="2">
                  <c:v>1.0970093045153433</c:v>
                </c:pt>
                <c:pt idx="3">
                  <c:v>1.0564975823956091</c:v>
                </c:pt>
                <c:pt idx="4">
                  <c:v>1.0393893818961082</c:v>
                </c:pt>
                <c:pt idx="5">
                  <c:v>1.0324008836416083</c:v>
                </c:pt>
                <c:pt idx="6">
                  <c:v>1.02344312167777</c:v>
                </c:pt>
                <c:pt idx="7">
                  <c:v>1.0207340829749072</c:v>
                </c:pt>
                <c:pt idx="8">
                  <c:v>1.0183293138325229</c:v>
                </c:pt>
                <c:pt idx="9">
                  <c:v>1.0122589061954763</c:v>
                </c:pt>
                <c:pt idx="10">
                  <c:v>1.0129781513233427</c:v>
                </c:pt>
                <c:pt idx="11">
                  <c:v>1.0316422971076309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F-4B1B-AB39-87E41866C1C2}"/>
            </c:ext>
          </c:extLst>
        </c:ser>
        <c:ser>
          <c:idx val="1"/>
          <c:order val="1"/>
          <c:tx>
            <c:strRef>
              <c:f>Cfr!$A$4</c:f>
              <c:strCache>
                <c:ptCount val="1"/>
                <c:pt idx="0">
                  <c:v>RCG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Cfr!$P$4:$AA$4</c:f>
              <c:numCache>
                <c:formatCode>_-* #,##0.000_-;\-* #,##0.000_-;_-* "-"??_-;_-@_-</c:formatCode>
                <c:ptCount val="12"/>
                <c:pt idx="0">
                  <c:v>2.631788314511478</c:v>
                </c:pt>
                <c:pt idx="1">
                  <c:v>1.4546224066390043</c:v>
                </c:pt>
                <c:pt idx="2">
                  <c:v>1.228559335736501</c:v>
                </c:pt>
                <c:pt idx="3">
                  <c:v>1.1525488203349219</c:v>
                </c:pt>
                <c:pt idx="4">
                  <c:v>1.1450698628578972</c:v>
                </c:pt>
                <c:pt idx="5">
                  <c:v>1.1098345526570423</c:v>
                </c:pt>
                <c:pt idx="6">
                  <c:v>1.0817693553089058</c:v>
                </c:pt>
                <c:pt idx="7">
                  <c:v>1.0585639240736329</c:v>
                </c:pt>
                <c:pt idx="8">
                  <c:v>1.0555088766889364</c:v>
                </c:pt>
                <c:pt idx="9">
                  <c:v>1.0421418106649005</c:v>
                </c:pt>
                <c:pt idx="10">
                  <c:v>1.0275336756013314</c:v>
                </c:pt>
                <c:pt idx="11">
                  <c:v>1.1413531965184933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F-4B1B-AB39-87E41866C1C2}"/>
            </c:ext>
          </c:extLst>
        </c:ser>
        <c:ser>
          <c:idx val="2"/>
          <c:order val="2"/>
          <c:tx>
            <c:strRef>
              <c:f>Cfr!$A$5</c:f>
              <c:strCache>
                <c:ptCount val="1"/>
                <c:pt idx="0">
                  <c:v>CVT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Cfr!$P$5:$AA$5</c:f>
              <c:numCache>
                <c:formatCode>_-* #,##0.000_-;\-* #,##0.000_-;_-* "-"??_-;_-@_-</c:formatCode>
                <c:ptCount val="12"/>
                <c:pt idx="0">
                  <c:v>1.4204016765342837</c:v>
                </c:pt>
                <c:pt idx="1">
                  <c:v>1.0119514261753157</c:v>
                </c:pt>
                <c:pt idx="2">
                  <c:v>1.0045765128053876</c:v>
                </c:pt>
                <c:pt idx="3">
                  <c:v>1.0009811013396521</c:v>
                </c:pt>
                <c:pt idx="4">
                  <c:v>1.0006988344319439</c:v>
                </c:pt>
                <c:pt idx="5">
                  <c:v>1.0006981230288743</c:v>
                </c:pt>
                <c:pt idx="6">
                  <c:v>1.000417837114004</c:v>
                </c:pt>
                <c:pt idx="7">
                  <c:v>1.0004708544269796</c:v>
                </c:pt>
                <c:pt idx="8">
                  <c:v>1.000451139449352</c:v>
                </c:pt>
                <c:pt idx="9">
                  <c:v>1.0002054639718925</c:v>
                </c:pt>
                <c:pt idx="10">
                  <c:v>1.0001109510246327</c:v>
                </c:pt>
                <c:pt idx="11">
                  <c:v>1.0008558129509857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F-4B1B-AB39-87E41866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9520"/>
        <c:axId val="647974816"/>
      </c:lineChart>
      <c:catAx>
        <c:axId val="64797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647974816"/>
        <c:crosses val="autoZero"/>
        <c:auto val="1"/>
        <c:lblAlgn val="ctr"/>
        <c:lblOffset val="100"/>
        <c:noMultiLvlLbl val="0"/>
      </c:catAx>
      <c:valAx>
        <c:axId val="647974816"/>
        <c:scaling>
          <c:orientation val="minMax"/>
          <c:max val="3"/>
          <c:min val="1"/>
        </c:scaling>
        <c:delete val="0"/>
        <c:axPos val="l"/>
        <c:majorGridlines/>
        <c:numFmt formatCode="_-* #,##0.000_-;\-* #,##0.0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crossAx val="6479795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1/CDF - CHL classico</a:t>
            </a:r>
          </a:p>
          <a:p>
            <a:pPr>
              <a:defRPr/>
            </a:pPr>
            <a:r>
              <a:rPr lang="it-IT"/>
              <a:t>SIFA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Cfr!$A$33</c:f>
              <c:strCache>
                <c:ptCount val="1"/>
                <c:pt idx="0">
                  <c:v>RCA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Cfr!$B$33:$M$33</c:f>
              <c:numCache>
                <c:formatCode>0.00%</c:formatCode>
                <c:ptCount val="12"/>
                <c:pt idx="0">
                  <c:v>0.34606652745620692</c:v>
                </c:pt>
                <c:pt idx="1">
                  <c:v>0.69806578372706107</c:v>
                </c:pt>
                <c:pt idx="2">
                  <c:v>0.82980451227029972</c:v>
                </c:pt>
                <c:pt idx="3">
                  <c:v>0.88618028493594625</c:v>
                </c:pt>
                <c:pt idx="4">
                  <c:v>0.91543134672780457</c:v>
                </c:pt>
                <c:pt idx="5">
                  <c:v>0.93610149228419848</c:v>
                </c:pt>
                <c:pt idx="6">
                  <c:v>0.94976097265064063</c:v>
                </c:pt>
                <c:pt idx="7">
                  <c:v>0.96053603469671445</c:v>
                </c:pt>
                <c:pt idx="8">
                  <c:v>0.96893112924309643</c:v>
                </c:pt>
                <c:pt idx="9">
                  <c:v>0.97534217703263359</c:v>
                </c:pt>
                <c:pt idx="10">
                  <c:v>0.97932779430988082</c:v>
                </c:pt>
                <c:pt idx="11">
                  <c:v>0.98770088794906352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1-44C2-9217-75275FBA9739}"/>
            </c:ext>
          </c:extLst>
        </c:ser>
        <c:ser>
          <c:idx val="1"/>
          <c:order val="1"/>
          <c:tx>
            <c:strRef>
              <c:f>Cfr!$A$34</c:f>
              <c:strCache>
                <c:ptCount val="1"/>
                <c:pt idx="0">
                  <c:v>RCG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Cfr!$B$34:$M$34</c:f>
              <c:numCache>
                <c:formatCode>0.00%</c:formatCode>
                <c:ptCount val="12"/>
                <c:pt idx="0">
                  <c:v>7.2674279504779463E-2</c:v>
                </c:pt>
                <c:pt idx="1">
                  <c:v>0.20440917421433893</c:v>
                </c:pt>
                <c:pt idx="2">
                  <c:v>0.27309680033505151</c:v>
                </c:pt>
                <c:pt idx="3">
                  <c:v>0.30653042352111637</c:v>
                </c:pt>
                <c:pt idx="4">
                  <c:v>0.35922562827848797</c:v>
                </c:pt>
                <c:pt idx="5">
                  <c:v>0.42888558684333089</c:v>
                </c:pt>
                <c:pt idx="6">
                  <c:v>0.51729323014714224</c:v>
                </c:pt>
                <c:pt idx="7">
                  <c:v>0.60048420362817778</c:v>
                </c:pt>
                <c:pt idx="8">
                  <c:v>0.63550470486694788</c:v>
                </c:pt>
                <c:pt idx="9">
                  <c:v>0.68582747061163829</c:v>
                </c:pt>
                <c:pt idx="10">
                  <c:v>0.70411268293657414</c:v>
                </c:pt>
                <c:pt idx="11">
                  <c:v>0.73713862551447551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1-44C2-9217-75275FBA9739}"/>
            </c:ext>
          </c:extLst>
        </c:ser>
        <c:ser>
          <c:idx val="2"/>
          <c:order val="2"/>
          <c:tx>
            <c:strRef>
              <c:f>Cfr!$A$35</c:f>
              <c:strCache>
                <c:ptCount val="1"/>
                <c:pt idx="0">
                  <c:v>CVT</c:v>
                </c:pt>
              </c:strCache>
            </c:strRef>
          </c:tx>
          <c:marker>
            <c:symbol val="none"/>
          </c:marker>
          <c:cat>
            <c:numRef>
              <c:f>Cfr!$B$2:$M$2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Cfr!$B$35:$M$35</c:f>
              <c:numCache>
                <c:formatCode>0.00%</c:formatCode>
                <c:ptCount val="12"/>
                <c:pt idx="0">
                  <c:v>0.70752417129428624</c:v>
                </c:pt>
                <c:pt idx="1">
                  <c:v>0.97090483643451908</c:v>
                </c:pt>
                <c:pt idx="2">
                  <c:v>0.98234256799042752</c:v>
                </c:pt>
                <c:pt idx="3">
                  <c:v>0.98567433851776221</c:v>
                </c:pt>
                <c:pt idx="4">
                  <c:v>0.98760444304225081</c:v>
                </c:pt>
                <c:pt idx="5">
                  <c:v>0.98889872427175163</c:v>
                </c:pt>
                <c:pt idx="6">
                  <c:v>0.9909594336123102</c:v>
                </c:pt>
                <c:pt idx="7">
                  <c:v>0.99182744582075533</c:v>
                </c:pt>
                <c:pt idx="8">
                  <c:v>0.99207591515020266</c:v>
                </c:pt>
                <c:pt idx="9">
                  <c:v>0.99279510976454899</c:v>
                </c:pt>
                <c:pt idx="10">
                  <c:v>0.99344486840817925</c:v>
                </c:pt>
                <c:pt idx="11">
                  <c:v>0.99364054397808421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E1-44C2-9217-75275FBA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5208"/>
        <c:axId val="647975600"/>
      </c:lineChart>
      <c:catAx>
        <c:axId val="64797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647975600"/>
        <c:crosses val="autoZero"/>
        <c:auto val="1"/>
        <c:lblAlgn val="ctr"/>
        <c:lblOffset val="100"/>
        <c:noMultiLvlLbl val="0"/>
      </c:catAx>
      <c:valAx>
        <c:axId val="647975600"/>
        <c:scaling>
          <c:orientation val="minMax"/>
          <c:max val="1"/>
          <c:min val="0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crossAx val="6479752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1/CDF - CHL classico</a:t>
            </a:r>
          </a:p>
          <a:p>
            <a:pPr>
              <a:defRPr/>
            </a:pPr>
            <a:r>
              <a:rPr lang="it-IT"/>
              <a:t>AMASES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Cfr!$A$33</c:f>
              <c:strCache>
                <c:ptCount val="1"/>
                <c:pt idx="0">
                  <c:v>RCA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Cfr!$P$33:$AA$33</c:f>
              <c:numCache>
                <c:formatCode>0.00%</c:formatCode>
                <c:ptCount val="12"/>
                <c:pt idx="0">
                  <c:v>0.29652817010148608</c:v>
                </c:pt>
                <c:pt idx="1">
                  <c:v>0.57623787039458596</c:v>
                </c:pt>
                <c:pt idx="2">
                  <c:v>0.71451136261641235</c:v>
                </c:pt>
                <c:pt idx="3">
                  <c:v>0.78382561297214048</c:v>
                </c:pt>
                <c:pt idx="4">
                  <c:v>0.82810986512482276</c:v>
                </c:pt>
                <c:pt idx="5">
                  <c:v>0.86072860085415936</c:v>
                </c:pt>
                <c:pt idx="6">
                  <c:v>0.88861696809743929</c:v>
                </c:pt>
                <c:pt idx="7">
                  <c:v>0.90944892380547848</c:v>
                </c:pt>
                <c:pt idx="8">
                  <c:v>0.92830551325310118</c:v>
                </c:pt>
                <c:pt idx="9">
                  <c:v>0.94532071633797865</c:v>
                </c:pt>
                <c:pt idx="10">
                  <c:v>0.95690931432420645</c:v>
                </c:pt>
                <c:pt idx="11">
                  <c:v>0.96932822820822195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7-46FF-B358-11F91D9E6005}"/>
            </c:ext>
          </c:extLst>
        </c:ser>
        <c:ser>
          <c:idx val="1"/>
          <c:order val="1"/>
          <c:tx>
            <c:strRef>
              <c:f>Cfr!$A$34</c:f>
              <c:strCache>
                <c:ptCount val="1"/>
                <c:pt idx="0">
                  <c:v>RCG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Cfr!$P$34:$AA$34</c:f>
              <c:numCache>
                <c:formatCode>0.00%</c:formatCode>
                <c:ptCount val="12"/>
                <c:pt idx="0">
                  <c:v>9.8264462345335701E-2</c:v>
                </c:pt>
                <c:pt idx="1">
                  <c:v>0.25861126373220766</c:v>
                </c:pt>
                <c:pt idx="2">
                  <c:v>0.37618173883409811</c:v>
                </c:pt>
                <c:pt idx="3">
                  <c:v>0.46216158717822159</c:v>
                </c:pt>
                <c:pt idx="4">
                  <c:v>0.53266379210637438</c:v>
                </c:pt>
                <c:pt idx="5">
                  <c:v>0.60993725537661359</c:v>
                </c:pt>
                <c:pt idx="6">
                  <c:v>0.67692944096976815</c:v>
                </c:pt>
                <c:pt idx="7">
                  <c:v>0.732281524947484</c:v>
                </c:pt>
                <c:pt idx="8">
                  <c:v>0.77516680457503273</c:v>
                </c:pt>
                <c:pt idx="9">
                  <c:v>0.81819544314354498</c:v>
                </c:pt>
                <c:pt idx="10">
                  <c:v>0.85267568059538457</c:v>
                </c:pt>
                <c:pt idx="11">
                  <c:v>0.87615297617804233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7-46FF-B358-11F91D9E6005}"/>
            </c:ext>
          </c:extLst>
        </c:ser>
        <c:ser>
          <c:idx val="2"/>
          <c:order val="2"/>
          <c:tx>
            <c:strRef>
              <c:f>Cfr!$A$35</c:f>
              <c:strCache>
                <c:ptCount val="1"/>
                <c:pt idx="0">
                  <c:v>CVT</c:v>
                </c:pt>
              </c:strCache>
            </c:strRef>
          </c:tx>
          <c:marker>
            <c:symbol val="none"/>
          </c:marker>
          <c:cat>
            <c:numRef>
              <c:f>Cfr!$P$2:$AA$2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Cfr!$P$35:$AA$35</c:f>
              <c:numCache>
                <c:formatCode>0.00%</c:formatCode>
                <c:ptCount val="12"/>
                <c:pt idx="0">
                  <c:v>0.68916483211880231</c:v>
                </c:pt>
                <c:pt idx="1">
                  <c:v>0.97889088295001492</c:v>
                </c:pt>
                <c:pt idx="2">
                  <c:v>0.99059002507128169</c:v>
                </c:pt>
                <c:pt idx="3">
                  <c:v>0.99512347300590942</c:v>
                </c:pt>
                <c:pt idx="4">
                  <c:v>0.99609978997839521</c:v>
                </c:pt>
                <c:pt idx="5">
                  <c:v>0.99679589880928354</c:v>
                </c:pt>
                <c:pt idx="6">
                  <c:v>0.99749178498133029</c:v>
                </c:pt>
                <c:pt idx="7">
                  <c:v>0.99790857407000944</c:v>
                </c:pt>
                <c:pt idx="8">
                  <c:v>0.99837844373983131</c:v>
                </c:pt>
                <c:pt idx="9">
                  <c:v>0.99882885164118496</c:v>
                </c:pt>
                <c:pt idx="10">
                  <c:v>0.99903407498428387</c:v>
                </c:pt>
                <c:pt idx="11">
                  <c:v>0.99914491883854639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7-46FF-B358-11F91D9E6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7952"/>
        <c:axId val="647981088"/>
      </c:lineChart>
      <c:catAx>
        <c:axId val="64797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647981088"/>
        <c:crosses val="autoZero"/>
        <c:auto val="1"/>
        <c:lblAlgn val="ctr"/>
        <c:lblOffset val="100"/>
        <c:noMultiLvlLbl val="0"/>
      </c:catAx>
      <c:valAx>
        <c:axId val="647981088"/>
        <c:scaling>
          <c:orientation val="minMax"/>
          <c:max val="1"/>
          <c:min val="0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crossAx val="647977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31</xdr:row>
      <xdr:rowOff>66675</xdr:rowOff>
    </xdr:from>
    <xdr:to>
      <xdr:col>21</xdr:col>
      <xdr:colOff>266700</xdr:colOff>
      <xdr:row>48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31</xdr:row>
      <xdr:rowOff>28575</xdr:rowOff>
    </xdr:from>
    <xdr:to>
      <xdr:col>20</xdr:col>
      <xdr:colOff>476250</xdr:colOff>
      <xdr:row>48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32</xdr:row>
      <xdr:rowOff>19050</xdr:rowOff>
    </xdr:from>
    <xdr:to>
      <xdr:col>21</xdr:col>
      <xdr:colOff>295275</xdr:colOff>
      <xdr:row>49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32</xdr:row>
      <xdr:rowOff>104775</xdr:rowOff>
    </xdr:from>
    <xdr:to>
      <xdr:col>21</xdr:col>
      <xdr:colOff>257175</xdr:colOff>
      <xdr:row>49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32</xdr:row>
      <xdr:rowOff>9525</xdr:rowOff>
    </xdr:from>
    <xdr:to>
      <xdr:col>21</xdr:col>
      <xdr:colOff>295275</xdr:colOff>
      <xdr:row>49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31</xdr:row>
      <xdr:rowOff>152400</xdr:rowOff>
    </xdr:from>
    <xdr:to>
      <xdr:col>21</xdr:col>
      <xdr:colOff>257175</xdr:colOff>
      <xdr:row>48</xdr:row>
      <xdr:rowOff>142875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66675</xdr:rowOff>
    </xdr:from>
    <xdr:to>
      <xdr:col>7</xdr:col>
      <xdr:colOff>333375</xdr:colOff>
      <xdr:row>27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304800</xdr:colOff>
      <xdr:row>26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9525</xdr:rowOff>
    </xdr:from>
    <xdr:to>
      <xdr:col>7</xdr:col>
      <xdr:colOff>304800</xdr:colOff>
      <xdr:row>56</xdr:row>
      <xdr:rowOff>142875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16</xdr:col>
      <xdr:colOff>304800</xdr:colOff>
      <xdr:row>56</xdr:row>
      <xdr:rowOff>133350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anpaolo.clemente/Documents/Ricerca/Seminario%20IIA%202010/Triangoli/CALCOLO/CalcoloCL_MackMWBootLogNSconto_MTPLAM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olo PE di Mack"/>
      <sheetName val="Calcolo BootStrapping"/>
    </sheetNames>
    <sheetDataSet>
      <sheetData sheetId="0">
        <row r="6">
          <cell r="C6">
            <v>12</v>
          </cell>
        </row>
        <row r="7">
          <cell r="C7">
            <v>12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/>
  </sheetViews>
  <sheetFormatPr defaultRowHeight="13" x14ac:dyDescent="0.6"/>
  <cols>
    <col min="1" max="1" width="11" customWidth="1"/>
    <col min="2" max="2" width="17.453125" bestFit="1" customWidth="1"/>
    <col min="3" max="3" width="12" bestFit="1" customWidth="1"/>
    <col min="4" max="4" width="13.7265625" bestFit="1" customWidth="1"/>
    <col min="5" max="5" width="13.31640625" bestFit="1" customWidth="1"/>
    <col min="6" max="13" width="10.72656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28446.238239999999</v>
      </c>
      <c r="C3" s="6">
        <v>29251.193380000001</v>
      </c>
      <c r="D3" s="6">
        <v>12463.98379</v>
      </c>
      <c r="E3" s="6">
        <v>5144.0852889999996</v>
      </c>
      <c r="F3" s="6">
        <v>2726.947823</v>
      </c>
      <c r="G3" s="6">
        <v>2359.3624620000001</v>
      </c>
      <c r="H3" s="6">
        <v>1333.8561050000001</v>
      </c>
      <c r="I3" s="6">
        <v>1238.4299739999999</v>
      </c>
      <c r="J3" s="6">
        <v>941.4404753</v>
      </c>
      <c r="K3" s="6">
        <v>860.06389149999995</v>
      </c>
      <c r="L3" s="6">
        <v>281.86967870000001</v>
      </c>
      <c r="M3" s="6">
        <v>727.14206979999994</v>
      </c>
      <c r="N3" s="7">
        <v>1068.0881139999999</v>
      </c>
    </row>
    <row r="4" spans="1:14" x14ac:dyDescent="0.6">
      <c r="A4">
        <f>A3+1</f>
        <v>1994</v>
      </c>
      <c r="B4" s="8">
        <v>31963.048289999999</v>
      </c>
      <c r="C4" s="2">
        <v>36106.295209999997</v>
      </c>
      <c r="D4" s="2">
        <v>13441.33311</v>
      </c>
      <c r="E4" s="2">
        <v>5868.2346319999997</v>
      </c>
      <c r="F4" s="2">
        <v>2881.972323</v>
      </c>
      <c r="G4" s="2">
        <v>2421.9878960000001</v>
      </c>
      <c r="H4" s="2">
        <v>918.0040391</v>
      </c>
      <c r="I4" s="2">
        <v>1075.9783399999999</v>
      </c>
      <c r="J4" s="2">
        <v>733.74102549999998</v>
      </c>
      <c r="K4" s="2">
        <v>458.15606639999999</v>
      </c>
      <c r="L4" s="2">
        <v>456.27065049999999</v>
      </c>
      <c r="M4" s="3"/>
      <c r="N4" s="9"/>
    </row>
    <row r="5" spans="1:14" x14ac:dyDescent="0.6">
      <c r="A5">
        <f t="shared" ref="A5:A14" si="1">A4+1</f>
        <v>1995</v>
      </c>
      <c r="B5" s="8">
        <v>37774.740230000003</v>
      </c>
      <c r="C5" s="2">
        <v>40125.390780000002</v>
      </c>
      <c r="D5" s="2">
        <v>12951.1764</v>
      </c>
      <c r="E5" s="2">
        <v>6033.7554639999998</v>
      </c>
      <c r="F5" s="2">
        <v>3009.6558559999999</v>
      </c>
      <c r="G5" s="2">
        <v>1264.3962670000001</v>
      </c>
      <c r="H5" s="2">
        <v>1249.9525169999999</v>
      </c>
      <c r="I5" s="2">
        <v>1134.7061430000001</v>
      </c>
      <c r="J5" s="2">
        <v>904.3711654</v>
      </c>
      <c r="K5" s="2">
        <v>559.3400537</v>
      </c>
      <c r="L5" s="3"/>
      <c r="M5" s="3"/>
      <c r="N5" s="9"/>
    </row>
    <row r="6" spans="1:14" x14ac:dyDescent="0.6">
      <c r="A6">
        <f t="shared" si="1"/>
        <v>1996</v>
      </c>
      <c r="B6" s="8">
        <v>40417.57213</v>
      </c>
      <c r="C6" s="2">
        <v>44498.942239999997</v>
      </c>
      <c r="D6" s="2">
        <v>15370.423629999999</v>
      </c>
      <c r="E6" s="2">
        <v>5593.8535460000003</v>
      </c>
      <c r="F6" s="2">
        <v>2615.5163400000001</v>
      </c>
      <c r="G6" s="2">
        <v>1984.311792</v>
      </c>
      <c r="H6" s="2">
        <v>2136.8046989999998</v>
      </c>
      <c r="I6" s="2">
        <v>1184.3554280000001</v>
      </c>
      <c r="J6" s="2">
        <v>872.63333090000003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44116.085709999999</v>
      </c>
      <c r="C7" s="2">
        <v>45490.189570000002</v>
      </c>
      <c r="D7" s="2">
        <v>15339.426369999999</v>
      </c>
      <c r="E7" s="2">
        <v>5478.0767569999998</v>
      </c>
      <c r="F7" s="2">
        <v>2540.6396580000001</v>
      </c>
      <c r="G7" s="2">
        <v>2906.3686269999998</v>
      </c>
      <c r="H7" s="2">
        <v>1294.338023</v>
      </c>
      <c r="I7" s="2">
        <v>1124.3363549999999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50294.259669999999</v>
      </c>
      <c r="C8" s="2">
        <v>48040.321559999997</v>
      </c>
      <c r="D8" s="2">
        <v>17842.901760000001</v>
      </c>
      <c r="E8" s="2">
        <v>7035.1991939999998</v>
      </c>
      <c r="F8" s="2">
        <v>3933.6060630000002</v>
      </c>
      <c r="G8" s="2">
        <v>2725.6829360000002</v>
      </c>
      <c r="H8" s="2">
        <v>2266.5998731499999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49619.804179999999</v>
      </c>
      <c r="C9" s="2">
        <v>49991.357649999998</v>
      </c>
      <c r="D9" s="2">
        <v>19570.203659999999</v>
      </c>
      <c r="E9" s="2">
        <v>10047.067150000001</v>
      </c>
      <c r="F9" s="2">
        <v>5749.8900569999996</v>
      </c>
      <c r="G9" s="2">
        <v>3312.6914674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46409.720990000002</v>
      </c>
      <c r="C10" s="2">
        <v>49694.294990000002</v>
      </c>
      <c r="D10" s="2">
        <v>20880.666980000002</v>
      </c>
      <c r="E10" s="2">
        <v>8201.5592140000008</v>
      </c>
      <c r="F10" s="2">
        <v>4714.1682499999997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48294.757790000003</v>
      </c>
      <c r="C11" s="2">
        <v>49353.589599999999</v>
      </c>
      <c r="D11" s="2">
        <v>18304.246139999999</v>
      </c>
      <c r="E11" s="2">
        <v>8833.4877799999995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52590.220249999998</v>
      </c>
      <c r="C12" s="2">
        <v>50605.82</v>
      </c>
      <c r="D12" s="2">
        <v>18603.713029999999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58599</v>
      </c>
      <c r="C13" s="2">
        <v>53743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60361.276160000001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28446.238239999999</v>
      </c>
      <c r="C20" s="16">
        <f>B20+C3</f>
        <v>57697.431620000003</v>
      </c>
      <c r="D20" s="16">
        <f t="shared" ref="D20:N28" si="3">C20+D3</f>
        <v>70161.415410000001</v>
      </c>
      <c r="E20" s="16">
        <f t="shared" si="3"/>
        <v>75305.500698999997</v>
      </c>
      <c r="F20" s="16">
        <f t="shared" si="3"/>
        <v>78032.448521999991</v>
      </c>
      <c r="G20" s="16">
        <f t="shared" si="3"/>
        <v>80391.810983999996</v>
      </c>
      <c r="H20" s="16">
        <f t="shared" si="3"/>
        <v>81725.667088999995</v>
      </c>
      <c r="I20" s="16">
        <f t="shared" si="3"/>
        <v>82964.097062999994</v>
      </c>
      <c r="J20" s="16">
        <f t="shared" si="3"/>
        <v>83905.537538299992</v>
      </c>
      <c r="K20" s="16">
        <f t="shared" si="3"/>
        <v>84765.601429799994</v>
      </c>
      <c r="L20" s="16">
        <f t="shared" si="3"/>
        <v>85047.471108499987</v>
      </c>
      <c r="M20" s="16">
        <f t="shared" si="3"/>
        <v>85774.613178299987</v>
      </c>
      <c r="N20" s="17">
        <f t="shared" si="3"/>
        <v>86842.701292299986</v>
      </c>
    </row>
    <row r="21" spans="1:14" x14ac:dyDescent="0.6">
      <c r="A21">
        <f t="shared" ref="A21:A31" si="4">A4</f>
        <v>1994</v>
      </c>
      <c r="B21" s="18">
        <f t="shared" ref="B21:B31" si="5">B4</f>
        <v>31963.048289999999</v>
      </c>
      <c r="C21" s="19">
        <f t="shared" ref="C21:D30" si="6">B21+C4</f>
        <v>68069.343499999988</v>
      </c>
      <c r="D21" s="19">
        <f t="shared" si="6"/>
        <v>81510.676609999995</v>
      </c>
      <c r="E21" s="19">
        <f t="shared" si="3"/>
        <v>87378.911242000002</v>
      </c>
      <c r="F21" s="19">
        <f t="shared" si="3"/>
        <v>90260.883564999996</v>
      </c>
      <c r="G21" s="19">
        <f t="shared" si="3"/>
        <v>92682.871461000002</v>
      </c>
      <c r="H21" s="19">
        <f t="shared" si="3"/>
        <v>93600.875500099995</v>
      </c>
      <c r="I21" s="19">
        <f t="shared" si="3"/>
        <v>94676.853840099997</v>
      </c>
      <c r="J21" s="19">
        <f t="shared" si="3"/>
        <v>95410.594865599996</v>
      </c>
      <c r="K21" s="19">
        <f t="shared" si="3"/>
        <v>95868.750931999995</v>
      </c>
      <c r="L21" s="19">
        <f t="shared" si="3"/>
        <v>96325.02158249999</v>
      </c>
      <c r="M21" s="20"/>
      <c r="N21" s="9"/>
    </row>
    <row r="22" spans="1:14" x14ac:dyDescent="0.6">
      <c r="A22">
        <f t="shared" si="4"/>
        <v>1995</v>
      </c>
      <c r="B22" s="18">
        <f t="shared" si="5"/>
        <v>37774.740230000003</v>
      </c>
      <c r="C22" s="19">
        <f t="shared" si="6"/>
        <v>77900.131010000012</v>
      </c>
      <c r="D22" s="19">
        <f t="shared" si="6"/>
        <v>90851.307410000009</v>
      </c>
      <c r="E22" s="19">
        <f t="shared" si="3"/>
        <v>96885.06287400001</v>
      </c>
      <c r="F22" s="19">
        <f t="shared" si="3"/>
        <v>99894.718730000008</v>
      </c>
      <c r="G22" s="19">
        <f t="shared" si="3"/>
        <v>101159.11499700001</v>
      </c>
      <c r="H22" s="19">
        <f t="shared" si="3"/>
        <v>102409.06751400001</v>
      </c>
      <c r="I22" s="19">
        <f t="shared" si="3"/>
        <v>103543.77365700001</v>
      </c>
      <c r="J22" s="19">
        <f t="shared" si="3"/>
        <v>104448.14482240002</v>
      </c>
      <c r="K22" s="19">
        <f t="shared" si="3"/>
        <v>105007.48487610002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5"/>
        <v>40417.57213</v>
      </c>
      <c r="C23" s="19">
        <f t="shared" si="6"/>
        <v>84916.51436999999</v>
      </c>
      <c r="D23" s="19">
        <f t="shared" si="6"/>
        <v>100286.93799999999</v>
      </c>
      <c r="E23" s="19">
        <f t="shared" si="3"/>
        <v>105880.79154599999</v>
      </c>
      <c r="F23" s="19">
        <f t="shared" si="3"/>
        <v>108496.307886</v>
      </c>
      <c r="G23" s="19">
        <f t="shared" si="3"/>
        <v>110480.61967799999</v>
      </c>
      <c r="H23" s="19">
        <f t="shared" si="3"/>
        <v>112617.42437699999</v>
      </c>
      <c r="I23" s="19">
        <f t="shared" si="3"/>
        <v>113801.77980499998</v>
      </c>
      <c r="J23" s="19">
        <f t="shared" si="3"/>
        <v>114674.41313589999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5"/>
        <v>44116.085709999999</v>
      </c>
      <c r="C24" s="19">
        <f t="shared" si="6"/>
        <v>89606.275280000002</v>
      </c>
      <c r="D24" s="19">
        <f t="shared" si="6"/>
        <v>104945.70165</v>
      </c>
      <c r="E24" s="19">
        <f t="shared" si="3"/>
        <v>110423.77840700001</v>
      </c>
      <c r="F24" s="19">
        <f t="shared" si="3"/>
        <v>112964.41806500001</v>
      </c>
      <c r="G24" s="19">
        <f t="shared" si="3"/>
        <v>115870.78669200001</v>
      </c>
      <c r="H24" s="19">
        <f t="shared" si="3"/>
        <v>117165.12471500001</v>
      </c>
      <c r="I24" s="19">
        <f t="shared" si="3"/>
        <v>118289.46107000002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5"/>
        <v>50294.259669999999</v>
      </c>
      <c r="C25" s="19">
        <f t="shared" si="6"/>
        <v>98334.581229999996</v>
      </c>
      <c r="D25" s="19">
        <f t="shared" si="6"/>
        <v>116177.48298999999</v>
      </c>
      <c r="E25" s="19">
        <f t="shared" si="3"/>
        <v>123212.68218399999</v>
      </c>
      <c r="F25" s="19">
        <f t="shared" si="3"/>
        <v>127146.28824699999</v>
      </c>
      <c r="G25" s="19">
        <f t="shared" si="3"/>
        <v>129871.97118299999</v>
      </c>
      <c r="H25" s="19">
        <f t="shared" si="3"/>
        <v>132138.57105614999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5"/>
        <v>49619.804179999999</v>
      </c>
      <c r="C26" s="19">
        <f t="shared" si="6"/>
        <v>99611.161829999997</v>
      </c>
      <c r="D26" s="19">
        <f t="shared" si="6"/>
        <v>119181.36549</v>
      </c>
      <c r="E26" s="19">
        <f t="shared" si="3"/>
        <v>129228.43264</v>
      </c>
      <c r="F26" s="19">
        <f t="shared" si="3"/>
        <v>134978.322697</v>
      </c>
      <c r="G26" s="19">
        <f t="shared" si="3"/>
        <v>138291.0141644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5"/>
        <v>46409.720990000002</v>
      </c>
      <c r="C27" s="19">
        <f t="shared" si="6"/>
        <v>96104.015979999996</v>
      </c>
      <c r="D27" s="19">
        <f t="shared" si="6"/>
        <v>116984.68296000001</v>
      </c>
      <c r="E27" s="19">
        <f t="shared" si="3"/>
        <v>125186.24217400001</v>
      </c>
      <c r="F27" s="19">
        <f t="shared" si="3"/>
        <v>129900.41042400002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5"/>
        <v>48294.757790000003</v>
      </c>
      <c r="C28" s="19">
        <f t="shared" si="6"/>
        <v>97648.34739000001</v>
      </c>
      <c r="D28" s="19">
        <f t="shared" si="6"/>
        <v>115952.59353000001</v>
      </c>
      <c r="E28" s="19">
        <f t="shared" si="3"/>
        <v>124786.08131000001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5"/>
        <v>52590.220249999998</v>
      </c>
      <c r="C29" s="19">
        <f t="shared" si="6"/>
        <v>103196.04024999999</v>
      </c>
      <c r="D29" s="19">
        <f t="shared" si="6"/>
        <v>121799.75327999999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5"/>
        <v>58599</v>
      </c>
      <c r="C30" s="19">
        <f t="shared" si="6"/>
        <v>112342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5"/>
        <v>60361.276160000001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7">C19</f>
        <v>1</v>
      </c>
      <c r="D34">
        <f t="shared" si="7"/>
        <v>2</v>
      </c>
      <c r="E34">
        <f t="shared" si="7"/>
        <v>3</v>
      </c>
      <c r="F34">
        <f t="shared" si="7"/>
        <v>4</v>
      </c>
      <c r="G34">
        <f t="shared" si="7"/>
        <v>5</v>
      </c>
      <c r="H34">
        <f t="shared" si="7"/>
        <v>6</v>
      </c>
      <c r="I34">
        <f t="shared" si="7"/>
        <v>7</v>
      </c>
      <c r="J34">
        <f t="shared" si="7"/>
        <v>8</v>
      </c>
      <c r="K34">
        <f t="shared" si="7"/>
        <v>9</v>
      </c>
      <c r="L34">
        <f t="shared" si="7"/>
        <v>10</v>
      </c>
      <c r="M34">
        <f t="shared" si="7"/>
        <v>11</v>
      </c>
    </row>
    <row r="35" spans="1:13" x14ac:dyDescent="0.6">
      <c r="A35">
        <f>A20</f>
        <v>1993</v>
      </c>
      <c r="B35" s="4">
        <f t="shared" ref="B35:M35" si="8">C20/B20</f>
        <v>2.0282974196169148</v>
      </c>
      <c r="C35" s="4">
        <f t="shared" si="8"/>
        <v>1.2160231996475825</v>
      </c>
      <c r="D35" s="4">
        <f t="shared" si="8"/>
        <v>1.073317866507391</v>
      </c>
      <c r="E35" s="4">
        <f t="shared" si="8"/>
        <v>1.0362118012321537</v>
      </c>
      <c r="F35" s="4">
        <f t="shared" si="8"/>
        <v>1.0302356584560437</v>
      </c>
      <c r="G35" s="4">
        <f t="shared" si="8"/>
        <v>1.0165919400082364</v>
      </c>
      <c r="H35" s="4">
        <f t="shared" si="8"/>
        <v>1.0151535009515595</v>
      </c>
      <c r="I35" s="4">
        <f t="shared" si="8"/>
        <v>1.0113475648940662</v>
      </c>
      <c r="J35" s="4">
        <f t="shared" si="8"/>
        <v>1.0102503829512732</v>
      </c>
      <c r="K35" s="4">
        <f t="shared" si="8"/>
        <v>1.0033252837701321</v>
      </c>
      <c r="L35" s="4">
        <f t="shared" si="8"/>
        <v>1.0085498376415254</v>
      </c>
      <c r="M35" s="4">
        <f t="shared" si="8"/>
        <v>1.0124522638391824</v>
      </c>
    </row>
    <row r="36" spans="1:13" x14ac:dyDescent="0.6">
      <c r="A36">
        <f t="shared" ref="A36:A45" si="9">A21</f>
        <v>1994</v>
      </c>
      <c r="B36" s="4">
        <f t="shared" ref="B36:K36" si="10">C21/B21</f>
        <v>2.1296261508729835</v>
      </c>
      <c r="C36" s="4">
        <f t="shared" si="10"/>
        <v>1.1974652966940986</v>
      </c>
      <c r="D36" s="4">
        <f t="shared" si="10"/>
        <v>1.0719934476814301</v>
      </c>
      <c r="E36" s="4">
        <f t="shared" si="10"/>
        <v>1.0329824700495323</v>
      </c>
      <c r="F36" s="4">
        <f t="shared" si="10"/>
        <v>1.0268331950712166</v>
      </c>
      <c r="G36" s="4">
        <f t="shared" si="10"/>
        <v>1.009904786338933</v>
      </c>
      <c r="H36" s="4">
        <f t="shared" si="10"/>
        <v>1.0114953875618273</v>
      </c>
      <c r="I36" s="4">
        <f t="shared" si="10"/>
        <v>1.0077499515007038</v>
      </c>
      <c r="J36" s="4">
        <f t="shared" si="10"/>
        <v>1.0048019411999829</v>
      </c>
      <c r="K36" s="4">
        <f t="shared" si="10"/>
        <v>1.0047593261210175</v>
      </c>
      <c r="L36" s="4"/>
      <c r="M36" s="4"/>
    </row>
    <row r="37" spans="1:13" x14ac:dyDescent="0.6">
      <c r="A37">
        <f t="shared" si="9"/>
        <v>1995</v>
      </c>
      <c r="B37" s="4">
        <f t="shared" ref="B37:J37" si="11">C22/B22</f>
        <v>2.0622281062870993</v>
      </c>
      <c r="C37" s="4">
        <f t="shared" si="11"/>
        <v>1.1662535894623522</v>
      </c>
      <c r="D37" s="4">
        <f t="shared" si="11"/>
        <v>1.0664135237676928</v>
      </c>
      <c r="E37" s="4">
        <f t="shared" si="11"/>
        <v>1.0310641885004925</v>
      </c>
      <c r="F37" s="4">
        <f t="shared" si="11"/>
        <v>1.0126572884240004</v>
      </c>
      <c r="G37" s="4">
        <f t="shared" si="11"/>
        <v>1.0123563014270842</v>
      </c>
      <c r="H37" s="4">
        <f t="shared" si="11"/>
        <v>1.0110801335325594</v>
      </c>
      <c r="I37" s="4">
        <f t="shared" si="11"/>
        <v>1.0087341916704313</v>
      </c>
      <c r="J37" s="4">
        <f t="shared" si="11"/>
        <v>1.0053551937629057</v>
      </c>
      <c r="K37" s="4"/>
      <c r="L37" s="4"/>
      <c r="M37" s="4"/>
    </row>
    <row r="38" spans="1:13" x14ac:dyDescent="0.6">
      <c r="A38">
        <f t="shared" si="9"/>
        <v>1996</v>
      </c>
      <c r="B38" s="4">
        <f t="shared" ref="B38:I38" si="12">C23/B23</f>
        <v>2.1009800909582736</v>
      </c>
      <c r="C38" s="4">
        <f t="shared" si="12"/>
        <v>1.1810062947594349</v>
      </c>
      <c r="D38" s="4">
        <f t="shared" si="12"/>
        <v>1.0557784857884482</v>
      </c>
      <c r="E38" s="4">
        <f t="shared" si="12"/>
        <v>1.0247024630417849</v>
      </c>
      <c r="F38" s="4">
        <f t="shared" si="12"/>
        <v>1.0182892103027594</v>
      </c>
      <c r="G38" s="4">
        <f t="shared" si="12"/>
        <v>1.0193409912546454</v>
      </c>
      <c r="H38" s="4">
        <f t="shared" si="12"/>
        <v>1.0105166268412891</v>
      </c>
      <c r="I38" s="4">
        <f t="shared" si="12"/>
        <v>1.0076680112771106</v>
      </c>
      <c r="J38" s="4"/>
      <c r="K38" s="4"/>
      <c r="L38" s="4"/>
      <c r="M38" s="4"/>
    </row>
    <row r="39" spans="1:13" x14ac:dyDescent="0.6">
      <c r="A39">
        <f t="shared" si="9"/>
        <v>1997</v>
      </c>
      <c r="B39" s="4">
        <f t="shared" ref="B39:H39" si="13">C24/B24</f>
        <v>2.0311474564863432</v>
      </c>
      <c r="C39" s="4">
        <f t="shared" si="13"/>
        <v>1.1711869656680589</v>
      </c>
      <c r="D39" s="4">
        <f t="shared" si="13"/>
        <v>1.0521991531894246</v>
      </c>
      <c r="E39" s="4">
        <f t="shared" si="13"/>
        <v>1.0230080848043046</v>
      </c>
      <c r="F39" s="4">
        <f t="shared" si="13"/>
        <v>1.0257281777464446</v>
      </c>
      <c r="G39" s="4">
        <f t="shared" si="13"/>
        <v>1.0111705293452484</v>
      </c>
      <c r="H39" s="4">
        <f t="shared" si="13"/>
        <v>1.0095961691479005</v>
      </c>
      <c r="I39" s="4"/>
      <c r="J39" s="4"/>
      <c r="K39" s="4"/>
      <c r="L39" s="4"/>
      <c r="M39" s="4"/>
    </row>
    <row r="40" spans="1:13" x14ac:dyDescent="0.6">
      <c r="A40">
        <f t="shared" si="9"/>
        <v>1998</v>
      </c>
      <c r="B40" s="4">
        <f t="shared" ref="B40:G40" si="14">C25/B25</f>
        <v>1.955184982843192</v>
      </c>
      <c r="C40" s="4">
        <f t="shared" si="14"/>
        <v>1.1814509355388039</v>
      </c>
      <c r="D40" s="4">
        <f t="shared" si="14"/>
        <v>1.0605556172585144</v>
      </c>
      <c r="E40" s="4">
        <f t="shared" si="14"/>
        <v>1.0319253342535448</v>
      </c>
      <c r="F40" s="4">
        <f t="shared" si="14"/>
        <v>1.021437377162792</v>
      </c>
      <c r="G40" s="4">
        <f t="shared" si="14"/>
        <v>1.017452571578791</v>
      </c>
      <c r="H40" s="4"/>
      <c r="I40" s="4"/>
      <c r="J40" s="4"/>
      <c r="K40" s="4"/>
      <c r="L40" s="4"/>
      <c r="M40" s="4"/>
    </row>
    <row r="41" spans="1:13" x14ac:dyDescent="0.6">
      <c r="A41">
        <f t="shared" si="9"/>
        <v>1999</v>
      </c>
      <c r="B41" s="4">
        <f>C26/B26</f>
        <v>2.0074880075836687</v>
      </c>
      <c r="C41" s="4">
        <f>D26/C26</f>
        <v>1.1964659712874268</v>
      </c>
      <c r="D41" s="4">
        <f>E26/D26</f>
        <v>1.0843006547935803</v>
      </c>
      <c r="E41" s="4">
        <f>F26/E26</f>
        <v>1.0444940013550876</v>
      </c>
      <c r="F41" s="4">
        <f>G26/F26</f>
        <v>1.0245423961507978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9"/>
        <v>2000</v>
      </c>
      <c r="B42" s="4">
        <f>C27/B27</f>
        <v>2.0707734054403759</v>
      </c>
      <c r="C42" s="4">
        <f>D27/C27</f>
        <v>1.217271534046459</v>
      </c>
      <c r="D42" s="4">
        <f>E27/D27</f>
        <v>1.0701079748773976</v>
      </c>
      <c r="E42" s="4">
        <f>F27/E27</f>
        <v>1.037657239071428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9"/>
        <v>2001</v>
      </c>
      <c r="B43" s="4">
        <f>C28/B28</f>
        <v>2.0219243631908066</v>
      </c>
      <c r="C43" s="4">
        <f>D28/C28</f>
        <v>1.1874506494912223</v>
      </c>
      <c r="D43" s="4">
        <f>E28/D28</f>
        <v>1.0761818904698714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9"/>
        <v>2002</v>
      </c>
      <c r="B44" s="4">
        <f>C29/B29</f>
        <v>1.9622667438819101</v>
      </c>
      <c r="C44" s="4">
        <f>D29/C29</f>
        <v>1.1802754542221885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9"/>
        <v>2003</v>
      </c>
      <c r="B45" s="4">
        <f>C30/B30</f>
        <v>1.9171316916670933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2.0171433188244361</v>
      </c>
      <c r="C48" s="27">
        <f>SUM(D$20:D29)/SUM(C$20:C29)</f>
        <v>1.188719647365996</v>
      </c>
      <c r="D48" s="27">
        <f>SUM(E$20:E28)/SUM(D$20:D28)</f>
        <v>1.0679386190747573</v>
      </c>
      <c r="E48" s="27">
        <f>SUM(F$20:F27)/SUM(E$20:E27)</f>
        <v>1.0330080258939325</v>
      </c>
      <c r="F48" s="27">
        <f>SUM(G$20:G26)/SUM(F$20:F26)</f>
        <v>1.0225796785638588</v>
      </c>
      <c r="G48" s="27">
        <f>SUM(H$20:H25)/SUM(G$20:G25)</f>
        <v>1.0145918797043163</v>
      </c>
      <c r="H48" s="27">
        <f>SUM(I$20:I24)/SUM(H$20:H24)</f>
        <v>1.0113450250708893</v>
      </c>
      <c r="I48" s="27">
        <f>SUM(J$20:J23)/SUM(I$20:I23)</f>
        <v>1.0087400099976809</v>
      </c>
      <c r="J48" s="27">
        <f>SUM(K$20:K22)/SUM(J$20:J22)</f>
        <v>1.0066166186595176</v>
      </c>
      <c r="K48" s="27">
        <f>SUM(L$20:L21)/SUM(K$20:K21)</f>
        <v>1.0040863784742426</v>
      </c>
      <c r="L48" s="27">
        <f>SUM(M$20:M20)/SUM(L$20:L20)</f>
        <v>1.0085498376415254</v>
      </c>
      <c r="M48" s="27">
        <f>SUM(N$20:N20)/SUM(M$20:M20)</f>
        <v>1.0124522638391824</v>
      </c>
    </row>
    <row r="49" spans="1:13" x14ac:dyDescent="0.6">
      <c r="A49" s="25" t="s">
        <v>1</v>
      </c>
      <c r="B49" s="24">
        <f>AVERAGE(B35:B45)</f>
        <v>2.0260953108026056</v>
      </c>
      <c r="C49" s="24">
        <f>AVERAGE(C35:C45)</f>
        <v>1.1894849890817627</v>
      </c>
      <c r="D49" s="24">
        <f t="shared" ref="D49:M49" si="15">AVERAGE(D35:D45)</f>
        <v>1.0678720682593057</v>
      </c>
      <c r="E49" s="24">
        <f t="shared" si="15"/>
        <v>1.0327556977885413</v>
      </c>
      <c r="F49" s="24">
        <f t="shared" si="15"/>
        <v>1.0228176147591506</v>
      </c>
      <c r="G49" s="24">
        <f t="shared" si="15"/>
        <v>1.0144695199921563</v>
      </c>
      <c r="H49" s="24">
        <f t="shared" si="15"/>
        <v>1.0115683636070272</v>
      </c>
      <c r="I49" s="24">
        <f t="shared" si="15"/>
        <v>1.0088749298355779</v>
      </c>
      <c r="J49" s="24">
        <f t="shared" si="15"/>
        <v>1.0068025059713872</v>
      </c>
      <c r="K49" s="24">
        <f t="shared" si="15"/>
        <v>1.0040423049455747</v>
      </c>
      <c r="L49" s="24">
        <f t="shared" si="15"/>
        <v>1.0085498376415254</v>
      </c>
      <c r="M49" s="24">
        <f t="shared" si="15"/>
        <v>1.0124522638391824</v>
      </c>
    </row>
    <row r="50" spans="1:13" x14ac:dyDescent="0.6">
      <c r="A50" s="25" t="s">
        <v>3</v>
      </c>
      <c r="B50" s="24">
        <f>AVERAGE(B42:B45)</f>
        <v>1.9930240510450465</v>
      </c>
      <c r="C50" s="24">
        <f>AVERAGE(C41:C44)</f>
        <v>1.1953659022618242</v>
      </c>
      <c r="D50" s="24">
        <f>AVERAGE(D40:D43)</f>
        <v>1.0727865343498408</v>
      </c>
      <c r="E50" s="24">
        <f>AVERAGE(E39:E42)</f>
        <v>1.0342711648710912</v>
      </c>
      <c r="F50" s="24">
        <f>AVERAGE(F38:F41)</f>
        <v>1.0224992903406984</v>
      </c>
      <c r="G50" s="24">
        <f>AVERAGE(G37:G40)</f>
        <v>1.0150800984014423</v>
      </c>
      <c r="H50" s="24">
        <f>AVERAGE(H36:H39)</f>
        <v>1.0106720792708941</v>
      </c>
      <c r="I50" s="24">
        <f>AVERAGE(I35:I38)</f>
        <v>1.0088749298355779</v>
      </c>
      <c r="J50" s="24">
        <f>J49</f>
        <v>1.0068025059713872</v>
      </c>
      <c r="K50" s="24">
        <f>K49</f>
        <v>1.0040423049455747</v>
      </c>
      <c r="L50" s="24">
        <f>L49</f>
        <v>1.0085498376415254</v>
      </c>
      <c r="M50" s="24">
        <f>M49</f>
        <v>1.0124522638391824</v>
      </c>
    </row>
    <row r="52" spans="1:13" x14ac:dyDescent="0.6">
      <c r="A52" s="13" t="s">
        <v>2</v>
      </c>
      <c r="B52" s="26">
        <f>PRODUCT(B48:$M48)</f>
        <v>2.8896178065835776</v>
      </c>
      <c r="C52" s="26">
        <f>PRODUCT(C48:$M48)</f>
        <v>1.4325297462094104</v>
      </c>
      <c r="D52" s="26">
        <f>PRODUCT(D48:$M48)</f>
        <v>1.2051031118932516</v>
      </c>
      <c r="E52" s="26">
        <f>PRODUCT(E48:$M48)</f>
        <v>1.12843855477137</v>
      </c>
      <c r="F52" s="26">
        <f>PRODUCT(F48:$M48)</f>
        <v>1.0923812075853474</v>
      </c>
      <c r="G52" s="26">
        <f>PRODUCT(G48:$M48)</f>
        <v>1.0682602348596641</v>
      </c>
      <c r="H52" s="26">
        <f>PRODUCT(H48:$M48)</f>
        <v>1.0528964958511084</v>
      </c>
      <c r="I52" s="26">
        <f>PRODUCT(I48:$M48)</f>
        <v>1.0410853563820186</v>
      </c>
      <c r="J52" s="26">
        <f>PRODUCT(J48:$M48)</f>
        <v>1.0320650971149763</v>
      </c>
      <c r="K52" s="26">
        <f>PRODUCT(K48:$M48)</f>
        <v>1.0252812023800559</v>
      </c>
      <c r="L52" s="26">
        <f>PRODUCT(L48:$M48)</f>
        <v>1.0211085663148023</v>
      </c>
      <c r="M52" s="26">
        <f>PRODUCT(M48:$M48)</f>
        <v>1.0124522638391824</v>
      </c>
    </row>
    <row r="53" spans="1:13" x14ac:dyDescent="0.6">
      <c r="A53" s="13" t="s">
        <v>4</v>
      </c>
      <c r="B53" s="4">
        <f>PRODUCT(B49:$M49)</f>
        <v>2.9051840680849659</v>
      </c>
      <c r="C53" s="4">
        <f>PRODUCT(C49:$M49)</f>
        <v>1.4338832199034719</v>
      </c>
      <c r="D53" s="4">
        <f>PRODUCT(D49:$M49)</f>
        <v>1.2054655864218813</v>
      </c>
      <c r="E53" s="4">
        <f>PRODUCT(E49:$M49)</f>
        <v>1.1288483164344405</v>
      </c>
      <c r="F53" s="4">
        <f>PRODUCT(F49:$M49)</f>
        <v>1.0930448690350139</v>
      </c>
      <c r="G53" s="4">
        <f>PRODUCT(G49:$M49)</f>
        <v>1.0686605835316982</v>
      </c>
      <c r="H53" s="4">
        <f>PRODUCT(H49:$M49)</f>
        <v>1.0534181288561151</v>
      </c>
      <c r="I53" s="4">
        <f>PRODUCT(I49:$M49)</f>
        <v>1.0413711685287004</v>
      </c>
      <c r="J53" s="4">
        <f>PRODUCT(J49:$M49)</f>
        <v>1.0322103738849162</v>
      </c>
      <c r="K53" s="4">
        <f>PRODUCT(K49:$M49)</f>
        <v>1.0252361985223852</v>
      </c>
      <c r="L53" s="4">
        <f>PRODUCT(L49:$M49)</f>
        <v>1.0211085663148023</v>
      </c>
      <c r="M53" s="4">
        <f>PRODUCT(M49:$M49)</f>
        <v>1.0124522638391824</v>
      </c>
    </row>
    <row r="54" spans="1:13" x14ac:dyDescent="0.6">
      <c r="A54" s="13" t="s">
        <v>5</v>
      </c>
      <c r="B54" s="4">
        <f>PRODUCT(B50:$M50)</f>
        <v>2.8876215856619649</v>
      </c>
      <c r="C54" s="4">
        <f>PRODUCT(C50:$M50)</f>
        <v>1.4488643948615851</v>
      </c>
      <c r="D54" s="4">
        <f>PRODUCT(D50:$M50)</f>
        <v>1.2120676958578962</v>
      </c>
      <c r="E54" s="4">
        <f>PRODUCT(E50:$M50)</f>
        <v>1.129831198517482</v>
      </c>
      <c r="F54" s="4">
        <f>PRODUCT(F50:$M50)</f>
        <v>1.0923935974356407</v>
      </c>
      <c r="G54" s="4">
        <f>PRODUCT(G50:$M50)</f>
        <v>1.0683563379996612</v>
      </c>
      <c r="H54" s="4">
        <f>PRODUCT(H50:$M50)</f>
        <v>1.0524847641896622</v>
      </c>
      <c r="I54" s="4">
        <f>PRODUCT(I50:$M50)</f>
        <v>1.0413711685287004</v>
      </c>
      <c r="J54" s="4">
        <f>PRODUCT(J50:$M50)</f>
        <v>1.0322103738849162</v>
      </c>
      <c r="K54" s="4">
        <f>PRODUCT(K50:$M50)</f>
        <v>1.0252361985223852</v>
      </c>
      <c r="L54" s="4">
        <f>PRODUCT(L50:$M50)</f>
        <v>1.0211085663148023</v>
      </c>
      <c r="M54" s="4">
        <f>PRODUCT(M50:$M50)</f>
        <v>1.0124522638391824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2.8896178065835776</v>
      </c>
      <c r="C56" s="35">
        <f t="shared" ref="C56:M56" si="16">IF($A$55=1,C52,IF($A$55=2,C53,C54))</f>
        <v>1.4325297462094104</v>
      </c>
      <c r="D56" s="35">
        <f t="shared" si="16"/>
        <v>1.2051031118932516</v>
      </c>
      <c r="E56" s="35">
        <f t="shared" si="16"/>
        <v>1.12843855477137</v>
      </c>
      <c r="F56" s="35">
        <f t="shared" si="16"/>
        <v>1.0923812075853474</v>
      </c>
      <c r="G56" s="35">
        <f t="shared" si="16"/>
        <v>1.0682602348596641</v>
      </c>
      <c r="H56" s="35">
        <f t="shared" si="16"/>
        <v>1.0528964958511084</v>
      </c>
      <c r="I56" s="35">
        <f t="shared" si="16"/>
        <v>1.0410853563820186</v>
      </c>
      <c r="J56" s="35">
        <f t="shared" si="16"/>
        <v>1.0320650971149763</v>
      </c>
      <c r="K56" s="35">
        <f t="shared" si="16"/>
        <v>1.0252812023800559</v>
      </c>
      <c r="L56" s="35">
        <f t="shared" si="16"/>
        <v>1.0211085663148023</v>
      </c>
      <c r="M56" s="35">
        <f t="shared" si="16"/>
        <v>1.0124522638391824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13" t="s">
        <v>14</v>
      </c>
      <c r="C59" t="s">
        <v>10</v>
      </c>
      <c r="D59" s="13" t="s">
        <v>15</v>
      </c>
      <c r="E59" s="13" t="s">
        <v>16</v>
      </c>
    </row>
    <row r="60" spans="1:13" x14ac:dyDescent="0.6">
      <c r="A60">
        <f t="shared" ref="A60:A71" si="17">A35</f>
        <v>1993</v>
      </c>
      <c r="B60" s="1">
        <f>M20</f>
        <v>85774.613178299987</v>
      </c>
      <c r="C60" s="31">
        <f>M56</f>
        <v>1.0124522638391824</v>
      </c>
      <c r="D60" s="30">
        <f>B60*C60</f>
        <v>86842.701292299986</v>
      </c>
      <c r="E60" s="32">
        <f>D60-B60</f>
        <v>1068.0881139999983</v>
      </c>
    </row>
    <row r="61" spans="1:13" x14ac:dyDescent="0.6">
      <c r="A61">
        <f t="shared" si="17"/>
        <v>1994</v>
      </c>
      <c r="B61" s="1">
        <f>L21</f>
        <v>96325.02158249999</v>
      </c>
      <c r="C61" s="31">
        <f>L56</f>
        <v>1.0211085663148023</v>
      </c>
      <c r="D61" s="30">
        <f t="shared" ref="D61:D71" si="18">B61*C61</f>
        <v>98358.304688348959</v>
      </c>
      <c r="E61" s="32">
        <f t="shared" ref="E61:E71" si="19">D61-B61</f>
        <v>2033.2831058489683</v>
      </c>
    </row>
    <row r="62" spans="1:13" x14ac:dyDescent="0.6">
      <c r="A62">
        <f t="shared" si="17"/>
        <v>1995</v>
      </c>
      <c r="B62" s="1">
        <f>K22</f>
        <v>105007.48487610002</v>
      </c>
      <c r="C62" s="31">
        <f>K56</f>
        <v>1.0252812023800559</v>
      </c>
      <c r="D62" s="30">
        <f t="shared" si="18"/>
        <v>107662.20035267336</v>
      </c>
      <c r="E62" s="32">
        <f t="shared" si="19"/>
        <v>2654.715476573343</v>
      </c>
    </row>
    <row r="63" spans="1:13" x14ac:dyDescent="0.6">
      <c r="A63">
        <f t="shared" si="17"/>
        <v>1996</v>
      </c>
      <c r="B63" s="1">
        <f>J23</f>
        <v>114674.41313589999</v>
      </c>
      <c r="C63" s="31">
        <f>J56</f>
        <v>1.0320650971149763</v>
      </c>
      <c r="D63" s="30">
        <f t="shared" si="18"/>
        <v>118351.45932970554</v>
      </c>
      <c r="E63" s="32">
        <f t="shared" si="19"/>
        <v>3677.0461938055523</v>
      </c>
    </row>
    <row r="64" spans="1:13" x14ac:dyDescent="0.6">
      <c r="A64">
        <f t="shared" si="17"/>
        <v>1997</v>
      </c>
      <c r="B64" s="1">
        <f>I24</f>
        <v>118289.46107000002</v>
      </c>
      <c r="C64" s="31">
        <f>I56</f>
        <v>1.0410853563820186</v>
      </c>
      <c r="D64" s="30">
        <f t="shared" si="18"/>
        <v>123149.42573429788</v>
      </c>
      <c r="E64" s="32">
        <f t="shared" si="19"/>
        <v>4859.9646642978623</v>
      </c>
    </row>
    <row r="65" spans="1:7" x14ac:dyDescent="0.6">
      <c r="A65">
        <f t="shared" si="17"/>
        <v>1998</v>
      </c>
      <c r="B65" s="1">
        <f>H25</f>
        <v>132138.57105614999</v>
      </c>
      <c r="C65" s="31">
        <f>H56</f>
        <v>1.0528964958511084</v>
      </c>
      <c r="D65" s="30">
        <f t="shared" si="18"/>
        <v>139128.23843179303</v>
      </c>
      <c r="E65" s="32">
        <f t="shared" si="19"/>
        <v>6989.6673756430391</v>
      </c>
    </row>
    <row r="66" spans="1:7" x14ac:dyDescent="0.6">
      <c r="A66">
        <f t="shared" si="17"/>
        <v>1999</v>
      </c>
      <c r="B66" s="1">
        <f>G26</f>
        <v>138291.0141644</v>
      </c>
      <c r="C66" s="31">
        <f>G56</f>
        <v>1.0682602348596641</v>
      </c>
      <c r="D66" s="30">
        <f t="shared" si="18"/>
        <v>147730.79127024309</v>
      </c>
      <c r="E66" s="32">
        <f t="shared" si="19"/>
        <v>9439.7771058430953</v>
      </c>
    </row>
    <row r="67" spans="1:7" x14ac:dyDescent="0.6">
      <c r="A67">
        <f t="shared" si="17"/>
        <v>2000</v>
      </c>
      <c r="B67" s="1">
        <f>F27</f>
        <v>129900.41042400002</v>
      </c>
      <c r="C67" s="31">
        <f>F56</f>
        <v>1.0923812075853474</v>
      </c>
      <c r="D67" s="30">
        <f t="shared" si="18"/>
        <v>141900.76720480138</v>
      </c>
      <c r="E67" s="32">
        <f t="shared" si="19"/>
        <v>12000.356780801361</v>
      </c>
    </row>
    <row r="68" spans="1:7" x14ac:dyDescent="0.6">
      <c r="A68">
        <f t="shared" si="17"/>
        <v>2001</v>
      </c>
      <c r="B68" s="1">
        <f>E28</f>
        <v>124786.08131000001</v>
      </c>
      <c r="C68" s="31">
        <f>E56</f>
        <v>1.12843855477137</v>
      </c>
      <c r="D68" s="30">
        <f t="shared" si="18"/>
        <v>140813.42524903908</v>
      </c>
      <c r="E68" s="32">
        <f t="shared" si="19"/>
        <v>16027.34393903907</v>
      </c>
    </row>
    <row r="69" spans="1:7" x14ac:dyDescent="0.6">
      <c r="A69">
        <f t="shared" si="17"/>
        <v>2002</v>
      </c>
      <c r="B69" s="1">
        <f>D29</f>
        <v>121799.75327999999</v>
      </c>
      <c r="C69" s="31">
        <f>D56</f>
        <v>1.2051031118932516</v>
      </c>
      <c r="D69" s="30">
        <f t="shared" si="18"/>
        <v>146781.26170555825</v>
      </c>
      <c r="E69" s="32">
        <f t="shared" si="19"/>
        <v>24981.508425558262</v>
      </c>
    </row>
    <row r="70" spans="1:7" x14ac:dyDescent="0.6">
      <c r="A70">
        <f t="shared" si="17"/>
        <v>2003</v>
      </c>
      <c r="B70" s="1">
        <f>C30</f>
        <v>112342</v>
      </c>
      <c r="C70" s="31">
        <f>C56</f>
        <v>1.4325297462094104</v>
      </c>
      <c r="D70" s="30">
        <f t="shared" si="18"/>
        <v>160933.25674865759</v>
      </c>
      <c r="E70" s="32">
        <f t="shared" si="19"/>
        <v>48591.256748657586</v>
      </c>
    </row>
    <row r="71" spans="1:7" x14ac:dyDescent="0.6">
      <c r="A71">
        <f t="shared" si="17"/>
        <v>2004</v>
      </c>
      <c r="B71" s="1">
        <f>B31</f>
        <v>60361.276160000001</v>
      </c>
      <c r="C71" s="31">
        <f>B56</f>
        <v>2.8896178065835776</v>
      </c>
      <c r="D71" s="30">
        <f t="shared" si="18"/>
        <v>174421.0184200448</v>
      </c>
      <c r="E71" s="32">
        <f t="shared" si="19"/>
        <v>114059.74226004479</v>
      </c>
    </row>
    <row r="72" spans="1:7" x14ac:dyDescent="0.6">
      <c r="B72" s="32">
        <f>SUM(B60:B71)</f>
        <v>1339690.10023735</v>
      </c>
      <c r="D72" s="32">
        <f>SUM(D60:D71)</f>
        <v>1586072.8504274632</v>
      </c>
      <c r="E72" s="39">
        <f>SUM(E60:E71)</f>
        <v>246382.75019011291</v>
      </c>
      <c r="G72" s="3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"/>
  <sheetViews>
    <sheetView workbookViewId="0">
      <selection activeCell="D1" sqref="D1"/>
    </sheetView>
  </sheetViews>
  <sheetFormatPr defaultRowHeight="13" x14ac:dyDescent="0.6"/>
  <cols>
    <col min="1" max="1" width="11" customWidth="1"/>
    <col min="2" max="2" width="17.453125" bestFit="1" customWidth="1"/>
    <col min="3" max="3" width="10.7265625" bestFit="1" customWidth="1"/>
    <col min="4" max="4" width="11.7265625" bestFit="1" customWidth="1"/>
    <col min="5" max="13" width="10.72656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975.6</v>
      </c>
      <c r="C3" s="6">
        <v>1508.4</v>
      </c>
      <c r="D3" s="6">
        <v>674.1</v>
      </c>
      <c r="E3" s="6">
        <v>415.8</v>
      </c>
      <c r="F3" s="6">
        <v>514.80000000000007</v>
      </c>
      <c r="G3" s="6">
        <v>903.6</v>
      </c>
      <c r="H3" s="6">
        <v>1026</v>
      </c>
      <c r="I3" s="6">
        <v>821.7</v>
      </c>
      <c r="J3" s="6">
        <v>434.04300000000001</v>
      </c>
      <c r="K3" s="6">
        <v>329.28839999999997</v>
      </c>
      <c r="L3" s="6">
        <v>242.42400000000001</v>
      </c>
      <c r="M3" s="6">
        <v>368</v>
      </c>
      <c r="N3" s="7">
        <v>2929</v>
      </c>
    </row>
    <row r="4" spans="1:14" x14ac:dyDescent="0.6">
      <c r="A4">
        <f>A3+1</f>
        <v>1994</v>
      </c>
      <c r="B4" s="8">
        <v>1253.7</v>
      </c>
      <c r="C4" s="2">
        <v>2601.9</v>
      </c>
      <c r="D4" s="2">
        <v>743.4</v>
      </c>
      <c r="E4" s="2">
        <v>438.3</v>
      </c>
      <c r="F4" s="2">
        <v>1431.9</v>
      </c>
      <c r="G4" s="2">
        <v>1355.4</v>
      </c>
      <c r="H4" s="2">
        <v>907.2</v>
      </c>
      <c r="I4" s="2">
        <v>671.57460000000003</v>
      </c>
      <c r="J4" s="2">
        <v>466.13159999999999</v>
      </c>
      <c r="K4" s="2">
        <v>559.37699999999995</v>
      </c>
      <c r="L4" s="2">
        <v>238.3425</v>
      </c>
      <c r="M4" s="3"/>
      <c r="N4" s="9"/>
    </row>
    <row r="5" spans="1:14" x14ac:dyDescent="0.6">
      <c r="A5">
        <f t="shared" ref="A5:A14" si="1">A4+1</f>
        <v>1995</v>
      </c>
      <c r="B5" s="8">
        <v>1776.6000000000001</v>
      </c>
      <c r="C5" s="2">
        <v>2457.9</v>
      </c>
      <c r="D5" s="2">
        <v>811.80000000000007</v>
      </c>
      <c r="E5" s="2">
        <v>763.2</v>
      </c>
      <c r="F5" s="2">
        <v>1009.8000000000001</v>
      </c>
      <c r="G5" s="2">
        <v>848.7</v>
      </c>
      <c r="H5" s="2">
        <v>1130.5719000000001</v>
      </c>
      <c r="I5" s="2">
        <v>1874.7972000000002</v>
      </c>
      <c r="J5" s="2">
        <v>636.07050000000004</v>
      </c>
      <c r="K5" s="2">
        <v>1364.3991000000001</v>
      </c>
      <c r="L5" s="3"/>
      <c r="M5" s="3"/>
      <c r="N5" s="9"/>
    </row>
    <row r="6" spans="1:14" x14ac:dyDescent="0.6">
      <c r="A6">
        <f t="shared" si="1"/>
        <v>1996</v>
      </c>
      <c r="B6" s="8">
        <v>1255.5</v>
      </c>
      <c r="C6" s="2">
        <v>1917</v>
      </c>
      <c r="D6" s="2">
        <v>1019.7</v>
      </c>
      <c r="E6" s="2">
        <v>551.70000000000005</v>
      </c>
      <c r="F6" s="2">
        <v>776.7</v>
      </c>
      <c r="G6" s="2">
        <v>1439.5149000000001</v>
      </c>
      <c r="H6" s="2">
        <v>2977.5518999999999</v>
      </c>
      <c r="I6" s="2">
        <v>1979.0792999999999</v>
      </c>
      <c r="J6" s="2">
        <v>728.54100000000005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998.1</v>
      </c>
      <c r="C7" s="2">
        <v>1976.4</v>
      </c>
      <c r="D7" s="2">
        <v>956.7</v>
      </c>
      <c r="E7" s="2">
        <v>444.6</v>
      </c>
      <c r="F7" s="2">
        <v>598.91669999999999</v>
      </c>
      <c r="G7" s="2">
        <v>793.38599999999997</v>
      </c>
      <c r="H7" s="2">
        <v>1109.6505</v>
      </c>
      <c r="I7" s="2">
        <v>1144.1925000000001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991.80000000000007</v>
      </c>
      <c r="C8" s="2">
        <v>1650.6000000000001</v>
      </c>
      <c r="D8" s="2">
        <v>612</v>
      </c>
      <c r="E8" s="2">
        <v>379.233</v>
      </c>
      <c r="F8" s="2">
        <v>452.17170000000004</v>
      </c>
      <c r="G8" s="2">
        <v>579.3021</v>
      </c>
      <c r="H8" s="2">
        <v>656.99279999999999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1025.1000000000001</v>
      </c>
      <c r="C9" s="2">
        <v>2025.9</v>
      </c>
      <c r="D9" s="2">
        <v>544.69439999999997</v>
      </c>
      <c r="E9" s="2">
        <v>304.45740000000001</v>
      </c>
      <c r="F9" s="2">
        <v>357.93360000000001</v>
      </c>
      <c r="G9" s="2">
        <v>1103.0742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1044.9000000000001</v>
      </c>
      <c r="C10" s="2">
        <v>1962.9</v>
      </c>
      <c r="D10" s="2">
        <v>641.2473</v>
      </c>
      <c r="E10" s="2">
        <v>436.12110000000001</v>
      </c>
      <c r="F10" s="2">
        <v>901.97190000000001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889.66890000000001</v>
      </c>
      <c r="C11" s="2">
        <v>1906.2693000000002</v>
      </c>
      <c r="D11" s="2">
        <v>3481.8732</v>
      </c>
      <c r="E11" s="2">
        <v>882.43560000000002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640.39049999999997</v>
      </c>
      <c r="C12" s="2">
        <v>1422.2456999999999</v>
      </c>
      <c r="D12" s="2">
        <v>689.76900000000001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784.5489</v>
      </c>
      <c r="C13" s="2">
        <v>1662.6123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893.63249999999994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975.6</v>
      </c>
      <c r="C20" s="16">
        <f>B20+C3</f>
        <v>2484</v>
      </c>
      <c r="D20" s="16">
        <f t="shared" ref="D20:N28" si="3">C20+D3</f>
        <v>3158.1</v>
      </c>
      <c r="E20" s="16">
        <f t="shared" si="3"/>
        <v>3573.9</v>
      </c>
      <c r="F20" s="16">
        <f t="shared" si="3"/>
        <v>4088.7000000000003</v>
      </c>
      <c r="G20" s="16">
        <f t="shared" si="3"/>
        <v>4992.3</v>
      </c>
      <c r="H20" s="16">
        <f t="shared" si="3"/>
        <v>6018.3</v>
      </c>
      <c r="I20" s="16">
        <f t="shared" si="3"/>
        <v>6840</v>
      </c>
      <c r="J20" s="16">
        <f t="shared" si="3"/>
        <v>7274.0429999999997</v>
      </c>
      <c r="K20" s="16">
        <f t="shared" si="3"/>
        <v>7603.3314</v>
      </c>
      <c r="L20" s="16">
        <f t="shared" si="3"/>
        <v>7845.7554</v>
      </c>
      <c r="M20" s="16">
        <f t="shared" si="3"/>
        <v>8213.7554</v>
      </c>
      <c r="N20" s="17">
        <f t="shared" si="3"/>
        <v>11142.7554</v>
      </c>
    </row>
    <row r="21" spans="1:14" x14ac:dyDescent="0.6">
      <c r="A21">
        <f t="shared" ref="A21:B31" si="4">A4</f>
        <v>1994</v>
      </c>
      <c r="B21" s="18">
        <f t="shared" si="4"/>
        <v>1253.7</v>
      </c>
      <c r="C21" s="19">
        <f t="shared" ref="C21:D30" si="5">B21+C4</f>
        <v>3855.6000000000004</v>
      </c>
      <c r="D21" s="19">
        <f t="shared" si="5"/>
        <v>4599</v>
      </c>
      <c r="E21" s="19">
        <f t="shared" si="3"/>
        <v>5037.3</v>
      </c>
      <c r="F21" s="19">
        <f t="shared" si="3"/>
        <v>6469.2000000000007</v>
      </c>
      <c r="G21" s="19">
        <f t="shared" si="3"/>
        <v>7824.6</v>
      </c>
      <c r="H21" s="19">
        <f t="shared" si="3"/>
        <v>8731.8000000000011</v>
      </c>
      <c r="I21" s="19">
        <f t="shared" si="3"/>
        <v>9403.374600000001</v>
      </c>
      <c r="J21" s="19">
        <f t="shared" si="3"/>
        <v>9869.5062000000016</v>
      </c>
      <c r="K21" s="19">
        <f t="shared" si="3"/>
        <v>10428.883200000002</v>
      </c>
      <c r="L21" s="19">
        <f t="shared" si="3"/>
        <v>10667.225700000003</v>
      </c>
      <c r="M21" s="20"/>
      <c r="N21" s="9"/>
    </row>
    <row r="22" spans="1:14" x14ac:dyDescent="0.6">
      <c r="A22">
        <f t="shared" si="4"/>
        <v>1995</v>
      </c>
      <c r="B22" s="18">
        <f t="shared" si="4"/>
        <v>1776.6000000000001</v>
      </c>
      <c r="C22" s="19">
        <f t="shared" si="5"/>
        <v>4234.5</v>
      </c>
      <c r="D22" s="19">
        <f t="shared" si="5"/>
        <v>5046.3</v>
      </c>
      <c r="E22" s="19">
        <f t="shared" si="3"/>
        <v>5809.5</v>
      </c>
      <c r="F22" s="19">
        <f t="shared" si="3"/>
        <v>6819.3</v>
      </c>
      <c r="G22" s="19">
        <f t="shared" si="3"/>
        <v>7668</v>
      </c>
      <c r="H22" s="19">
        <f t="shared" si="3"/>
        <v>8798.5719000000008</v>
      </c>
      <c r="I22" s="19">
        <f t="shared" si="3"/>
        <v>10673.369100000002</v>
      </c>
      <c r="J22" s="19">
        <f t="shared" si="3"/>
        <v>11309.439600000002</v>
      </c>
      <c r="K22" s="19">
        <f t="shared" si="3"/>
        <v>12673.838700000002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4"/>
        <v>1255.5</v>
      </c>
      <c r="C23" s="19">
        <f t="shared" si="5"/>
        <v>3172.5</v>
      </c>
      <c r="D23" s="19">
        <f t="shared" si="5"/>
        <v>4192.2</v>
      </c>
      <c r="E23" s="19">
        <f t="shared" si="3"/>
        <v>4743.8999999999996</v>
      </c>
      <c r="F23" s="19">
        <f t="shared" si="3"/>
        <v>5520.5999999999995</v>
      </c>
      <c r="G23" s="19">
        <f t="shared" si="3"/>
        <v>6960.1148999999996</v>
      </c>
      <c r="H23" s="19">
        <f t="shared" si="3"/>
        <v>9937.6667999999991</v>
      </c>
      <c r="I23" s="19">
        <f t="shared" si="3"/>
        <v>11916.746099999998</v>
      </c>
      <c r="J23" s="19">
        <f t="shared" si="3"/>
        <v>12645.287099999998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4"/>
        <v>998.1</v>
      </c>
      <c r="C24" s="19">
        <f t="shared" si="5"/>
        <v>2974.5</v>
      </c>
      <c r="D24" s="19">
        <f t="shared" si="5"/>
        <v>3931.2</v>
      </c>
      <c r="E24" s="19">
        <f t="shared" si="3"/>
        <v>4375.8</v>
      </c>
      <c r="F24" s="19">
        <f t="shared" si="3"/>
        <v>4974.7166999999999</v>
      </c>
      <c r="G24" s="19">
        <f t="shared" si="3"/>
        <v>5768.1026999999995</v>
      </c>
      <c r="H24" s="19">
        <f t="shared" si="3"/>
        <v>6877.7531999999992</v>
      </c>
      <c r="I24" s="19">
        <f t="shared" si="3"/>
        <v>8021.9456999999993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4"/>
        <v>991.80000000000007</v>
      </c>
      <c r="C25" s="19">
        <f t="shared" si="5"/>
        <v>2642.4</v>
      </c>
      <c r="D25" s="19">
        <f t="shared" si="5"/>
        <v>3254.4</v>
      </c>
      <c r="E25" s="19">
        <f t="shared" si="3"/>
        <v>3633.6330000000003</v>
      </c>
      <c r="F25" s="19">
        <f t="shared" si="3"/>
        <v>4085.8047000000001</v>
      </c>
      <c r="G25" s="19">
        <f t="shared" si="3"/>
        <v>4665.1068000000005</v>
      </c>
      <c r="H25" s="19">
        <f t="shared" si="3"/>
        <v>5322.0996000000005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4"/>
        <v>1025.1000000000001</v>
      </c>
      <c r="C26" s="19">
        <f t="shared" si="5"/>
        <v>3051</v>
      </c>
      <c r="D26" s="19">
        <f t="shared" si="5"/>
        <v>3595.6943999999999</v>
      </c>
      <c r="E26" s="19">
        <f t="shared" si="3"/>
        <v>3900.1517999999996</v>
      </c>
      <c r="F26" s="19">
        <f t="shared" si="3"/>
        <v>4258.0853999999999</v>
      </c>
      <c r="G26" s="19">
        <f t="shared" si="3"/>
        <v>5361.1596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4"/>
        <v>1044.9000000000001</v>
      </c>
      <c r="C27" s="19">
        <f t="shared" si="5"/>
        <v>3007.8</v>
      </c>
      <c r="D27" s="19">
        <f t="shared" si="5"/>
        <v>3649.0473000000002</v>
      </c>
      <c r="E27" s="19">
        <f t="shared" si="3"/>
        <v>4085.1684</v>
      </c>
      <c r="F27" s="19">
        <f t="shared" si="3"/>
        <v>4987.1403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4"/>
        <v>889.66890000000001</v>
      </c>
      <c r="C28" s="19">
        <f t="shared" si="5"/>
        <v>2795.9382000000001</v>
      </c>
      <c r="D28" s="19">
        <f t="shared" si="5"/>
        <v>6277.8114000000005</v>
      </c>
      <c r="E28" s="19">
        <f t="shared" si="3"/>
        <v>7160.2470000000003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4"/>
        <v>640.39049999999997</v>
      </c>
      <c r="C29" s="19">
        <f t="shared" si="5"/>
        <v>2062.6361999999999</v>
      </c>
      <c r="D29" s="19">
        <f t="shared" si="5"/>
        <v>2752.4052000000001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4"/>
        <v>784.5489</v>
      </c>
      <c r="C30" s="19">
        <f t="shared" si="5"/>
        <v>2447.1612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4"/>
        <v>893.63249999999994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6">C19</f>
        <v>1</v>
      </c>
      <c r="D34">
        <f t="shared" si="6"/>
        <v>2</v>
      </c>
      <c r="E34">
        <f t="shared" si="6"/>
        <v>3</v>
      </c>
      <c r="F34">
        <f t="shared" si="6"/>
        <v>4</v>
      </c>
      <c r="G34">
        <f t="shared" si="6"/>
        <v>5</v>
      </c>
      <c r="H34">
        <f t="shared" si="6"/>
        <v>6</v>
      </c>
      <c r="I34">
        <f t="shared" si="6"/>
        <v>7</v>
      </c>
      <c r="J34">
        <f t="shared" si="6"/>
        <v>8</v>
      </c>
      <c r="K34">
        <f t="shared" si="6"/>
        <v>9</v>
      </c>
      <c r="L34">
        <f t="shared" si="6"/>
        <v>10</v>
      </c>
      <c r="M34">
        <f t="shared" si="6"/>
        <v>11</v>
      </c>
    </row>
    <row r="35" spans="1:13" x14ac:dyDescent="0.6">
      <c r="A35">
        <f>A20</f>
        <v>1993</v>
      </c>
      <c r="B35" s="4">
        <f t="shared" ref="B35:M35" si="7">C20/B20</f>
        <v>2.5461254612546127</v>
      </c>
      <c r="C35" s="4">
        <f t="shared" si="7"/>
        <v>1.2713768115942028</v>
      </c>
      <c r="D35" s="4">
        <f t="shared" si="7"/>
        <v>1.1316614420062696</v>
      </c>
      <c r="E35" s="4">
        <f t="shared" si="7"/>
        <v>1.1440443213296398</v>
      </c>
      <c r="F35" s="4">
        <f t="shared" si="7"/>
        <v>1.2209993396434073</v>
      </c>
      <c r="G35" s="4">
        <f t="shared" si="7"/>
        <v>1.2055164954029205</v>
      </c>
      <c r="H35" s="4">
        <f t="shared" si="7"/>
        <v>1.136533572603559</v>
      </c>
      <c r="I35" s="4">
        <f t="shared" si="7"/>
        <v>1.0634565789473684</v>
      </c>
      <c r="J35" s="4">
        <f t="shared" si="7"/>
        <v>1.0452689652783191</v>
      </c>
      <c r="K35" s="4">
        <f t="shared" si="7"/>
        <v>1.031883918672807</v>
      </c>
      <c r="L35" s="4">
        <f t="shared" si="7"/>
        <v>1.0469043426971991</v>
      </c>
      <c r="M35" s="4">
        <f t="shared" si="7"/>
        <v>1.3565969349415981</v>
      </c>
    </row>
    <row r="36" spans="1:13" x14ac:dyDescent="0.6">
      <c r="A36">
        <f t="shared" ref="A36:A45" si="8">A21</f>
        <v>1994</v>
      </c>
      <c r="B36" s="4">
        <f t="shared" ref="B36:K36" si="9">C21/B21</f>
        <v>3.0753768844221105</v>
      </c>
      <c r="C36" s="4">
        <f t="shared" si="9"/>
        <v>1.1928104575163399</v>
      </c>
      <c r="D36" s="4">
        <f t="shared" si="9"/>
        <v>1.0953033268101762</v>
      </c>
      <c r="E36" s="4">
        <f t="shared" si="9"/>
        <v>1.2842594246917993</v>
      </c>
      <c r="F36" s="4">
        <f t="shared" si="9"/>
        <v>1.209515859766277</v>
      </c>
      <c r="G36" s="4">
        <f t="shared" si="9"/>
        <v>1.1159420289855073</v>
      </c>
      <c r="H36" s="4">
        <f t="shared" si="9"/>
        <v>1.076911358482787</v>
      </c>
      <c r="I36" s="4">
        <f t="shared" si="9"/>
        <v>1.0495706722137816</v>
      </c>
      <c r="J36" s="4">
        <f t="shared" si="9"/>
        <v>1.0566773036730044</v>
      </c>
      <c r="K36" s="4">
        <f t="shared" si="9"/>
        <v>1.0228540770309904</v>
      </c>
      <c r="L36" s="4"/>
      <c r="M36" s="4"/>
    </row>
    <row r="37" spans="1:13" x14ac:dyDescent="0.6">
      <c r="A37">
        <f t="shared" si="8"/>
        <v>1995</v>
      </c>
      <c r="B37" s="4">
        <f t="shared" ref="B37:J37" si="10">C22/B22</f>
        <v>2.3834853090172237</v>
      </c>
      <c r="C37" s="4">
        <f t="shared" si="10"/>
        <v>1.1917109458023381</v>
      </c>
      <c r="D37" s="4">
        <f t="shared" si="10"/>
        <v>1.1512395220260387</v>
      </c>
      <c r="E37" s="4">
        <f t="shared" si="10"/>
        <v>1.1738187451587916</v>
      </c>
      <c r="F37" s="4">
        <f t="shared" si="10"/>
        <v>1.1244555892833574</v>
      </c>
      <c r="G37" s="4">
        <f t="shared" si="10"/>
        <v>1.1474402582159626</v>
      </c>
      <c r="H37" s="4">
        <f t="shared" si="10"/>
        <v>1.213079715811608</v>
      </c>
      <c r="I37" s="4">
        <f t="shared" si="10"/>
        <v>1.0595941631963237</v>
      </c>
      <c r="J37" s="4">
        <f t="shared" si="10"/>
        <v>1.1206425029229565</v>
      </c>
      <c r="K37" s="4"/>
      <c r="L37" s="4"/>
      <c r="M37" s="4"/>
    </row>
    <row r="38" spans="1:13" x14ac:dyDescent="0.6">
      <c r="A38">
        <f t="shared" si="8"/>
        <v>1996</v>
      </c>
      <c r="B38" s="4">
        <f t="shared" ref="B38:I38" si="11">C23/B23</f>
        <v>2.5268817204301075</v>
      </c>
      <c r="C38" s="4">
        <f t="shared" si="11"/>
        <v>1.321418439716312</v>
      </c>
      <c r="D38" s="4">
        <f t="shared" si="11"/>
        <v>1.1316015457277802</v>
      </c>
      <c r="E38" s="4">
        <f t="shared" si="11"/>
        <v>1.1637260481881995</v>
      </c>
      <c r="F38" s="4">
        <f t="shared" si="11"/>
        <v>1.2607533420280406</v>
      </c>
      <c r="G38" s="4">
        <f t="shared" si="11"/>
        <v>1.4278021186115764</v>
      </c>
      <c r="H38" s="4">
        <f t="shared" si="11"/>
        <v>1.199149291260198</v>
      </c>
      <c r="I38" s="4">
        <f t="shared" si="11"/>
        <v>1.0611359001766429</v>
      </c>
      <c r="J38" s="4"/>
      <c r="K38" s="4"/>
      <c r="L38" s="4"/>
      <c r="M38" s="4"/>
    </row>
    <row r="39" spans="1:13" x14ac:dyDescent="0.6">
      <c r="A39">
        <f t="shared" si="8"/>
        <v>1997</v>
      </c>
      <c r="B39" s="4">
        <f t="shared" ref="B39:H39" si="12">C24/B24</f>
        <v>2.9801623083859332</v>
      </c>
      <c r="C39" s="4">
        <f t="shared" si="12"/>
        <v>1.3216338880484115</v>
      </c>
      <c r="D39" s="4">
        <f t="shared" si="12"/>
        <v>1.1130952380952381</v>
      </c>
      <c r="E39" s="4">
        <f t="shared" si="12"/>
        <v>1.1368702180172767</v>
      </c>
      <c r="F39" s="4">
        <f t="shared" si="12"/>
        <v>1.1594836546169554</v>
      </c>
      <c r="G39" s="4">
        <f t="shared" si="12"/>
        <v>1.1923770358665771</v>
      </c>
      <c r="H39" s="4">
        <f t="shared" si="12"/>
        <v>1.1663613780151343</v>
      </c>
      <c r="I39" s="4"/>
      <c r="J39" s="4"/>
      <c r="K39" s="4"/>
      <c r="L39" s="4"/>
      <c r="M39" s="4"/>
    </row>
    <row r="40" spans="1:13" x14ac:dyDescent="0.6">
      <c r="A40">
        <f t="shared" si="8"/>
        <v>1998</v>
      </c>
      <c r="B40" s="4">
        <f t="shared" ref="B40:G40" si="13">C25/B25</f>
        <v>2.6642468239564425</v>
      </c>
      <c r="C40" s="4">
        <f t="shared" si="13"/>
        <v>1.2316076294277929</v>
      </c>
      <c r="D40" s="4">
        <f t="shared" si="13"/>
        <v>1.116529314159292</v>
      </c>
      <c r="E40" s="4">
        <f t="shared" si="13"/>
        <v>1.124440663104942</v>
      </c>
      <c r="F40" s="4">
        <f t="shared" si="13"/>
        <v>1.1417840896800575</v>
      </c>
      <c r="G40" s="4">
        <f t="shared" si="13"/>
        <v>1.1408312452782432</v>
      </c>
      <c r="H40" s="4"/>
      <c r="I40" s="4"/>
      <c r="J40" s="4"/>
      <c r="K40" s="4"/>
      <c r="L40" s="4"/>
      <c r="M40" s="4"/>
    </row>
    <row r="41" spans="1:13" x14ac:dyDescent="0.6">
      <c r="A41">
        <f t="shared" si="8"/>
        <v>1999</v>
      </c>
      <c r="B41" s="4">
        <f>C26/B26</f>
        <v>2.9762949956101838</v>
      </c>
      <c r="C41" s="4">
        <f>D26/C26</f>
        <v>1.1785297935103245</v>
      </c>
      <c r="D41" s="4">
        <f>E26/D26</f>
        <v>1.0846727686312829</v>
      </c>
      <c r="E41" s="4">
        <f>F26/E26</f>
        <v>1.0917742740167191</v>
      </c>
      <c r="F41" s="4">
        <f>G26/F26</f>
        <v>1.2590540340031695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8"/>
        <v>2000</v>
      </c>
      <c r="B42" s="4">
        <f>C27/B27</f>
        <v>2.8785529715762275</v>
      </c>
      <c r="C42" s="4">
        <f>D27/C27</f>
        <v>1.2131947935368044</v>
      </c>
      <c r="D42" s="4">
        <f>E27/D27</f>
        <v>1.1195164283017103</v>
      </c>
      <c r="E42" s="4">
        <f>F27/E27</f>
        <v>1.2207918527911847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8"/>
        <v>2001</v>
      </c>
      <c r="B43" s="4">
        <f>C28/B28</f>
        <v>3.1426727403869013</v>
      </c>
      <c r="C43" s="4">
        <f>D28/C28</f>
        <v>2.2453326758080707</v>
      </c>
      <c r="D43" s="4">
        <f>E28/D28</f>
        <v>1.1405642100047797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8"/>
        <v>2002</v>
      </c>
      <c r="B44" s="4">
        <f>C29/B29</f>
        <v>3.2209038079109544</v>
      </c>
      <c r="C44" s="4">
        <f>D29/C29</f>
        <v>1.3344113712345398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8"/>
        <v>2003</v>
      </c>
      <c r="B45" s="4">
        <f>C30/B30</f>
        <v>3.1191952471031441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2.8126756206904791</v>
      </c>
      <c r="C48" s="27">
        <f>SUM(D$20:D29)/SUM(C$20:C29)</f>
        <v>1.3360300553275966</v>
      </c>
      <c r="D48" s="27">
        <f>SUM(E$20:E28)/SUM(D$20:D28)</f>
        <v>1.12242407507172</v>
      </c>
      <c r="E48" s="27">
        <f>SUM(F$20:F27)/SUM(E$20:E27)</f>
        <v>1.1719085634373956</v>
      </c>
      <c r="F48" s="27">
        <f>SUM(G$20:G26)/SUM(F$20:F26)</f>
        <v>1.1939170066976386</v>
      </c>
      <c r="G48" s="27">
        <f>SUM(H$20:H25)/SUM(G$20:G25)</f>
        <v>1.2061333978474451</v>
      </c>
      <c r="H48" s="27">
        <f>SUM(I$20:I24)/SUM(H$20:H24)</f>
        <v>1.1608197606942818</v>
      </c>
      <c r="I48" s="27">
        <f>SUM(J$20:J23)/SUM(I$20:I23)</f>
        <v>1.0583204371192001</v>
      </c>
      <c r="J48" s="27">
        <f>SUM(K$20:K22)/SUM(J$20:J22)</f>
        <v>1.0791855124899921</v>
      </c>
      <c r="K48" s="27">
        <f>SUM(L$20:L21)/SUM(K$20:K21)</f>
        <v>1.0266615338528635</v>
      </c>
      <c r="L48" s="27">
        <f>SUM(M$20:M20)/SUM(L$20:L20)</f>
        <v>1.0469043426971991</v>
      </c>
      <c r="M48" s="27">
        <f>SUM(N$20:N20)/SUM(M$20:M20)</f>
        <v>1.3565969349415981</v>
      </c>
    </row>
    <row r="49" spans="1:13" x14ac:dyDescent="0.6">
      <c r="A49" s="25" t="s">
        <v>1</v>
      </c>
      <c r="B49" s="24">
        <f>AVERAGE(B35:B45)</f>
        <v>2.8648998427321675</v>
      </c>
      <c r="C49" s="24">
        <f>AVERAGE(C35:C45)</f>
        <v>1.3502026806195135</v>
      </c>
      <c r="D49" s="24">
        <f t="shared" ref="D49:M49" si="14">AVERAGE(D35:D45)</f>
        <v>1.1204648661958407</v>
      </c>
      <c r="E49" s="24">
        <f t="shared" si="14"/>
        <v>1.1674656934123191</v>
      </c>
      <c r="F49" s="24">
        <f t="shared" si="14"/>
        <v>1.1965779870030377</v>
      </c>
      <c r="G49" s="24">
        <f t="shared" si="14"/>
        <v>1.2049848637267979</v>
      </c>
      <c r="H49" s="24">
        <f t="shared" si="14"/>
        <v>1.158407063234657</v>
      </c>
      <c r="I49" s="24">
        <f t="shared" si="14"/>
        <v>1.0584393286335292</v>
      </c>
      <c r="J49" s="24">
        <f t="shared" si="14"/>
        <v>1.0741962572914268</v>
      </c>
      <c r="K49" s="24">
        <f t="shared" si="14"/>
        <v>1.0273689978518987</v>
      </c>
      <c r="L49" s="24">
        <f t="shared" si="14"/>
        <v>1.0469043426971991</v>
      </c>
      <c r="M49" s="24">
        <f t="shared" si="14"/>
        <v>1.3565969349415981</v>
      </c>
    </row>
    <row r="50" spans="1:13" x14ac:dyDescent="0.6">
      <c r="A50" s="25" t="s">
        <v>3</v>
      </c>
      <c r="B50" s="24">
        <f>AVERAGE(B42:B45)</f>
        <v>3.090331191744307</v>
      </c>
      <c r="C50" s="24">
        <f>AVERAGE(C41:C44)</f>
        <v>1.4928671585224347</v>
      </c>
      <c r="D50" s="24">
        <f>AVERAGE(D40:D43)</f>
        <v>1.1153206802742663</v>
      </c>
      <c r="E50" s="24">
        <f>AVERAGE(E39:E42)</f>
        <v>1.1434692519825307</v>
      </c>
      <c r="F50" s="24">
        <f>AVERAGE(F38:F41)</f>
        <v>1.2052687800820556</v>
      </c>
      <c r="G50" s="24">
        <f>AVERAGE(G37:G40)</f>
        <v>1.2271126644930899</v>
      </c>
      <c r="H50" s="24">
        <f>AVERAGE(H36:H39)</f>
        <v>1.1638754358924319</v>
      </c>
      <c r="I50" s="24">
        <f>AVERAGE(I35:I38)</f>
        <v>1.0584393286335292</v>
      </c>
      <c r="J50" s="24">
        <f>J49</f>
        <v>1.0741962572914268</v>
      </c>
      <c r="K50" s="24">
        <f>K49</f>
        <v>1.0273689978518987</v>
      </c>
      <c r="L50" s="24">
        <f>L49</f>
        <v>1.0469043426971991</v>
      </c>
      <c r="M50" s="24">
        <f>M49</f>
        <v>1.3565969349415981</v>
      </c>
    </row>
    <row r="52" spans="1:13" x14ac:dyDescent="0.6">
      <c r="A52" s="13" t="s">
        <v>2</v>
      </c>
      <c r="B52" s="26">
        <f>PRODUCT(B48:$M48)</f>
        <v>13.760026336886277</v>
      </c>
      <c r="C52" s="26">
        <f>PRODUCT(C48:$M48)</f>
        <v>4.8921483286822642</v>
      </c>
      <c r="D52" s="26">
        <f>PRODUCT(D48:$M48)</f>
        <v>3.6617052956063199</v>
      </c>
      <c r="E52" s="26">
        <f>PRODUCT(E48:$M48)</f>
        <v>3.26231891931964</v>
      </c>
      <c r="F52" s="26">
        <f>PRODUCT(F48:$M48)</f>
        <v>2.7837657485416232</v>
      </c>
      <c r="G52" s="26">
        <f>PRODUCT(G48:$M48)</f>
        <v>2.3316241689541632</v>
      </c>
      <c r="H52" s="26">
        <f>PRODUCT(H48:$M48)</f>
        <v>1.933139545854009</v>
      </c>
      <c r="I52" s="26">
        <f>PRODUCT(I48:$M48)</f>
        <v>1.6653227411444183</v>
      </c>
      <c r="J52" s="26">
        <f>PRODUCT(J48:$M48)</f>
        <v>1.5735524730841521</v>
      </c>
      <c r="K52" s="26">
        <f>PRODUCT(K48:$M48)</f>
        <v>1.4580926586509793</v>
      </c>
      <c r="L52" s="26">
        <f>PRODUCT(L48:$M48)</f>
        <v>1.4202272224800687</v>
      </c>
      <c r="M52" s="26">
        <f>PRODUCT(M48:$M48)</f>
        <v>1.3565969349415981</v>
      </c>
    </row>
    <row r="53" spans="1:13" x14ac:dyDescent="0.6">
      <c r="A53" s="13" t="s">
        <v>4</v>
      </c>
      <c r="B53" s="4">
        <f>PRODUCT(B49:$M49)</f>
        <v>14.020660397890934</v>
      </c>
      <c r="C53" s="4">
        <f>PRODUCT(C49:$M49)</f>
        <v>4.8939443497333084</v>
      </c>
      <c r="D53" s="4">
        <f>PRODUCT(D49:$M49)</f>
        <v>3.6245997878539384</v>
      </c>
      <c r="E53" s="4">
        <f>PRODUCT(E49:$M49)</f>
        <v>3.2349071329296035</v>
      </c>
      <c r="F53" s="4">
        <f>PRODUCT(F49:$M49)</f>
        <v>2.7708798221508997</v>
      </c>
      <c r="G53" s="4">
        <f>PRODUCT(G49:$M49)</f>
        <v>2.3156700626683557</v>
      </c>
      <c r="H53" s="4">
        <f>PRODUCT(H49:$M49)</f>
        <v>1.9217420337600024</v>
      </c>
      <c r="I53" s="4">
        <f>PRODUCT(I49:$M49)</f>
        <v>1.6589522757171911</v>
      </c>
      <c r="J53" s="4">
        <f>PRODUCT(J49:$M49)</f>
        <v>1.5673569857413923</v>
      </c>
      <c r="K53" s="4">
        <f>PRODUCT(K49:$M49)</f>
        <v>1.4590974182813337</v>
      </c>
      <c r="L53" s="4">
        <f>PRODUCT(L49:$M49)</f>
        <v>1.4202272224800687</v>
      </c>
      <c r="M53" s="4">
        <f>PRODUCT(M49:$M49)</f>
        <v>1.3565969349415981</v>
      </c>
    </row>
    <row r="54" spans="1:13" x14ac:dyDescent="0.6">
      <c r="A54" s="13" t="s">
        <v>5</v>
      </c>
      <c r="B54" s="4">
        <f>PRODUCT(B50:$M50)</f>
        <v>16.801930182198056</v>
      </c>
      <c r="C54" s="4">
        <f>PRODUCT(C50:$M50)</f>
        <v>5.4369351178552359</v>
      </c>
      <c r="D54" s="4">
        <f>PRODUCT(D50:$M50)</f>
        <v>3.6419416736559769</v>
      </c>
      <c r="E54" s="4">
        <f>PRODUCT(E50:$M50)</f>
        <v>3.2653762617944051</v>
      </c>
      <c r="F54" s="4">
        <f>PRODUCT(F50:$M50)</f>
        <v>2.85567474257217</v>
      </c>
      <c r="G54" s="4">
        <f>PRODUCT(G50:$M50)</f>
        <v>2.3693260704701515</v>
      </c>
      <c r="H54" s="4">
        <f>PRODUCT(H50:$M50)</f>
        <v>1.9308138030250881</v>
      </c>
      <c r="I54" s="4">
        <f>PRODUCT(I50:$M50)</f>
        <v>1.6589522757171911</v>
      </c>
      <c r="J54" s="4">
        <f>PRODUCT(J50:$M50)</f>
        <v>1.5673569857413923</v>
      </c>
      <c r="K54" s="4">
        <f>PRODUCT(K50:$M50)</f>
        <v>1.4590974182813337</v>
      </c>
      <c r="L54" s="4">
        <f>PRODUCT(L50:$M50)</f>
        <v>1.4202272224800687</v>
      </c>
      <c r="M54" s="4">
        <f>PRODUCT(M50:$M50)</f>
        <v>1.3565969349415981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13.760026336886277</v>
      </c>
      <c r="C56" s="35">
        <f t="shared" ref="C56:M56" si="15">IF($A$55=1,C52,IF($A$55=2,C53,C54))</f>
        <v>4.8921483286822642</v>
      </c>
      <c r="D56" s="35">
        <f t="shared" si="15"/>
        <v>3.6617052956063199</v>
      </c>
      <c r="E56" s="35">
        <f t="shared" si="15"/>
        <v>3.26231891931964</v>
      </c>
      <c r="F56" s="35">
        <f t="shared" si="15"/>
        <v>2.7837657485416232</v>
      </c>
      <c r="G56" s="35">
        <f t="shared" si="15"/>
        <v>2.3316241689541632</v>
      </c>
      <c r="H56" s="35">
        <f t="shared" si="15"/>
        <v>1.933139545854009</v>
      </c>
      <c r="I56" s="35">
        <f t="shared" si="15"/>
        <v>1.6653227411444183</v>
      </c>
      <c r="J56" s="35">
        <f t="shared" si="15"/>
        <v>1.5735524730841521</v>
      </c>
      <c r="K56" s="35">
        <f t="shared" si="15"/>
        <v>1.4580926586509793</v>
      </c>
      <c r="L56" s="35">
        <f t="shared" si="15"/>
        <v>1.4202272224800687</v>
      </c>
      <c r="M56" s="35">
        <f t="shared" si="15"/>
        <v>1.3565969349415981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13" t="s">
        <v>14</v>
      </c>
      <c r="C59" t="s">
        <v>10</v>
      </c>
      <c r="D59" s="13" t="s">
        <v>15</v>
      </c>
      <c r="E59" s="13" t="s">
        <v>16</v>
      </c>
    </row>
    <row r="60" spans="1:13" x14ac:dyDescent="0.6">
      <c r="A60">
        <f>A35</f>
        <v>1993</v>
      </c>
      <c r="B60" s="1">
        <f>M20</f>
        <v>8213.7554</v>
      </c>
      <c r="C60" s="31">
        <f>M56</f>
        <v>1.3565969349415981</v>
      </c>
      <c r="D60" s="30">
        <f>B60*C60</f>
        <v>11142.7554</v>
      </c>
      <c r="E60" s="32">
        <f>D60-B60</f>
        <v>2929</v>
      </c>
    </row>
    <row r="61" spans="1:13" x14ac:dyDescent="0.6">
      <c r="A61">
        <f t="shared" ref="A61:A71" si="16">A36</f>
        <v>1994</v>
      </c>
      <c r="B61" s="1">
        <f>L21</f>
        <v>10667.225700000003</v>
      </c>
      <c r="C61" s="31">
        <f>L56</f>
        <v>1.4202272224800687</v>
      </c>
      <c r="D61" s="30">
        <f t="shared" ref="D61:D71" si="17">B61*C61</f>
        <v>15149.884327479011</v>
      </c>
      <c r="E61" s="32">
        <f t="shared" ref="E61:E71" si="18">D61-B61</f>
        <v>4482.6586274790079</v>
      </c>
    </row>
    <row r="62" spans="1:13" x14ac:dyDescent="0.6">
      <c r="A62">
        <f t="shared" si="16"/>
        <v>1995</v>
      </c>
      <c r="B62" s="1">
        <f>K22</f>
        <v>12673.838700000002</v>
      </c>
      <c r="C62" s="31">
        <f>K56</f>
        <v>1.4580926586509793</v>
      </c>
      <c r="D62" s="30">
        <f t="shared" si="17"/>
        <v>18479.631165396673</v>
      </c>
      <c r="E62" s="32">
        <f t="shared" si="18"/>
        <v>5805.7924653966711</v>
      </c>
    </row>
    <row r="63" spans="1:13" x14ac:dyDescent="0.6">
      <c r="A63">
        <f t="shared" si="16"/>
        <v>1996</v>
      </c>
      <c r="B63" s="1">
        <f>J23</f>
        <v>12645.287099999998</v>
      </c>
      <c r="C63" s="31">
        <f>J56</f>
        <v>1.5735524730841521</v>
      </c>
      <c r="D63" s="30">
        <f t="shared" si="17"/>
        <v>19898.022789064122</v>
      </c>
      <c r="E63" s="32">
        <f t="shared" si="18"/>
        <v>7252.735689064124</v>
      </c>
    </row>
    <row r="64" spans="1:13" x14ac:dyDescent="0.6">
      <c r="A64">
        <f t="shared" si="16"/>
        <v>1997</v>
      </c>
      <c r="B64" s="1">
        <f>I24</f>
        <v>8021.9456999999993</v>
      </c>
      <c r="C64" s="31">
        <f>I56</f>
        <v>1.6653227411444183</v>
      </c>
      <c r="D64" s="30">
        <f t="shared" si="17"/>
        <v>13359.128602435678</v>
      </c>
      <c r="E64" s="32">
        <f t="shared" si="18"/>
        <v>5337.1829024356784</v>
      </c>
    </row>
    <row r="65" spans="1:7" x14ac:dyDescent="0.6">
      <c r="A65">
        <f t="shared" si="16"/>
        <v>1998</v>
      </c>
      <c r="B65" s="1">
        <f>H25</f>
        <v>5322.0996000000005</v>
      </c>
      <c r="C65" s="31">
        <f>H56</f>
        <v>1.933139545854009</v>
      </c>
      <c r="D65" s="30">
        <f t="shared" si="17"/>
        <v>10288.361203733804</v>
      </c>
      <c r="E65" s="32">
        <f t="shared" si="18"/>
        <v>4966.2616037338039</v>
      </c>
    </row>
    <row r="66" spans="1:7" x14ac:dyDescent="0.6">
      <c r="A66">
        <f t="shared" si="16"/>
        <v>1999</v>
      </c>
      <c r="B66" s="1">
        <f>G26</f>
        <v>5361.1596</v>
      </c>
      <c r="C66" s="31">
        <f>G56</f>
        <v>2.3316241689541632</v>
      </c>
      <c r="D66" s="30">
        <f t="shared" si="17"/>
        <v>12500.209296980634</v>
      </c>
      <c r="E66" s="32">
        <f t="shared" si="18"/>
        <v>7139.0496969806345</v>
      </c>
    </row>
    <row r="67" spans="1:7" x14ac:dyDescent="0.6">
      <c r="A67">
        <f t="shared" si="16"/>
        <v>2000</v>
      </c>
      <c r="B67" s="1">
        <f>F27</f>
        <v>4987.1403</v>
      </c>
      <c r="C67" s="31">
        <f>F56</f>
        <v>2.7837657485416232</v>
      </c>
      <c r="D67" s="30">
        <f t="shared" si="17"/>
        <v>13883.030350311596</v>
      </c>
      <c r="E67" s="32">
        <f t="shared" si="18"/>
        <v>8895.8900503115947</v>
      </c>
    </row>
    <row r="68" spans="1:7" x14ac:dyDescent="0.6">
      <c r="A68">
        <f t="shared" si="16"/>
        <v>2001</v>
      </c>
      <c r="B68" s="1">
        <f>E28</f>
        <v>7160.2470000000003</v>
      </c>
      <c r="C68" s="31">
        <f>E56</f>
        <v>3.26231891931964</v>
      </c>
      <c r="D68" s="30">
        <f t="shared" si="17"/>
        <v>23359.009255101697</v>
      </c>
      <c r="E68" s="32">
        <f t="shared" si="18"/>
        <v>16198.762255101698</v>
      </c>
    </row>
    <row r="69" spans="1:7" x14ac:dyDescent="0.6">
      <c r="A69">
        <f t="shared" si="16"/>
        <v>2002</v>
      </c>
      <c r="B69" s="1">
        <f>D29</f>
        <v>2752.4052000000001</v>
      </c>
      <c r="C69" s="31">
        <f>D56</f>
        <v>3.6617052956063199</v>
      </c>
      <c r="D69" s="30">
        <f t="shared" si="17"/>
        <v>10078.496696494372</v>
      </c>
      <c r="E69" s="32">
        <f t="shared" si="18"/>
        <v>7326.0914964943722</v>
      </c>
    </row>
    <row r="70" spans="1:7" x14ac:dyDescent="0.6">
      <c r="A70">
        <f t="shared" si="16"/>
        <v>2003</v>
      </c>
      <c r="B70" s="1">
        <f>C30</f>
        <v>2447.1612</v>
      </c>
      <c r="C70" s="31">
        <f>C56</f>
        <v>4.8921483286822642</v>
      </c>
      <c r="D70" s="30">
        <f t="shared" si="17"/>
        <v>11971.875574596084</v>
      </c>
      <c r="E70" s="32">
        <f t="shared" si="18"/>
        <v>9524.7143745960839</v>
      </c>
    </row>
    <row r="71" spans="1:7" x14ac:dyDescent="0.6">
      <c r="A71">
        <f t="shared" si="16"/>
        <v>2004</v>
      </c>
      <c r="B71" s="1">
        <f>B31</f>
        <v>893.63249999999994</v>
      </c>
      <c r="C71" s="31">
        <f>B56</f>
        <v>13.760026336886277</v>
      </c>
      <c r="D71" s="30">
        <f t="shared" si="17"/>
        <v>12296.406735497525</v>
      </c>
      <c r="E71" s="32">
        <f t="shared" si="18"/>
        <v>11402.774235497525</v>
      </c>
    </row>
    <row r="72" spans="1:7" x14ac:dyDescent="0.6">
      <c r="B72" s="32">
        <f>SUM(B60:B71)</f>
        <v>81145.898000000001</v>
      </c>
      <c r="D72" s="32">
        <f>SUM(D60:D71)</f>
        <v>172406.81139709119</v>
      </c>
      <c r="E72" s="32">
        <f>SUM(E60:E71)</f>
        <v>91260.913397091179</v>
      </c>
      <c r="G72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2"/>
  <sheetViews>
    <sheetView topLeftCell="A42" workbookViewId="0">
      <selection activeCell="B59" sqref="B59:E59"/>
    </sheetView>
  </sheetViews>
  <sheetFormatPr defaultRowHeight="13" x14ac:dyDescent="0.6"/>
  <cols>
    <col min="1" max="1" width="11" customWidth="1"/>
    <col min="2" max="2" width="17.453125" bestFit="1" customWidth="1"/>
    <col min="3" max="3" width="7.453125" bestFit="1" customWidth="1"/>
    <col min="4" max="4" width="11.7265625" bestFit="1" customWidth="1"/>
    <col min="5" max="5" width="13.31640625" bestFit="1" customWidth="1"/>
    <col min="6" max="13" width="10.72656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14364</v>
      </c>
      <c r="C3" s="6">
        <v>5755.2000000000007</v>
      </c>
      <c r="D3" s="6">
        <v>76.800000000000011</v>
      </c>
      <c r="E3" s="6">
        <v>3.2</v>
      </c>
      <c r="F3" s="6">
        <v>32</v>
      </c>
      <c r="G3" s="6">
        <v>9.6000000000000014</v>
      </c>
      <c r="H3" s="6">
        <v>28</v>
      </c>
      <c r="I3" s="6">
        <v>12.8</v>
      </c>
      <c r="J3" s="6">
        <v>4</v>
      </c>
      <c r="K3" s="6">
        <v>16.8</v>
      </c>
      <c r="L3" s="6">
        <v>5.6000000000000005</v>
      </c>
      <c r="M3" s="6">
        <v>4</v>
      </c>
      <c r="N3" s="7">
        <v>130</v>
      </c>
    </row>
    <row r="4" spans="1:14" x14ac:dyDescent="0.6">
      <c r="A4">
        <f>A3+1</f>
        <v>1994</v>
      </c>
      <c r="B4" s="8">
        <v>16551.2</v>
      </c>
      <c r="C4" s="2">
        <v>6512</v>
      </c>
      <c r="D4" s="2">
        <v>277.60000000000002</v>
      </c>
      <c r="E4" s="2">
        <v>108.80000000000001</v>
      </c>
      <c r="F4" s="2">
        <v>28</v>
      </c>
      <c r="G4" s="2">
        <v>40.800000000000004</v>
      </c>
      <c r="H4" s="2">
        <v>118.4</v>
      </c>
      <c r="I4" s="2">
        <v>51.2</v>
      </c>
      <c r="J4" s="2">
        <v>7.2</v>
      </c>
      <c r="K4" s="2">
        <v>7.2</v>
      </c>
      <c r="L4" s="2">
        <v>23.200000000000003</v>
      </c>
      <c r="M4" s="3"/>
      <c r="N4" s="9"/>
    </row>
    <row r="5" spans="1:14" x14ac:dyDescent="0.6">
      <c r="A5">
        <f t="shared" ref="A5:A14" si="1">A4+1</f>
        <v>1995</v>
      </c>
      <c r="B5" s="8">
        <v>16100</v>
      </c>
      <c r="C5" s="2">
        <v>6676.8</v>
      </c>
      <c r="D5" s="2">
        <v>280.8</v>
      </c>
      <c r="E5" s="2">
        <v>115.2</v>
      </c>
      <c r="F5" s="2">
        <v>16.8</v>
      </c>
      <c r="G5" s="2">
        <v>40</v>
      </c>
      <c r="H5" s="2">
        <v>66.400000000000006</v>
      </c>
      <c r="I5" s="2">
        <v>31.200000000000003</v>
      </c>
      <c r="J5" s="2">
        <v>8</v>
      </c>
      <c r="K5" s="2">
        <v>24.8</v>
      </c>
      <c r="L5" s="3"/>
      <c r="M5" s="3"/>
      <c r="N5" s="9"/>
    </row>
    <row r="6" spans="1:14" x14ac:dyDescent="0.6">
      <c r="A6">
        <f t="shared" si="1"/>
        <v>1996</v>
      </c>
      <c r="B6" s="8">
        <v>15543.2</v>
      </c>
      <c r="C6" s="2">
        <v>6352</v>
      </c>
      <c r="D6" s="2">
        <v>144.80000000000001</v>
      </c>
      <c r="E6" s="2">
        <v>12</v>
      </c>
      <c r="F6" s="2">
        <v>20</v>
      </c>
      <c r="G6" s="2">
        <v>40</v>
      </c>
      <c r="H6" s="2">
        <v>5.6000000000000005</v>
      </c>
      <c r="I6" s="2">
        <v>0.8</v>
      </c>
      <c r="J6" s="2">
        <v>3.2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15372</v>
      </c>
      <c r="C7" s="2">
        <v>7162.4000000000005</v>
      </c>
      <c r="D7" s="2">
        <v>401.6</v>
      </c>
      <c r="E7" s="2">
        <v>16.8</v>
      </c>
      <c r="F7" s="2">
        <v>16</v>
      </c>
      <c r="G7" s="2">
        <v>9.6000000000000014</v>
      </c>
      <c r="H7" s="2">
        <v>40</v>
      </c>
      <c r="I7" s="2">
        <v>2.4000000000000004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17580.8</v>
      </c>
      <c r="C8" s="2">
        <v>7196</v>
      </c>
      <c r="D8" s="2">
        <v>259.2</v>
      </c>
      <c r="E8" s="2">
        <v>149.6</v>
      </c>
      <c r="F8" s="2">
        <v>159.20000000000002</v>
      </c>
      <c r="G8" s="2">
        <v>14.4</v>
      </c>
      <c r="H8" s="2">
        <v>28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18640.8</v>
      </c>
      <c r="C9" s="2">
        <v>6702.4000000000005</v>
      </c>
      <c r="D9" s="2">
        <v>212</v>
      </c>
      <c r="E9" s="2">
        <v>120.80000000000001</v>
      </c>
      <c r="F9" s="2">
        <v>28</v>
      </c>
      <c r="G9" s="2">
        <v>59.2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21061.600000000002</v>
      </c>
      <c r="C10" s="2">
        <v>7196</v>
      </c>
      <c r="D10" s="2">
        <v>499.20000000000005</v>
      </c>
      <c r="E10" s="2">
        <v>164</v>
      </c>
      <c r="F10" s="2">
        <v>75.2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25591.200000000001</v>
      </c>
      <c r="C11" s="2">
        <v>8682.4</v>
      </c>
      <c r="D11" s="2">
        <v>302.40000000000003</v>
      </c>
      <c r="E11" s="2">
        <v>74.400000000000006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25920.800000000003</v>
      </c>
      <c r="C12" s="2">
        <v>8685.6</v>
      </c>
      <c r="D12" s="2">
        <v>580.80000000000007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28349.600000000002</v>
      </c>
      <c r="C13" s="2">
        <v>9142.4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41857.600000000006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14364</v>
      </c>
      <c r="C20" s="16">
        <f>B20+C3</f>
        <v>20119.2</v>
      </c>
      <c r="D20" s="16">
        <f t="shared" ref="D20:N28" si="3">C20+D3</f>
        <v>20196</v>
      </c>
      <c r="E20" s="16">
        <f t="shared" si="3"/>
        <v>20199.2</v>
      </c>
      <c r="F20" s="16">
        <f t="shared" si="3"/>
        <v>20231.2</v>
      </c>
      <c r="G20" s="16">
        <f t="shared" si="3"/>
        <v>20240.8</v>
      </c>
      <c r="H20" s="16">
        <f t="shared" si="3"/>
        <v>20268.8</v>
      </c>
      <c r="I20" s="16">
        <f t="shared" si="3"/>
        <v>20281.599999999999</v>
      </c>
      <c r="J20" s="16">
        <f t="shared" si="3"/>
        <v>20285.599999999999</v>
      </c>
      <c r="K20" s="16">
        <f t="shared" si="3"/>
        <v>20302.399999999998</v>
      </c>
      <c r="L20" s="16">
        <f t="shared" si="3"/>
        <v>20307.999999999996</v>
      </c>
      <c r="M20" s="16">
        <f t="shared" si="3"/>
        <v>20311.999999999996</v>
      </c>
      <c r="N20" s="17">
        <f t="shared" si="3"/>
        <v>20441.999999999996</v>
      </c>
    </row>
    <row r="21" spans="1:14" x14ac:dyDescent="0.6">
      <c r="A21">
        <f t="shared" ref="A21:B31" si="4">A4</f>
        <v>1994</v>
      </c>
      <c r="B21" s="18">
        <f t="shared" si="4"/>
        <v>16551.2</v>
      </c>
      <c r="C21" s="19">
        <f t="shared" ref="C21:D30" si="5">B21+C4</f>
        <v>23063.200000000001</v>
      </c>
      <c r="D21" s="19">
        <f t="shared" si="5"/>
        <v>23340.799999999999</v>
      </c>
      <c r="E21" s="19">
        <f t="shared" si="3"/>
        <v>23449.599999999999</v>
      </c>
      <c r="F21" s="19">
        <f t="shared" si="3"/>
        <v>23477.599999999999</v>
      </c>
      <c r="G21" s="19">
        <f t="shared" si="3"/>
        <v>23518.399999999998</v>
      </c>
      <c r="H21" s="19">
        <f t="shared" si="3"/>
        <v>23636.799999999999</v>
      </c>
      <c r="I21" s="19">
        <f t="shared" si="3"/>
        <v>23688</v>
      </c>
      <c r="J21" s="19">
        <f t="shared" si="3"/>
        <v>23695.200000000001</v>
      </c>
      <c r="K21" s="19">
        <f t="shared" si="3"/>
        <v>23702.400000000001</v>
      </c>
      <c r="L21" s="19">
        <f t="shared" si="3"/>
        <v>23725.600000000002</v>
      </c>
      <c r="M21" s="20"/>
      <c r="N21" s="9"/>
    </row>
    <row r="22" spans="1:14" x14ac:dyDescent="0.6">
      <c r="A22">
        <f t="shared" si="4"/>
        <v>1995</v>
      </c>
      <c r="B22" s="18">
        <f t="shared" si="4"/>
        <v>16100</v>
      </c>
      <c r="C22" s="19">
        <f t="shared" si="5"/>
        <v>22776.799999999999</v>
      </c>
      <c r="D22" s="19">
        <f t="shared" si="5"/>
        <v>23057.599999999999</v>
      </c>
      <c r="E22" s="19">
        <f t="shared" si="3"/>
        <v>23172.799999999999</v>
      </c>
      <c r="F22" s="19">
        <f t="shared" si="3"/>
        <v>23189.599999999999</v>
      </c>
      <c r="G22" s="19">
        <f t="shared" si="3"/>
        <v>23229.599999999999</v>
      </c>
      <c r="H22" s="19">
        <f t="shared" si="3"/>
        <v>23296</v>
      </c>
      <c r="I22" s="19">
        <f t="shared" si="3"/>
        <v>23327.200000000001</v>
      </c>
      <c r="J22" s="19">
        <f t="shared" si="3"/>
        <v>23335.200000000001</v>
      </c>
      <c r="K22" s="19">
        <f t="shared" si="3"/>
        <v>23360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4"/>
        <v>15543.2</v>
      </c>
      <c r="C23" s="19">
        <f t="shared" si="5"/>
        <v>21895.200000000001</v>
      </c>
      <c r="D23" s="19">
        <f t="shared" si="5"/>
        <v>22040</v>
      </c>
      <c r="E23" s="19">
        <f t="shared" si="3"/>
        <v>22052</v>
      </c>
      <c r="F23" s="19">
        <f t="shared" si="3"/>
        <v>22072</v>
      </c>
      <c r="G23" s="19">
        <f t="shared" si="3"/>
        <v>22112</v>
      </c>
      <c r="H23" s="19">
        <f t="shared" si="3"/>
        <v>22117.599999999999</v>
      </c>
      <c r="I23" s="19">
        <f t="shared" si="3"/>
        <v>22118.399999999998</v>
      </c>
      <c r="J23" s="19">
        <f t="shared" si="3"/>
        <v>22121.599999999999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4"/>
        <v>15372</v>
      </c>
      <c r="C24" s="19">
        <f t="shared" si="5"/>
        <v>22534.400000000001</v>
      </c>
      <c r="D24" s="19">
        <f t="shared" si="5"/>
        <v>22936</v>
      </c>
      <c r="E24" s="19">
        <f t="shared" si="3"/>
        <v>22952.799999999999</v>
      </c>
      <c r="F24" s="19">
        <f t="shared" si="3"/>
        <v>22968.799999999999</v>
      </c>
      <c r="G24" s="19">
        <f t="shared" si="3"/>
        <v>22978.399999999998</v>
      </c>
      <c r="H24" s="19">
        <f t="shared" si="3"/>
        <v>23018.399999999998</v>
      </c>
      <c r="I24" s="19">
        <f t="shared" si="3"/>
        <v>23020.799999999999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4"/>
        <v>17580.8</v>
      </c>
      <c r="C25" s="19">
        <f t="shared" si="5"/>
        <v>24776.799999999999</v>
      </c>
      <c r="D25" s="19">
        <f t="shared" si="5"/>
        <v>25036</v>
      </c>
      <c r="E25" s="19">
        <f t="shared" si="3"/>
        <v>25185.599999999999</v>
      </c>
      <c r="F25" s="19">
        <f t="shared" si="3"/>
        <v>25344.799999999999</v>
      </c>
      <c r="G25" s="19">
        <f t="shared" si="3"/>
        <v>25359.200000000001</v>
      </c>
      <c r="H25" s="19">
        <f t="shared" si="3"/>
        <v>25387.200000000001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4"/>
        <v>18640.8</v>
      </c>
      <c r="C26" s="19">
        <f t="shared" si="5"/>
        <v>25343.200000000001</v>
      </c>
      <c r="D26" s="19">
        <f t="shared" si="5"/>
        <v>25555.200000000001</v>
      </c>
      <c r="E26" s="19">
        <f t="shared" si="3"/>
        <v>25676</v>
      </c>
      <c r="F26" s="19">
        <f t="shared" si="3"/>
        <v>25704</v>
      </c>
      <c r="G26" s="19">
        <f t="shared" si="3"/>
        <v>25763.200000000001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4"/>
        <v>21061.600000000002</v>
      </c>
      <c r="C27" s="19">
        <f t="shared" si="5"/>
        <v>28257.600000000002</v>
      </c>
      <c r="D27" s="19">
        <f t="shared" si="5"/>
        <v>28756.800000000003</v>
      </c>
      <c r="E27" s="19">
        <f t="shared" si="3"/>
        <v>28920.800000000003</v>
      </c>
      <c r="F27" s="19">
        <f t="shared" si="3"/>
        <v>28996.000000000004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4"/>
        <v>25591.200000000001</v>
      </c>
      <c r="C28" s="19">
        <f t="shared" si="5"/>
        <v>34273.599999999999</v>
      </c>
      <c r="D28" s="19">
        <f t="shared" si="5"/>
        <v>34576</v>
      </c>
      <c r="E28" s="19">
        <f t="shared" si="3"/>
        <v>34650.400000000001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4"/>
        <v>25920.800000000003</v>
      </c>
      <c r="C29" s="19">
        <f t="shared" si="5"/>
        <v>34606.400000000001</v>
      </c>
      <c r="D29" s="19">
        <f t="shared" si="5"/>
        <v>35187.200000000004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4"/>
        <v>28349.600000000002</v>
      </c>
      <c r="C30" s="19">
        <f t="shared" si="5"/>
        <v>37492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4"/>
        <v>41857.600000000006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6">C19</f>
        <v>1</v>
      </c>
      <c r="D34">
        <f t="shared" si="6"/>
        <v>2</v>
      </c>
      <c r="E34">
        <f t="shared" si="6"/>
        <v>3</v>
      </c>
      <c r="F34">
        <f t="shared" si="6"/>
        <v>4</v>
      </c>
      <c r="G34">
        <f t="shared" si="6"/>
        <v>5</v>
      </c>
      <c r="H34">
        <f t="shared" si="6"/>
        <v>6</v>
      </c>
      <c r="I34">
        <f t="shared" si="6"/>
        <v>7</v>
      </c>
      <c r="J34">
        <f t="shared" si="6"/>
        <v>8</v>
      </c>
      <c r="K34">
        <f t="shared" si="6"/>
        <v>9</v>
      </c>
      <c r="L34">
        <f t="shared" si="6"/>
        <v>10</v>
      </c>
      <c r="M34">
        <f t="shared" si="6"/>
        <v>11</v>
      </c>
    </row>
    <row r="35" spans="1:13" x14ac:dyDescent="0.6">
      <c r="A35">
        <f>A20</f>
        <v>1993</v>
      </c>
      <c r="B35" s="4">
        <f t="shared" ref="B35:M35" si="7">C20/B20</f>
        <v>1.4006683375104427</v>
      </c>
      <c r="C35" s="4">
        <f t="shared" si="7"/>
        <v>1.003817249194799</v>
      </c>
      <c r="D35" s="4">
        <f t="shared" si="7"/>
        <v>1.0001584472172709</v>
      </c>
      <c r="E35" s="4">
        <f t="shared" si="7"/>
        <v>1.0015842211572736</v>
      </c>
      <c r="F35" s="4">
        <f t="shared" si="7"/>
        <v>1.0004745146110956</v>
      </c>
      <c r="G35" s="4">
        <f t="shared" si="7"/>
        <v>1.0013833445318367</v>
      </c>
      <c r="H35" s="4">
        <f t="shared" si="7"/>
        <v>1.0006315124723713</v>
      </c>
      <c r="I35" s="4">
        <f t="shared" si="7"/>
        <v>1.0001972230987692</v>
      </c>
      <c r="J35" s="4">
        <f t="shared" si="7"/>
        <v>1.0008281736798517</v>
      </c>
      <c r="K35" s="4">
        <f t="shared" si="7"/>
        <v>1.0002758294585861</v>
      </c>
      <c r="L35" s="4">
        <f t="shared" si="7"/>
        <v>1.0001969667126256</v>
      </c>
      <c r="M35" s="4">
        <f t="shared" si="7"/>
        <v>1.0064001575423396</v>
      </c>
    </row>
    <row r="36" spans="1:13" x14ac:dyDescent="0.6">
      <c r="A36">
        <f t="shared" ref="A36:A45" si="8">A21</f>
        <v>1994</v>
      </c>
      <c r="B36" s="4">
        <f t="shared" ref="B36:K36" si="9">C21/B21</f>
        <v>1.3934457924500943</v>
      </c>
      <c r="C36" s="4">
        <f t="shared" si="9"/>
        <v>1.0120364910333344</v>
      </c>
      <c r="D36" s="4">
        <f t="shared" si="9"/>
        <v>1.0046613655058951</v>
      </c>
      <c r="E36" s="4">
        <f t="shared" si="9"/>
        <v>1.0011940502183405</v>
      </c>
      <c r="F36" s="4">
        <f t="shared" si="9"/>
        <v>1.0017378266943811</v>
      </c>
      <c r="G36" s="4">
        <f t="shared" si="9"/>
        <v>1.0050343560786448</v>
      </c>
      <c r="H36" s="4">
        <f t="shared" si="9"/>
        <v>1.0021661138563596</v>
      </c>
      <c r="I36" s="4">
        <f t="shared" si="9"/>
        <v>1.0003039513677812</v>
      </c>
      <c r="J36" s="4">
        <f t="shared" si="9"/>
        <v>1.0003038590094198</v>
      </c>
      <c r="K36" s="4">
        <f t="shared" si="9"/>
        <v>1.0009788038342109</v>
      </c>
      <c r="L36" s="4"/>
      <c r="M36" s="4"/>
    </row>
    <row r="37" spans="1:13" x14ac:dyDescent="0.6">
      <c r="A37">
        <f t="shared" si="8"/>
        <v>1995</v>
      </c>
      <c r="B37" s="4">
        <f t="shared" ref="B37:J37" si="10">C22/B22</f>
        <v>1.4147080745341614</v>
      </c>
      <c r="C37" s="4">
        <f t="shared" si="10"/>
        <v>1.0123283340943416</v>
      </c>
      <c r="D37" s="4">
        <f t="shared" si="10"/>
        <v>1.0049961834709598</v>
      </c>
      <c r="E37" s="4">
        <f t="shared" si="10"/>
        <v>1.000724987916868</v>
      </c>
      <c r="F37" s="4">
        <f t="shared" si="10"/>
        <v>1.001724911167075</v>
      </c>
      <c r="G37" s="4">
        <f t="shared" si="10"/>
        <v>1.0028584220132934</v>
      </c>
      <c r="H37" s="4">
        <f t="shared" si="10"/>
        <v>1.0013392857142858</v>
      </c>
      <c r="I37" s="4">
        <f t="shared" si="10"/>
        <v>1.0003429472890017</v>
      </c>
      <c r="J37" s="4">
        <f t="shared" si="10"/>
        <v>1.0010627721210874</v>
      </c>
      <c r="K37" s="4"/>
      <c r="L37" s="4"/>
      <c r="M37" s="4"/>
    </row>
    <row r="38" spans="1:13" x14ac:dyDescent="0.6">
      <c r="A38">
        <f t="shared" si="8"/>
        <v>1996</v>
      </c>
      <c r="B38" s="4">
        <f t="shared" ref="B38:I38" si="11">C23/B23</f>
        <v>1.4086674558649441</v>
      </c>
      <c r="C38" s="4">
        <f t="shared" si="11"/>
        <v>1.0066133216412729</v>
      </c>
      <c r="D38" s="4">
        <f t="shared" si="11"/>
        <v>1.0005444646098003</v>
      </c>
      <c r="E38" s="4">
        <f t="shared" si="11"/>
        <v>1.000906947215672</v>
      </c>
      <c r="F38" s="4">
        <f t="shared" si="11"/>
        <v>1.001812250815513</v>
      </c>
      <c r="G38" s="4">
        <f t="shared" si="11"/>
        <v>1.0002532561505064</v>
      </c>
      <c r="H38" s="4">
        <f t="shared" si="11"/>
        <v>1.000036170289724</v>
      </c>
      <c r="I38" s="4">
        <f t="shared" si="11"/>
        <v>1.000144675925926</v>
      </c>
      <c r="J38" s="4"/>
      <c r="K38" s="4"/>
      <c r="L38" s="4"/>
      <c r="M38" s="4"/>
    </row>
    <row r="39" spans="1:13" x14ac:dyDescent="0.6">
      <c r="A39">
        <f t="shared" si="8"/>
        <v>1997</v>
      </c>
      <c r="B39" s="4">
        <f t="shared" ref="B39:H39" si="12">C24/B24</f>
        <v>1.4659380692167578</v>
      </c>
      <c r="C39" s="4">
        <f t="shared" si="12"/>
        <v>1.0178216415790968</v>
      </c>
      <c r="D39" s="4">
        <f t="shared" si="12"/>
        <v>1.0007324729682594</v>
      </c>
      <c r="E39" s="4">
        <f t="shared" si="12"/>
        <v>1.0006970827088635</v>
      </c>
      <c r="F39" s="4">
        <f t="shared" si="12"/>
        <v>1.0004179582738322</v>
      </c>
      <c r="G39" s="4">
        <f t="shared" si="12"/>
        <v>1.0017407652403998</v>
      </c>
      <c r="H39" s="4">
        <f t="shared" si="12"/>
        <v>1.0001042644145555</v>
      </c>
      <c r="I39" s="4"/>
      <c r="J39" s="4"/>
      <c r="K39" s="4"/>
      <c r="L39" s="4"/>
      <c r="M39" s="4"/>
    </row>
    <row r="40" spans="1:13" x14ac:dyDescent="0.6">
      <c r="A40">
        <f t="shared" si="8"/>
        <v>1998</v>
      </c>
      <c r="B40" s="4">
        <f t="shared" ref="B40:G40" si="13">C25/B25</f>
        <v>1.4093101565344013</v>
      </c>
      <c r="C40" s="4">
        <f t="shared" si="13"/>
        <v>1.0104613993736076</v>
      </c>
      <c r="D40" s="4">
        <f t="shared" si="13"/>
        <v>1.0059753954305799</v>
      </c>
      <c r="E40" s="4">
        <f t="shared" si="13"/>
        <v>1.0063210723588083</v>
      </c>
      <c r="F40" s="4">
        <f t="shared" si="13"/>
        <v>1.0005681638837158</v>
      </c>
      <c r="G40" s="4">
        <f t="shared" si="13"/>
        <v>1.001104135777154</v>
      </c>
      <c r="H40" s="4"/>
      <c r="I40" s="4"/>
      <c r="J40" s="4"/>
      <c r="K40" s="4"/>
      <c r="L40" s="4"/>
      <c r="M40" s="4"/>
    </row>
    <row r="41" spans="1:13" x14ac:dyDescent="0.6">
      <c r="A41">
        <f t="shared" si="8"/>
        <v>1999</v>
      </c>
      <c r="B41" s="4">
        <f>C26/B26</f>
        <v>1.3595553838891035</v>
      </c>
      <c r="C41" s="4">
        <f>D26/C26</f>
        <v>1.0083651630417627</v>
      </c>
      <c r="D41" s="4">
        <f>E26/D26</f>
        <v>1.0047270222890057</v>
      </c>
      <c r="E41" s="4">
        <f>F26/E26</f>
        <v>1.0010905125408942</v>
      </c>
      <c r="F41" s="4">
        <f>G26/F26</f>
        <v>1.0023031434796141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8"/>
        <v>2000</v>
      </c>
      <c r="B42" s="4">
        <f>C27/B27</f>
        <v>1.341664450943898</v>
      </c>
      <c r="C42" s="4">
        <f>D27/C27</f>
        <v>1.017666043825378</v>
      </c>
      <c r="D42" s="4">
        <f>E27/D27</f>
        <v>1.0057029989428588</v>
      </c>
      <c r="E42" s="4">
        <f>F27/E27</f>
        <v>1.0026002046969655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8"/>
        <v>2001</v>
      </c>
      <c r="B43" s="4">
        <f>C28/B28</f>
        <v>1.3392728750507987</v>
      </c>
      <c r="C43" s="4">
        <f>D28/C28</f>
        <v>1.0088231175015172</v>
      </c>
      <c r="D43" s="4">
        <f>E28/D28</f>
        <v>1.0021517815826007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8"/>
        <v>2002</v>
      </c>
      <c r="B44" s="4">
        <f>C29/B29</f>
        <v>1.3350822505478226</v>
      </c>
      <c r="C44" s="4">
        <f>D29/C29</f>
        <v>1.0167830227934718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8"/>
        <v>2003</v>
      </c>
      <c r="B45" s="4">
        <f>C30/B30</f>
        <v>1.3224877952422609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1.3722567734448228</v>
      </c>
      <c r="C48" s="27">
        <f>SUM(D$20:D29)/SUM(C$20:C29)</f>
        <v>1.0117804867446238</v>
      </c>
      <c r="D48" s="27">
        <f>SUM(E$20:E28)/SUM(D$20:D28)</f>
        <v>1.0033916585068186</v>
      </c>
      <c r="E48" s="27">
        <f>SUM(F$20:F27)/SUM(E$20:E27)</f>
        <v>1.0019581564103528</v>
      </c>
      <c r="F48" s="27">
        <f>SUM(G$20:G26)/SUM(F$20:F26)</f>
        <v>1.0013105259282893</v>
      </c>
      <c r="G48" s="27">
        <f>SUM(H$20:H25)/SUM(G$20:G25)</f>
        <v>1.0020838426524175</v>
      </c>
      <c r="H48" s="27">
        <f>SUM(I$20:I24)/SUM(H$20:H24)</f>
        <v>1.000875931121904</v>
      </c>
      <c r="I48" s="27">
        <f>SUM(J$20:J23)/SUM(I$20:I23)</f>
        <v>1.0002505166906746</v>
      </c>
      <c r="J48" s="27">
        <f>SUM(K$20:K22)/SUM(J$20:J22)</f>
        <v>1.000724939093232</v>
      </c>
      <c r="K48" s="27">
        <f>SUM(L$20:L21)/SUM(K$20:K21)</f>
        <v>1.0006544740573755</v>
      </c>
      <c r="L48" s="27">
        <f>SUM(M$20:M20)/SUM(L$20:L20)</f>
        <v>1.0001969667126256</v>
      </c>
      <c r="M48" s="27">
        <f>SUM(N$20:N20)/SUM(M$20:M20)</f>
        <v>1.0064001575423396</v>
      </c>
    </row>
    <row r="49" spans="1:13" x14ac:dyDescent="0.6">
      <c r="A49" s="25" t="s">
        <v>1</v>
      </c>
      <c r="B49" s="24">
        <f>AVERAGE(B35:B45)</f>
        <v>1.3809818765258806</v>
      </c>
      <c r="C49" s="24">
        <f>AVERAGE(C35:C45)</f>
        <v>1.0114715784078583</v>
      </c>
      <c r="D49" s="24">
        <f t="shared" ref="D49:M49" si="14">AVERAGE(D35:D45)</f>
        <v>1.0032944591130257</v>
      </c>
      <c r="E49" s="24">
        <f t="shared" si="14"/>
        <v>1.0018898848517108</v>
      </c>
      <c r="F49" s="24">
        <f t="shared" si="14"/>
        <v>1.0012912527036038</v>
      </c>
      <c r="G49" s="24">
        <f t="shared" si="14"/>
        <v>1.0020623799653059</v>
      </c>
      <c r="H49" s="24">
        <f t="shared" si="14"/>
        <v>1.0008554693494591</v>
      </c>
      <c r="I49" s="24">
        <f t="shared" si="14"/>
        <v>1.0002471994203694</v>
      </c>
      <c r="J49" s="24">
        <f t="shared" si="14"/>
        <v>1.0007316016034531</v>
      </c>
      <c r="K49" s="24">
        <f t="shared" si="14"/>
        <v>1.0006273166463986</v>
      </c>
      <c r="L49" s="24">
        <f t="shared" si="14"/>
        <v>1.0001969667126256</v>
      </c>
      <c r="M49" s="24">
        <f t="shared" si="14"/>
        <v>1.0064001575423396</v>
      </c>
    </row>
    <row r="50" spans="1:13" x14ac:dyDescent="0.6">
      <c r="A50" s="25" t="s">
        <v>3</v>
      </c>
      <c r="B50" s="24">
        <f>AVERAGE(B42:B45)</f>
        <v>1.3346268429461952</v>
      </c>
      <c r="C50" s="24">
        <f>AVERAGE(C41:C44)</f>
        <v>1.0129093367905324</v>
      </c>
      <c r="D50" s="24">
        <f>AVERAGE(D40:D43)</f>
        <v>1.0046392995612612</v>
      </c>
      <c r="E50" s="24">
        <f>AVERAGE(E39:E42)</f>
        <v>1.002677218076383</v>
      </c>
      <c r="F50" s="24">
        <f>AVERAGE(F38:F41)</f>
        <v>1.0012753791131688</v>
      </c>
      <c r="G50" s="24">
        <f>AVERAGE(G37:G40)</f>
        <v>1.0014891447953385</v>
      </c>
      <c r="H50" s="24">
        <f>AVERAGE(H36:H39)</f>
        <v>1.0009114585687313</v>
      </c>
      <c r="I50" s="24">
        <f>AVERAGE(I35:I38)</f>
        <v>1.0002471994203694</v>
      </c>
      <c r="J50" s="24">
        <f>J49</f>
        <v>1.0007316016034531</v>
      </c>
      <c r="K50" s="24">
        <f>K49</f>
        <v>1.0006273166463986</v>
      </c>
      <c r="L50" s="24">
        <f>L49</f>
        <v>1.0001969667126256</v>
      </c>
      <c r="M50" s="24">
        <f>M49</f>
        <v>1.0064001575423396</v>
      </c>
    </row>
    <row r="52" spans="1:13" x14ac:dyDescent="0.6">
      <c r="A52" s="13" t="s">
        <v>2</v>
      </c>
      <c r="B52" s="26">
        <f>PRODUCT(B48:$M48)</f>
        <v>1.4133792746199507</v>
      </c>
      <c r="C52" s="26">
        <f>PRODUCT(C48:$M48)</f>
        <v>1.0299670600800876</v>
      </c>
      <c r="D52" s="26">
        <f>PRODUCT(D48:$M48)</f>
        <v>1.0179748211926662</v>
      </c>
      <c r="E52" s="26">
        <f>PRODUCT(E48:$M48)</f>
        <v>1.0145338687662098</v>
      </c>
      <c r="F52" s="26">
        <f>PRODUCT(F48:$M48)</f>
        <v>1.0125511352698713</v>
      </c>
      <c r="G52" s="26">
        <f>PRODUCT(G48:$M48)</f>
        <v>1.0112258975118242</v>
      </c>
      <c r="H52" s="26">
        <f>PRODUCT(H48:$M48)</f>
        <v>1.0091230438714676</v>
      </c>
      <c r="I52" s="26">
        <f>PRODUCT(I48:$M48)</f>
        <v>1.0082398951689442</v>
      </c>
      <c r="J52" s="26">
        <f>PRODUCT(J48:$M48)</f>
        <v>1.0079873775068893</v>
      </c>
      <c r="K52" s="26">
        <f>PRODUCT(K48:$M48)</f>
        <v>1.007257177402052</v>
      </c>
      <c r="L52" s="26">
        <f>PRODUCT(L48:$M48)</f>
        <v>1.0065983848729565</v>
      </c>
      <c r="M52" s="26">
        <f>PRODUCT(M48:$M48)</f>
        <v>1.0064001575423396</v>
      </c>
    </row>
    <row r="53" spans="1:13" x14ac:dyDescent="0.6">
      <c r="A53" s="13" t="s">
        <v>4</v>
      </c>
      <c r="B53" s="4">
        <f>PRODUCT(B49:$M49)</f>
        <v>1.4215762462561041</v>
      </c>
      <c r="C53" s="4">
        <f>PRODUCT(C49:$M49)</f>
        <v>1.0293952950579961</v>
      </c>
      <c r="D53" s="4">
        <f>PRODUCT(D49:$M49)</f>
        <v>1.0177204352873179</v>
      </c>
      <c r="E53" s="4">
        <f>PRODUCT(E49:$M49)</f>
        <v>1.0143786064432629</v>
      </c>
      <c r="F53" s="4">
        <f>PRODUCT(F49:$M49)</f>
        <v>1.0124651638671853</v>
      </c>
      <c r="G53" s="4">
        <f>PRODUCT(G49:$M49)</f>
        <v>1.0111595014271926</v>
      </c>
      <c r="H53" s="4">
        <f>PRODUCT(H49:$M49)</f>
        <v>1.0090783983550027</v>
      </c>
      <c r="I53" s="4">
        <f>PRODUCT(I49:$M49)</f>
        <v>1.0082159005544409</v>
      </c>
      <c r="J53" s="4">
        <f>PRODUCT(J49:$M49)</f>
        <v>1.0079667317625975</v>
      </c>
      <c r="K53" s="4">
        <f>PRODUCT(K49:$M49)</f>
        <v>1.0072298407960254</v>
      </c>
      <c r="L53" s="4">
        <f>PRODUCT(L49:$M49)</f>
        <v>1.0065983848729565</v>
      </c>
      <c r="M53" s="4">
        <f>PRODUCT(M49:$M49)</f>
        <v>1.0064001575423396</v>
      </c>
    </row>
    <row r="54" spans="1:13" x14ac:dyDescent="0.6">
      <c r="A54" s="13" t="s">
        <v>5</v>
      </c>
      <c r="B54" s="4">
        <f>PRODUCT(B50:$M50)</f>
        <v>1.3780047900423325</v>
      </c>
      <c r="C54" s="4">
        <f>PRODUCT(C50:$M50)</f>
        <v>1.0325019291537549</v>
      </c>
      <c r="D54" s="4">
        <f>PRODUCT(D50:$M50)</f>
        <v>1.0193428885010605</v>
      </c>
      <c r="E54" s="4">
        <f>PRODUCT(E50:$M50)</f>
        <v>1.0146356895914992</v>
      </c>
      <c r="F54" s="4">
        <f>PRODUCT(F50:$M50)</f>
        <v>1.0119265415624561</v>
      </c>
      <c r="G54" s="4">
        <f>PRODUCT(G50:$M50)</f>
        <v>1.0106375954821951</v>
      </c>
      <c r="H54" s="4">
        <f>PRODUCT(H50:$M50)</f>
        <v>1.0091348475761324</v>
      </c>
      <c r="I54" s="4">
        <f>PRODUCT(I50:$M50)</f>
        <v>1.0082159005544409</v>
      </c>
      <c r="J54" s="4">
        <f>PRODUCT(J50:$M50)</f>
        <v>1.0079667317625975</v>
      </c>
      <c r="K54" s="4">
        <f>PRODUCT(K50:$M50)</f>
        <v>1.0072298407960254</v>
      </c>
      <c r="L54" s="4">
        <f>PRODUCT(L50:$M50)</f>
        <v>1.0065983848729565</v>
      </c>
      <c r="M54" s="4">
        <f>PRODUCT(M50:$M50)</f>
        <v>1.0064001575423396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1.4133792746199507</v>
      </c>
      <c r="C56" s="35">
        <f t="shared" ref="C56:M56" si="15">IF($A$55=1,C52,IF($A$55=2,C53,C54))</f>
        <v>1.0299670600800876</v>
      </c>
      <c r="D56" s="35">
        <f t="shared" si="15"/>
        <v>1.0179748211926662</v>
      </c>
      <c r="E56" s="35">
        <f t="shared" si="15"/>
        <v>1.0145338687662098</v>
      </c>
      <c r="F56" s="35">
        <f t="shared" si="15"/>
        <v>1.0125511352698713</v>
      </c>
      <c r="G56" s="35">
        <f t="shared" si="15"/>
        <v>1.0112258975118242</v>
      </c>
      <c r="H56" s="35">
        <f t="shared" si="15"/>
        <v>1.0091230438714676</v>
      </c>
      <c r="I56" s="35">
        <f t="shared" si="15"/>
        <v>1.0082398951689442</v>
      </c>
      <c r="J56" s="35">
        <f t="shared" si="15"/>
        <v>1.0079873775068893</v>
      </c>
      <c r="K56" s="35">
        <f t="shared" si="15"/>
        <v>1.007257177402052</v>
      </c>
      <c r="L56" s="35">
        <f t="shared" si="15"/>
        <v>1.0065983848729565</v>
      </c>
      <c r="M56" s="35">
        <f t="shared" si="15"/>
        <v>1.0064001575423396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37" t="s">
        <v>14</v>
      </c>
      <c r="C59" s="38" t="s">
        <v>10</v>
      </c>
      <c r="D59" s="37" t="s">
        <v>15</v>
      </c>
      <c r="E59" s="37" t="s">
        <v>16</v>
      </c>
    </row>
    <row r="60" spans="1:13" x14ac:dyDescent="0.6">
      <c r="A60">
        <f>A35</f>
        <v>1993</v>
      </c>
      <c r="B60" s="1">
        <f>M20</f>
        <v>20311.999999999996</v>
      </c>
      <c r="C60" s="31">
        <f>M56</f>
        <v>1.0064001575423396</v>
      </c>
      <c r="D60" s="30">
        <f>B60*C60</f>
        <v>20441.999999999996</v>
      </c>
      <c r="E60" s="32">
        <f>D60-B60</f>
        <v>130</v>
      </c>
    </row>
    <row r="61" spans="1:13" x14ac:dyDescent="0.6">
      <c r="A61">
        <f t="shared" ref="A61:A71" si="16">A36</f>
        <v>1994</v>
      </c>
      <c r="B61" s="1">
        <f>L21</f>
        <v>23725.600000000002</v>
      </c>
      <c r="C61" s="31">
        <f>L56</f>
        <v>1.0065983848729565</v>
      </c>
      <c r="D61" s="30">
        <f t="shared" ref="D61:D71" si="17">B61*C61</f>
        <v>23882.150640141819</v>
      </c>
      <c r="E61" s="32">
        <f t="shared" ref="E61:E71" si="18">D61-B61</f>
        <v>156.55064014181698</v>
      </c>
    </row>
    <row r="62" spans="1:13" x14ac:dyDescent="0.6">
      <c r="A62">
        <f t="shared" si="16"/>
        <v>1995</v>
      </c>
      <c r="B62" s="1">
        <f>K22</f>
        <v>23360</v>
      </c>
      <c r="C62" s="31">
        <f>K56</f>
        <v>1.007257177402052</v>
      </c>
      <c r="D62" s="30">
        <f t="shared" si="17"/>
        <v>23529.527664111934</v>
      </c>
      <c r="E62" s="32">
        <f t="shared" si="18"/>
        <v>169.52766411193443</v>
      </c>
    </row>
    <row r="63" spans="1:13" x14ac:dyDescent="0.6">
      <c r="A63">
        <f t="shared" si="16"/>
        <v>1996</v>
      </c>
      <c r="B63" s="1">
        <f>J23</f>
        <v>22121.599999999999</v>
      </c>
      <c r="C63" s="31">
        <f>J56</f>
        <v>1.0079873775068893</v>
      </c>
      <c r="D63" s="30">
        <f t="shared" si="17"/>
        <v>22298.293570256399</v>
      </c>
      <c r="E63" s="32">
        <f t="shared" si="18"/>
        <v>176.69357025640056</v>
      </c>
    </row>
    <row r="64" spans="1:13" x14ac:dyDescent="0.6">
      <c r="A64">
        <f t="shared" si="16"/>
        <v>1997</v>
      </c>
      <c r="B64" s="1">
        <f>I24</f>
        <v>23020.799999999999</v>
      </c>
      <c r="C64" s="31">
        <f>I56</f>
        <v>1.0082398951689442</v>
      </c>
      <c r="D64" s="30">
        <f t="shared" si="17"/>
        <v>23210.488978705231</v>
      </c>
      <c r="E64" s="32">
        <f t="shared" si="18"/>
        <v>189.68897870523142</v>
      </c>
    </row>
    <row r="65" spans="1:7" x14ac:dyDescent="0.6">
      <c r="A65">
        <f t="shared" si="16"/>
        <v>1998</v>
      </c>
      <c r="B65" s="1">
        <f>H25</f>
        <v>25387.200000000001</v>
      </c>
      <c r="C65" s="31">
        <f>H56</f>
        <v>1.0091230438714676</v>
      </c>
      <c r="D65" s="30">
        <f t="shared" si="17"/>
        <v>25618.808539373724</v>
      </c>
      <c r="E65" s="32">
        <f t="shared" si="18"/>
        <v>231.60853937372303</v>
      </c>
    </row>
    <row r="66" spans="1:7" x14ac:dyDescent="0.6">
      <c r="A66">
        <f t="shared" si="16"/>
        <v>1999</v>
      </c>
      <c r="B66" s="1">
        <f>G26</f>
        <v>25763.200000000001</v>
      </c>
      <c r="C66" s="31">
        <f>G56</f>
        <v>1.0112258975118242</v>
      </c>
      <c r="D66" s="30">
        <f t="shared" si="17"/>
        <v>26052.415042776633</v>
      </c>
      <c r="E66" s="32">
        <f t="shared" si="18"/>
        <v>289.21504277663189</v>
      </c>
    </row>
    <row r="67" spans="1:7" x14ac:dyDescent="0.6">
      <c r="A67">
        <f t="shared" si="16"/>
        <v>2000</v>
      </c>
      <c r="B67" s="1">
        <f>F27</f>
        <v>28996.000000000004</v>
      </c>
      <c r="C67" s="31">
        <f>F56</f>
        <v>1.0125511352698713</v>
      </c>
      <c r="D67" s="30">
        <f t="shared" si="17"/>
        <v>29359.932718285192</v>
      </c>
      <c r="E67" s="32">
        <f t="shared" si="18"/>
        <v>363.93271828518846</v>
      </c>
    </row>
    <row r="68" spans="1:7" x14ac:dyDescent="0.6">
      <c r="A68">
        <f t="shared" si="16"/>
        <v>2001</v>
      </c>
      <c r="B68" s="1">
        <f>E28</f>
        <v>34650.400000000001</v>
      </c>
      <c r="C68" s="31">
        <f>E56</f>
        <v>1.0145338687662098</v>
      </c>
      <c r="D68" s="30">
        <f t="shared" si="17"/>
        <v>35154.004366296678</v>
      </c>
      <c r="E68" s="32">
        <f t="shared" si="18"/>
        <v>503.60436629667674</v>
      </c>
    </row>
    <row r="69" spans="1:7" x14ac:dyDescent="0.6">
      <c r="A69">
        <f t="shared" si="16"/>
        <v>2002</v>
      </c>
      <c r="B69" s="1">
        <f>D29</f>
        <v>35187.200000000004</v>
      </c>
      <c r="C69" s="31">
        <f>D56</f>
        <v>1.0179748211926662</v>
      </c>
      <c r="D69" s="30">
        <f t="shared" si="17"/>
        <v>35819.683628270592</v>
      </c>
      <c r="E69" s="32">
        <f t="shared" si="18"/>
        <v>632.48362827058736</v>
      </c>
    </row>
    <row r="70" spans="1:7" x14ac:dyDescent="0.6">
      <c r="A70">
        <f t="shared" si="16"/>
        <v>2003</v>
      </c>
      <c r="B70" s="1">
        <f>C30</f>
        <v>37492</v>
      </c>
      <c r="C70" s="31">
        <f>C56</f>
        <v>1.0299670600800876</v>
      </c>
      <c r="D70" s="30">
        <f t="shared" si="17"/>
        <v>38615.525016522646</v>
      </c>
      <c r="E70" s="32">
        <f t="shared" si="18"/>
        <v>1123.5250165226462</v>
      </c>
    </row>
    <row r="71" spans="1:7" x14ac:dyDescent="0.6">
      <c r="A71">
        <f t="shared" si="16"/>
        <v>2004</v>
      </c>
      <c r="B71" s="1">
        <f>B31</f>
        <v>41857.600000000006</v>
      </c>
      <c r="C71" s="31">
        <f>B56</f>
        <v>1.4133792746199507</v>
      </c>
      <c r="D71" s="30">
        <f t="shared" si="17"/>
        <v>59160.664325332058</v>
      </c>
      <c r="E71" s="32">
        <f t="shared" si="18"/>
        <v>17303.064325332052</v>
      </c>
    </row>
    <row r="72" spans="1:7" x14ac:dyDescent="0.6">
      <c r="B72" s="32">
        <f>SUM(B60:B71)</f>
        <v>341873.6</v>
      </c>
      <c r="D72" s="32">
        <f>SUM(D60:D71)</f>
        <v>363143.49449007283</v>
      </c>
      <c r="E72" s="32">
        <f>SUM(E60:E71)</f>
        <v>21269.894490072889</v>
      </c>
      <c r="G72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2"/>
  <sheetViews>
    <sheetView topLeftCell="A38" workbookViewId="0">
      <selection activeCell="B59" sqref="B59:E59"/>
    </sheetView>
  </sheetViews>
  <sheetFormatPr defaultRowHeight="13" x14ac:dyDescent="0.6"/>
  <cols>
    <col min="1" max="1" width="11" customWidth="1"/>
    <col min="2" max="2" width="12.81640625" bestFit="1" customWidth="1"/>
    <col min="4" max="4" width="14" bestFit="1" customWidth="1"/>
    <col min="5" max="5" width="12.816406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193473.6</v>
      </c>
      <c r="C3" s="6">
        <v>172617.60000000001</v>
      </c>
      <c r="D3" s="6">
        <v>87200.4</v>
      </c>
      <c r="E3" s="6">
        <v>45798</v>
      </c>
      <c r="F3" s="6">
        <v>29768.400000000001</v>
      </c>
      <c r="G3" s="6">
        <v>19795.2</v>
      </c>
      <c r="H3" s="6">
        <v>19782</v>
      </c>
      <c r="I3" s="6">
        <v>17314.8</v>
      </c>
      <c r="J3" s="6">
        <v>13371.6</v>
      </c>
      <c r="K3" s="6">
        <v>12552</v>
      </c>
      <c r="L3" s="6">
        <v>8830.7999999999993</v>
      </c>
      <c r="M3" s="6">
        <v>8053</v>
      </c>
      <c r="N3" s="7">
        <v>19889</v>
      </c>
    </row>
    <row r="4" spans="1:14" x14ac:dyDescent="0.6">
      <c r="A4">
        <f>A3+1</f>
        <v>1994</v>
      </c>
      <c r="B4" s="8">
        <v>199854</v>
      </c>
      <c r="C4" s="2">
        <v>168966</v>
      </c>
      <c r="D4" s="2">
        <v>80542.8</v>
      </c>
      <c r="E4" s="2">
        <v>40656</v>
      </c>
      <c r="F4" s="2">
        <v>29053.200000000001</v>
      </c>
      <c r="G4" s="2">
        <v>21121.200000000001</v>
      </c>
      <c r="H4" s="2">
        <v>19964.400000000001</v>
      </c>
      <c r="I4" s="2">
        <v>14248.8</v>
      </c>
      <c r="J4" s="2">
        <v>10719.6</v>
      </c>
      <c r="K4" s="2">
        <v>13683.6</v>
      </c>
      <c r="L4" s="2">
        <v>6008.4</v>
      </c>
      <c r="M4" s="3"/>
      <c r="N4" s="9"/>
    </row>
    <row r="5" spans="1:14" x14ac:dyDescent="0.6">
      <c r="A5">
        <f t="shared" ref="A5:A14" si="1">A4+1</f>
        <v>1995</v>
      </c>
      <c r="B5" s="8">
        <v>225578.4</v>
      </c>
      <c r="C5" s="2">
        <v>186764.4</v>
      </c>
      <c r="D5" s="2">
        <v>93349.2</v>
      </c>
      <c r="E5" s="2">
        <v>47608.800000000003</v>
      </c>
      <c r="F5" s="2">
        <v>30970.799999999999</v>
      </c>
      <c r="G5" s="2">
        <v>26290.799999999999</v>
      </c>
      <c r="H5" s="2">
        <v>17620.8</v>
      </c>
      <c r="I5" s="2">
        <v>18410.400000000001</v>
      </c>
      <c r="J5" s="2">
        <v>14661.6</v>
      </c>
      <c r="K5" s="2">
        <v>7591.2</v>
      </c>
      <c r="L5" s="3"/>
      <c r="M5" s="3"/>
      <c r="N5" s="9"/>
    </row>
    <row r="6" spans="1:14" x14ac:dyDescent="0.6">
      <c r="A6">
        <f t="shared" si="1"/>
        <v>1996</v>
      </c>
      <c r="B6" s="8">
        <v>256398</v>
      </c>
      <c r="C6" s="2">
        <v>236678.39999999999</v>
      </c>
      <c r="D6" s="2">
        <v>105615.6</v>
      </c>
      <c r="E6" s="2">
        <v>51171.6</v>
      </c>
      <c r="F6" s="2">
        <v>37338</v>
      </c>
      <c r="G6" s="2">
        <v>24085.200000000001</v>
      </c>
      <c r="H6" s="2">
        <v>20754</v>
      </c>
      <c r="I6" s="2">
        <v>12081.6</v>
      </c>
      <c r="J6" s="2">
        <v>14137.2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282956.40000000002</v>
      </c>
      <c r="C7" s="2">
        <v>263196</v>
      </c>
      <c r="D7" s="2">
        <v>120382.8</v>
      </c>
      <c r="E7" s="2">
        <v>63688.800000000003</v>
      </c>
      <c r="F7" s="2">
        <v>37220.400000000001</v>
      </c>
      <c r="G7" s="2">
        <v>29239.200000000001</v>
      </c>
      <c r="H7" s="2">
        <v>23120.400000000001</v>
      </c>
      <c r="I7" s="2">
        <v>15508.8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292428</v>
      </c>
      <c r="C8" s="2">
        <v>284401.2</v>
      </c>
      <c r="D8" s="2">
        <v>141399.6</v>
      </c>
      <c r="E8" s="2">
        <v>56390.400000000001</v>
      </c>
      <c r="F8" s="2">
        <v>40195.199999999997</v>
      </c>
      <c r="G8" s="2">
        <v>27955.200000000001</v>
      </c>
      <c r="H8" s="2">
        <v>29986.799999999999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312350.40000000002</v>
      </c>
      <c r="C9" s="2">
        <v>285506.40000000002</v>
      </c>
      <c r="D9" s="2">
        <v>131686.79999999999</v>
      </c>
      <c r="E9" s="2">
        <v>75252</v>
      </c>
      <c r="F9" s="2">
        <v>46549.2</v>
      </c>
      <c r="G9" s="2">
        <v>38731.199999999997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327673.2</v>
      </c>
      <c r="C10" s="2">
        <v>307992</v>
      </c>
      <c r="D10" s="2">
        <v>161516.4</v>
      </c>
      <c r="E10" s="2">
        <v>77965.2</v>
      </c>
      <c r="F10" s="2">
        <v>52695.6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339898.8</v>
      </c>
      <c r="C11" s="2">
        <v>326280</v>
      </c>
      <c r="D11" s="2">
        <v>185911.2</v>
      </c>
      <c r="E11" s="2">
        <v>101272.8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371275.2</v>
      </c>
      <c r="C12" s="2">
        <v>385846.8</v>
      </c>
      <c r="D12" s="2">
        <v>193005.6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388024.8</v>
      </c>
      <c r="C13" s="2">
        <v>390736.8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398685.6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193473.6</v>
      </c>
      <c r="C20" s="16">
        <f>B20+C3</f>
        <v>366091.2</v>
      </c>
      <c r="D20" s="16">
        <f t="shared" ref="D20:N28" si="3">C20+D3</f>
        <v>453291.6</v>
      </c>
      <c r="E20" s="16">
        <f t="shared" si="3"/>
        <v>499089.6</v>
      </c>
      <c r="F20" s="16">
        <f t="shared" si="3"/>
        <v>528858</v>
      </c>
      <c r="G20" s="16">
        <f t="shared" si="3"/>
        <v>548653.19999999995</v>
      </c>
      <c r="H20" s="16">
        <f t="shared" si="3"/>
        <v>568435.19999999995</v>
      </c>
      <c r="I20" s="16">
        <f t="shared" si="3"/>
        <v>585750</v>
      </c>
      <c r="J20" s="16">
        <f t="shared" si="3"/>
        <v>599121.6</v>
      </c>
      <c r="K20" s="16">
        <f t="shared" si="3"/>
        <v>611673.59999999998</v>
      </c>
      <c r="L20" s="16">
        <f t="shared" si="3"/>
        <v>620504.4</v>
      </c>
      <c r="M20" s="16">
        <f t="shared" si="3"/>
        <v>628557.4</v>
      </c>
      <c r="N20" s="17">
        <f t="shared" si="3"/>
        <v>648446.4</v>
      </c>
    </row>
    <row r="21" spans="1:14" x14ac:dyDescent="0.6">
      <c r="A21">
        <f t="shared" ref="A21:B31" si="4">A4</f>
        <v>1994</v>
      </c>
      <c r="B21" s="18">
        <f t="shared" si="4"/>
        <v>199854</v>
      </c>
      <c r="C21" s="19">
        <f t="shared" ref="C21:D30" si="5">B21+C4</f>
        <v>368820</v>
      </c>
      <c r="D21" s="19">
        <f t="shared" si="5"/>
        <v>449362.8</v>
      </c>
      <c r="E21" s="19">
        <f t="shared" si="3"/>
        <v>490018.8</v>
      </c>
      <c r="F21" s="19">
        <f t="shared" si="3"/>
        <v>519072</v>
      </c>
      <c r="G21" s="19">
        <f t="shared" si="3"/>
        <v>540193.19999999995</v>
      </c>
      <c r="H21" s="19">
        <f t="shared" si="3"/>
        <v>560157.6</v>
      </c>
      <c r="I21" s="19">
        <f t="shared" si="3"/>
        <v>574406.40000000002</v>
      </c>
      <c r="J21" s="19">
        <f t="shared" si="3"/>
        <v>585126</v>
      </c>
      <c r="K21" s="19">
        <f t="shared" si="3"/>
        <v>598809.59999999998</v>
      </c>
      <c r="L21" s="19">
        <f t="shared" si="3"/>
        <v>604818</v>
      </c>
      <c r="M21" s="20"/>
      <c r="N21" s="9"/>
    </row>
    <row r="22" spans="1:14" x14ac:dyDescent="0.6">
      <c r="A22">
        <f t="shared" si="4"/>
        <v>1995</v>
      </c>
      <c r="B22" s="18">
        <f t="shared" si="4"/>
        <v>225578.4</v>
      </c>
      <c r="C22" s="19">
        <f t="shared" si="5"/>
        <v>412342.8</v>
      </c>
      <c r="D22" s="19">
        <f t="shared" si="5"/>
        <v>505692</v>
      </c>
      <c r="E22" s="19">
        <f t="shared" si="3"/>
        <v>553300.80000000005</v>
      </c>
      <c r="F22" s="19">
        <f t="shared" si="3"/>
        <v>584271.60000000009</v>
      </c>
      <c r="G22" s="19">
        <f t="shared" si="3"/>
        <v>610562.40000000014</v>
      </c>
      <c r="H22" s="19">
        <f t="shared" si="3"/>
        <v>628183.20000000019</v>
      </c>
      <c r="I22" s="19">
        <f t="shared" si="3"/>
        <v>646593.60000000021</v>
      </c>
      <c r="J22" s="19">
        <f t="shared" si="3"/>
        <v>661255.20000000019</v>
      </c>
      <c r="K22" s="19">
        <f t="shared" si="3"/>
        <v>668846.40000000014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4"/>
        <v>256398</v>
      </c>
      <c r="C23" s="19">
        <f t="shared" si="5"/>
        <v>493076.4</v>
      </c>
      <c r="D23" s="19">
        <f t="shared" si="5"/>
        <v>598692</v>
      </c>
      <c r="E23" s="19">
        <f t="shared" si="3"/>
        <v>649863.6</v>
      </c>
      <c r="F23" s="19">
        <f t="shared" si="3"/>
        <v>687201.6</v>
      </c>
      <c r="G23" s="19">
        <f t="shared" si="3"/>
        <v>711286.79999999993</v>
      </c>
      <c r="H23" s="19">
        <f t="shared" si="3"/>
        <v>732040.79999999993</v>
      </c>
      <c r="I23" s="19">
        <f t="shared" si="3"/>
        <v>744122.39999999991</v>
      </c>
      <c r="J23" s="19">
        <f t="shared" si="3"/>
        <v>758259.59999999986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4"/>
        <v>282956.40000000002</v>
      </c>
      <c r="C24" s="19">
        <f t="shared" si="5"/>
        <v>546152.4</v>
      </c>
      <c r="D24" s="19">
        <f t="shared" si="5"/>
        <v>666535.20000000007</v>
      </c>
      <c r="E24" s="19">
        <f t="shared" si="3"/>
        <v>730224.00000000012</v>
      </c>
      <c r="F24" s="19">
        <f t="shared" si="3"/>
        <v>767444.40000000014</v>
      </c>
      <c r="G24" s="19">
        <f t="shared" si="3"/>
        <v>796683.60000000009</v>
      </c>
      <c r="H24" s="19">
        <f t="shared" si="3"/>
        <v>819804.00000000012</v>
      </c>
      <c r="I24" s="19">
        <f t="shared" si="3"/>
        <v>835312.80000000016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4"/>
        <v>292428</v>
      </c>
      <c r="C25" s="19">
        <f t="shared" si="5"/>
        <v>576829.19999999995</v>
      </c>
      <c r="D25" s="19">
        <f t="shared" si="5"/>
        <v>718228.79999999993</v>
      </c>
      <c r="E25" s="19">
        <f t="shared" si="3"/>
        <v>774619.2</v>
      </c>
      <c r="F25" s="19">
        <f t="shared" si="3"/>
        <v>814814.39999999991</v>
      </c>
      <c r="G25" s="19">
        <f t="shared" si="3"/>
        <v>842769.59999999986</v>
      </c>
      <c r="H25" s="19">
        <f t="shared" si="3"/>
        <v>872756.39999999991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4"/>
        <v>312350.40000000002</v>
      </c>
      <c r="C26" s="19">
        <f t="shared" si="5"/>
        <v>597856.80000000005</v>
      </c>
      <c r="D26" s="19">
        <f t="shared" si="5"/>
        <v>729543.60000000009</v>
      </c>
      <c r="E26" s="19">
        <f t="shared" si="3"/>
        <v>804795.60000000009</v>
      </c>
      <c r="F26" s="19">
        <f t="shared" si="3"/>
        <v>851344.8</v>
      </c>
      <c r="G26" s="19">
        <f t="shared" si="3"/>
        <v>890076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4"/>
        <v>327673.2</v>
      </c>
      <c r="C27" s="19">
        <f t="shared" si="5"/>
        <v>635665.19999999995</v>
      </c>
      <c r="D27" s="19">
        <f t="shared" si="5"/>
        <v>797181.6</v>
      </c>
      <c r="E27" s="19">
        <f t="shared" si="3"/>
        <v>875146.79999999993</v>
      </c>
      <c r="F27" s="19">
        <f t="shared" si="3"/>
        <v>927842.39999999991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4"/>
        <v>339898.8</v>
      </c>
      <c r="C28" s="19">
        <f t="shared" si="5"/>
        <v>666178.80000000005</v>
      </c>
      <c r="D28" s="19">
        <f t="shared" si="5"/>
        <v>852090</v>
      </c>
      <c r="E28" s="19">
        <f t="shared" si="3"/>
        <v>953362.8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4"/>
        <v>371275.2</v>
      </c>
      <c r="C29" s="19">
        <f t="shared" si="5"/>
        <v>757122</v>
      </c>
      <c r="D29" s="19">
        <f t="shared" si="5"/>
        <v>950127.6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4"/>
        <v>388024.8</v>
      </c>
      <c r="C30" s="19">
        <f t="shared" si="5"/>
        <v>778761.6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4"/>
        <v>398685.6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6">C19</f>
        <v>1</v>
      </c>
      <c r="D34">
        <f t="shared" si="6"/>
        <v>2</v>
      </c>
      <c r="E34">
        <f t="shared" si="6"/>
        <v>3</v>
      </c>
      <c r="F34">
        <f t="shared" si="6"/>
        <v>4</v>
      </c>
      <c r="G34">
        <f t="shared" si="6"/>
        <v>5</v>
      </c>
      <c r="H34">
        <f t="shared" si="6"/>
        <v>6</v>
      </c>
      <c r="I34">
        <f t="shared" si="6"/>
        <v>7</v>
      </c>
      <c r="J34">
        <f t="shared" si="6"/>
        <v>8</v>
      </c>
      <c r="K34">
        <f t="shared" si="6"/>
        <v>9</v>
      </c>
      <c r="L34">
        <f t="shared" si="6"/>
        <v>10</v>
      </c>
      <c r="M34">
        <f t="shared" si="6"/>
        <v>11</v>
      </c>
    </row>
    <row r="35" spans="1:13" x14ac:dyDescent="0.6">
      <c r="A35">
        <f>A20</f>
        <v>1993</v>
      </c>
      <c r="B35" s="4">
        <f t="shared" ref="B35:M35" si="7">C20/B20</f>
        <v>1.8922023469868758</v>
      </c>
      <c r="C35" s="4">
        <f t="shared" si="7"/>
        <v>1.2381931059801492</v>
      </c>
      <c r="D35" s="4">
        <f t="shared" si="7"/>
        <v>1.1010343010988952</v>
      </c>
      <c r="E35" s="4">
        <f t="shared" si="7"/>
        <v>1.0596454023485964</v>
      </c>
      <c r="F35" s="4">
        <f t="shared" si="7"/>
        <v>1.0374300852024549</v>
      </c>
      <c r="G35" s="4">
        <f t="shared" si="7"/>
        <v>1.0360555629676451</v>
      </c>
      <c r="H35" s="4">
        <f t="shared" si="7"/>
        <v>1.030460464095116</v>
      </c>
      <c r="I35" s="4">
        <f t="shared" si="7"/>
        <v>1.0228281690140846</v>
      </c>
      <c r="J35" s="4">
        <f t="shared" si="7"/>
        <v>1.0209506717834911</v>
      </c>
      <c r="K35" s="4">
        <f t="shared" si="7"/>
        <v>1.0144371115575366</v>
      </c>
      <c r="L35" s="4">
        <f t="shared" si="7"/>
        <v>1.0129781513233427</v>
      </c>
      <c r="M35" s="4">
        <f t="shared" si="7"/>
        <v>1.0316422971076309</v>
      </c>
    </row>
    <row r="36" spans="1:13" x14ac:dyDescent="0.6">
      <c r="A36">
        <f t="shared" ref="A36:A45" si="8">A21</f>
        <v>1994</v>
      </c>
      <c r="B36" s="4">
        <f t="shared" ref="B36:K36" si="9">C21/B21</f>
        <v>1.8454471764388003</v>
      </c>
      <c r="C36" s="4">
        <f t="shared" si="9"/>
        <v>1.2183796974133723</v>
      </c>
      <c r="D36" s="4">
        <f t="shared" si="9"/>
        <v>1.0904747789536651</v>
      </c>
      <c r="E36" s="4">
        <f t="shared" si="9"/>
        <v>1.0592899700991065</v>
      </c>
      <c r="F36" s="4">
        <f t="shared" si="9"/>
        <v>1.0406903088588866</v>
      </c>
      <c r="G36" s="4">
        <f t="shared" si="9"/>
        <v>1.036957888399928</v>
      </c>
      <c r="H36" s="4">
        <f t="shared" si="9"/>
        <v>1.0254371269799787</v>
      </c>
      <c r="I36" s="4">
        <f t="shared" si="9"/>
        <v>1.0186620483337232</v>
      </c>
      <c r="J36" s="4">
        <f t="shared" si="9"/>
        <v>1.0233857323038114</v>
      </c>
      <c r="K36" s="4">
        <f t="shared" si="9"/>
        <v>1.0100339072720277</v>
      </c>
      <c r="L36" s="4"/>
      <c r="M36" s="4"/>
    </row>
    <row r="37" spans="1:13" x14ac:dyDescent="0.6">
      <c r="A37">
        <f t="shared" si="8"/>
        <v>1995</v>
      </c>
      <c r="B37" s="4">
        <f t="shared" ref="B37:J37" si="10">C22/B22</f>
        <v>1.8279356534136246</v>
      </c>
      <c r="C37" s="4">
        <f t="shared" si="10"/>
        <v>1.2263873650758543</v>
      </c>
      <c r="D37" s="4">
        <f t="shared" si="10"/>
        <v>1.0941458437151468</v>
      </c>
      <c r="E37" s="4">
        <f t="shared" si="10"/>
        <v>1.0559746163388883</v>
      </c>
      <c r="F37" s="4">
        <f t="shared" si="10"/>
        <v>1.0449975662003768</v>
      </c>
      <c r="G37" s="4">
        <f t="shared" si="10"/>
        <v>1.0288599494498842</v>
      </c>
      <c r="H37" s="4">
        <f t="shared" si="10"/>
        <v>1.0293073740271947</v>
      </c>
      <c r="I37" s="4">
        <f t="shared" si="10"/>
        <v>1.0226751393765727</v>
      </c>
      <c r="J37" s="4">
        <f t="shared" si="10"/>
        <v>1.0114799853369771</v>
      </c>
      <c r="K37" s="4"/>
      <c r="L37" s="4"/>
      <c r="M37" s="4"/>
    </row>
    <row r="38" spans="1:13" x14ac:dyDescent="0.6">
      <c r="A38">
        <f t="shared" si="8"/>
        <v>1996</v>
      </c>
      <c r="B38" s="4">
        <f t="shared" ref="B38:I38" si="11">C23/B23</f>
        <v>1.9230898836964407</v>
      </c>
      <c r="C38" s="4">
        <f t="shared" si="11"/>
        <v>1.2141972319096999</v>
      </c>
      <c r="D38" s="4">
        <f t="shared" si="11"/>
        <v>1.0854723296786994</v>
      </c>
      <c r="E38" s="4">
        <f t="shared" si="11"/>
        <v>1.0574551336618947</v>
      </c>
      <c r="F38" s="4">
        <f t="shared" si="11"/>
        <v>1.0350482303882877</v>
      </c>
      <c r="G38" s="4">
        <f t="shared" si="11"/>
        <v>1.0291781036847585</v>
      </c>
      <c r="H38" s="4">
        <f t="shared" si="11"/>
        <v>1.0165039981378088</v>
      </c>
      <c r="I38" s="4">
        <f t="shared" si="11"/>
        <v>1.0189984873456301</v>
      </c>
      <c r="J38" s="4"/>
      <c r="K38" s="4"/>
      <c r="L38" s="4"/>
      <c r="M38" s="4"/>
    </row>
    <row r="39" spans="1:13" x14ac:dyDescent="0.6">
      <c r="A39">
        <f t="shared" si="8"/>
        <v>1997</v>
      </c>
      <c r="B39" s="4">
        <f t="shared" ref="B39:H39" si="12">C24/B24</f>
        <v>1.9301645059097443</v>
      </c>
      <c r="C39" s="4">
        <f t="shared" si="12"/>
        <v>1.2204197949143867</v>
      </c>
      <c r="D39" s="4">
        <f t="shared" si="12"/>
        <v>1.0955520428628527</v>
      </c>
      <c r="E39" s="4">
        <f t="shared" si="12"/>
        <v>1.0509712088345495</v>
      </c>
      <c r="F39" s="4">
        <f t="shared" si="12"/>
        <v>1.0380994375618611</v>
      </c>
      <c r="G39" s="4">
        <f t="shared" si="12"/>
        <v>1.0290208057502377</v>
      </c>
      <c r="H39" s="4">
        <f t="shared" si="12"/>
        <v>1.0189176925216272</v>
      </c>
      <c r="I39" s="4"/>
      <c r="J39" s="4"/>
      <c r="K39" s="4"/>
      <c r="L39" s="4"/>
      <c r="M39" s="4"/>
    </row>
    <row r="40" spans="1:13" x14ac:dyDescent="0.6">
      <c r="A40">
        <f t="shared" si="8"/>
        <v>1998</v>
      </c>
      <c r="B40" s="4">
        <f t="shared" ref="B40:G40" si="13">C25/B25</f>
        <v>1.9725511920883088</v>
      </c>
      <c r="C40" s="4">
        <f t="shared" si="13"/>
        <v>1.2451325279649503</v>
      </c>
      <c r="D40" s="4">
        <f t="shared" si="13"/>
        <v>1.0785131423301322</v>
      </c>
      <c r="E40" s="4">
        <f t="shared" si="13"/>
        <v>1.0518902707291531</v>
      </c>
      <c r="F40" s="4">
        <f t="shared" si="13"/>
        <v>1.0343086720116874</v>
      </c>
      <c r="G40" s="4">
        <f t="shared" si="13"/>
        <v>1.0355812549479717</v>
      </c>
      <c r="H40" s="4"/>
      <c r="I40" s="4"/>
      <c r="J40" s="4"/>
      <c r="K40" s="4"/>
      <c r="L40" s="4"/>
      <c r="M40" s="4"/>
    </row>
    <row r="41" spans="1:13" x14ac:dyDescent="0.6">
      <c r="A41">
        <f t="shared" si="8"/>
        <v>1999</v>
      </c>
      <c r="B41" s="4">
        <f>C26/B26</f>
        <v>1.9140580578734652</v>
      </c>
      <c r="C41" s="4">
        <f>D26/C26</f>
        <v>1.2202647858149309</v>
      </c>
      <c r="D41" s="4">
        <f>E26/D26</f>
        <v>1.1031494210901172</v>
      </c>
      <c r="E41" s="4">
        <f>F26/E26</f>
        <v>1.0578397794421341</v>
      </c>
      <c r="F41" s="4">
        <f>G26/F26</f>
        <v>1.045494140564434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8"/>
        <v>2000</v>
      </c>
      <c r="B42" s="4">
        <f>C27/B27</f>
        <v>1.9399364977056406</v>
      </c>
      <c r="C42" s="4">
        <f>D27/C27</f>
        <v>1.2540903607748231</v>
      </c>
      <c r="D42" s="4">
        <f>E27/D27</f>
        <v>1.0978010531101068</v>
      </c>
      <c r="E42" s="4">
        <f>F27/E27</f>
        <v>1.0602134407621671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8"/>
        <v>2001</v>
      </c>
      <c r="B43" s="4">
        <f>C28/B28</f>
        <v>1.9599327799921626</v>
      </c>
      <c r="C43" s="4">
        <f>D28/C28</f>
        <v>1.2790710241754915</v>
      </c>
      <c r="D43" s="4">
        <f>E28/D28</f>
        <v>1.1188522339189524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8"/>
        <v>2002</v>
      </c>
      <c r="B44" s="4">
        <f>C29/B29</f>
        <v>2.039247436941654</v>
      </c>
      <c r="C44" s="4">
        <f>D29/C29</f>
        <v>1.2549200789304762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8"/>
        <v>2003</v>
      </c>
      <c r="B45" s="4">
        <f>C30/B30</f>
        <v>2.0069892439864669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1.943282050394638</v>
      </c>
      <c r="C48" s="27">
        <f>SUM(D$20:D29)/SUM(C$20:C29)</f>
        <v>1.239959050464944</v>
      </c>
      <c r="D48" s="27">
        <f>SUM(E$20:E28)/SUM(D$20:D28)</f>
        <v>1.0970093045153433</v>
      </c>
      <c r="E48" s="27">
        <f>SUM(F$20:F27)/SUM(E$20:E27)</f>
        <v>1.0564975823956091</v>
      </c>
      <c r="F48" s="27">
        <f>SUM(G$20:G26)/SUM(F$20:F26)</f>
        <v>1.0393893818961082</v>
      </c>
      <c r="G48" s="27">
        <f>SUM(H$20:H25)/SUM(G$20:G25)</f>
        <v>1.0324008836416083</v>
      </c>
      <c r="H48" s="27">
        <f>SUM(I$20:I24)/SUM(H$20:H24)</f>
        <v>1.02344312167777</v>
      </c>
      <c r="I48" s="27">
        <f>SUM(J$20:J23)/SUM(I$20:I23)</f>
        <v>1.0207340829749072</v>
      </c>
      <c r="J48" s="27">
        <f>SUM(K$20:K22)/SUM(J$20:J22)</f>
        <v>1.0183293138325229</v>
      </c>
      <c r="K48" s="27">
        <f>SUM(L$20:L21)/SUM(K$20:K21)</f>
        <v>1.0122589061954763</v>
      </c>
      <c r="L48" s="27">
        <f>SUM(M$20:M20)/SUM(L$20:L20)</f>
        <v>1.0129781513233427</v>
      </c>
      <c r="M48" s="27">
        <f>SUM(N$20:N20)/SUM(M$20:M20)</f>
        <v>1.0316422971076309</v>
      </c>
    </row>
    <row r="49" spans="1:13" x14ac:dyDescent="0.6">
      <c r="A49" s="25" t="s">
        <v>1</v>
      </c>
      <c r="B49" s="24">
        <f>AVERAGE(B35:B45)</f>
        <v>1.9319595250030168</v>
      </c>
      <c r="C49" s="24">
        <f>AVERAGE(C35:C45)</f>
        <v>1.2371055972954135</v>
      </c>
      <c r="D49" s="24">
        <f t="shared" ref="D49:M49" si="14">AVERAGE(D35:D45)</f>
        <v>1.0961105718620632</v>
      </c>
      <c r="E49" s="24">
        <f t="shared" si="14"/>
        <v>1.0566599777770611</v>
      </c>
      <c r="F49" s="24">
        <f t="shared" si="14"/>
        <v>1.0394383486839982</v>
      </c>
      <c r="G49" s="24">
        <f t="shared" si="14"/>
        <v>1.0326089275334041</v>
      </c>
      <c r="H49" s="24">
        <f t="shared" si="14"/>
        <v>1.0241253311523451</v>
      </c>
      <c r="I49" s="24">
        <f t="shared" si="14"/>
        <v>1.0207909610175028</v>
      </c>
      <c r="J49" s="24">
        <f t="shared" si="14"/>
        <v>1.0186054631414265</v>
      </c>
      <c r="K49" s="24">
        <f t="shared" si="14"/>
        <v>1.0122355094147821</v>
      </c>
      <c r="L49" s="24">
        <f t="shared" si="14"/>
        <v>1.0129781513233427</v>
      </c>
      <c r="M49" s="24">
        <f t="shared" si="14"/>
        <v>1.0316422971076309</v>
      </c>
    </row>
    <row r="50" spans="1:13" x14ac:dyDescent="0.6">
      <c r="A50" s="25" t="s">
        <v>3</v>
      </c>
      <c r="B50" s="24">
        <f>AVERAGE(B42:B45)</f>
        <v>1.9865264896564812</v>
      </c>
      <c r="C50" s="24">
        <f>AVERAGE(C41:C44)</f>
        <v>1.2520865624239303</v>
      </c>
      <c r="D50" s="24">
        <f>AVERAGE(D40:D43)</f>
        <v>1.0995789626123271</v>
      </c>
      <c r="E50" s="24">
        <f>AVERAGE(E39:E42)</f>
        <v>1.055228674942001</v>
      </c>
      <c r="F50" s="24">
        <f>AVERAGE(F38:F41)</f>
        <v>1.0382376201315675</v>
      </c>
      <c r="G50" s="24">
        <f>AVERAGE(G37:G40)</f>
        <v>1.030660028458213</v>
      </c>
      <c r="H50" s="24">
        <f>AVERAGE(H36:H39)</f>
        <v>1.0225415479166524</v>
      </c>
      <c r="I50" s="24">
        <f>AVERAGE(I35:I38)</f>
        <v>1.0207909610175028</v>
      </c>
      <c r="J50" s="24">
        <f>J49</f>
        <v>1.0186054631414265</v>
      </c>
      <c r="K50" s="24">
        <f>K49</f>
        <v>1.0122355094147821</v>
      </c>
      <c r="L50" s="24">
        <f>L49</f>
        <v>1.0129781513233427</v>
      </c>
      <c r="M50" s="24">
        <f>M49</f>
        <v>1.0316422971076309</v>
      </c>
    </row>
    <row r="52" spans="1:13" x14ac:dyDescent="0.6">
      <c r="A52" s="13" t="s">
        <v>2</v>
      </c>
      <c r="B52" s="26">
        <f>PRODUCT(B48:$M48)</f>
        <v>3.3723608777464626</v>
      </c>
      <c r="C52" s="26">
        <f>PRODUCT(C48:$M48)</f>
        <v>1.7353944462470641</v>
      </c>
      <c r="D52" s="26">
        <f>PRODUCT(D48:$M48)</f>
        <v>1.3995578689444204</v>
      </c>
      <c r="E52" s="26">
        <f>PRODUCT(E48:$M48)</f>
        <v>1.2757939820416955</v>
      </c>
      <c r="F52" s="26">
        <f>PRODUCT(F48:$M48)</f>
        <v>1.2075692394381365</v>
      </c>
      <c r="G52" s="26">
        <f>PRODUCT(G48:$M48)</f>
        <v>1.1618064033281015</v>
      </c>
      <c r="H52" s="26">
        <f>PRODUCT(H48:$M48)</f>
        <v>1.1253442550630512</v>
      </c>
      <c r="I52" s="26">
        <f>PRODUCT(I48:$M48)</f>
        <v>1.0995669727285196</v>
      </c>
      <c r="J52" s="26">
        <f>PRODUCT(J48:$M48)</f>
        <v>1.0772315640953771</v>
      </c>
      <c r="K52" s="26">
        <f>PRODUCT(K48:$M48)</f>
        <v>1.0578420452625223</v>
      </c>
      <c r="L52" s="26">
        <f>PRODUCT(L48:$M48)</f>
        <v>1.0450311069510545</v>
      </c>
      <c r="M52" s="26">
        <f>PRODUCT(M48:$M48)</f>
        <v>1.0316422971076309</v>
      </c>
    </row>
    <row r="53" spans="1:13" x14ac:dyDescent="0.6">
      <c r="A53" s="13" t="s">
        <v>4</v>
      </c>
      <c r="B53" s="4">
        <f>PRODUCT(B49:$M49)</f>
        <v>3.3468461038646784</v>
      </c>
      <c r="C53" s="4">
        <f>PRODUCT(C49:$M49)</f>
        <v>1.7323582924748138</v>
      </c>
      <c r="D53" s="4">
        <f>PRODUCT(D49:$M49)</f>
        <v>1.4003317875710304</v>
      </c>
      <c r="E53" s="4">
        <f>PRODUCT(E49:$M49)</f>
        <v>1.2775461012041505</v>
      </c>
      <c r="F53" s="4">
        <f>PRODUCT(F49:$M49)</f>
        <v>1.2090418186290888</v>
      </c>
      <c r="G53" s="4">
        <f>PRODUCT(G49:$M49)</f>
        <v>1.1631683785381024</v>
      </c>
      <c r="H53" s="4">
        <f>PRODUCT(H49:$M49)</f>
        <v>1.1264364925805606</v>
      </c>
      <c r="I53" s="4">
        <f>PRODUCT(I49:$M49)</f>
        <v>1.0999010163268741</v>
      </c>
      <c r="J53" s="4">
        <f>PRODUCT(J49:$M49)</f>
        <v>1.0774987811711383</v>
      </c>
      <c r="K53" s="4">
        <f>PRODUCT(K49:$M49)</f>
        <v>1.0578175948988944</v>
      </c>
      <c r="L53" s="4">
        <f>PRODUCT(L49:$M49)</f>
        <v>1.0450311069510545</v>
      </c>
      <c r="M53" s="4">
        <f>PRODUCT(M49:$M49)</f>
        <v>1.0316422971076309</v>
      </c>
    </row>
    <row r="54" spans="1:13" x14ac:dyDescent="0.6">
      <c r="A54" s="13" t="s">
        <v>5</v>
      </c>
      <c r="B54" s="4">
        <f>PRODUCT(B50:$M50)</f>
        <v>3.4733494793797219</v>
      </c>
      <c r="C54" s="4">
        <f>PRODUCT(C50:$M50)</f>
        <v>1.7484536438174303</v>
      </c>
      <c r="D54" s="4">
        <f>PRODUCT(D50:$M50)</f>
        <v>1.3964319211545377</v>
      </c>
      <c r="E54" s="4">
        <f>PRODUCT(E50:$M50)</f>
        <v>1.2699696598750503</v>
      </c>
      <c r="F54" s="4">
        <f>PRODUCT(F50:$M50)</f>
        <v>1.2035018475448955</v>
      </c>
      <c r="G54" s="4">
        <f>PRODUCT(G50:$M50)</f>
        <v>1.1591776527924171</v>
      </c>
      <c r="H54" s="4">
        <f>PRODUCT(H50:$M50)</f>
        <v>1.1246944877899812</v>
      </c>
      <c r="I54" s="4">
        <f>PRODUCT(I50:$M50)</f>
        <v>1.0999010163268741</v>
      </c>
      <c r="J54" s="4">
        <f>PRODUCT(J50:$M50)</f>
        <v>1.0774987811711383</v>
      </c>
      <c r="K54" s="4">
        <f>PRODUCT(K50:$M50)</f>
        <v>1.0578175948988944</v>
      </c>
      <c r="L54" s="4">
        <f>PRODUCT(L50:$M50)</f>
        <v>1.0450311069510545</v>
      </c>
      <c r="M54" s="4">
        <f>PRODUCT(M50:$M50)</f>
        <v>1.0316422971076309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3.3723608777464626</v>
      </c>
      <c r="C56" s="35">
        <f t="shared" ref="C56:M56" si="15">IF($A$55=1,C52,IF($A$55=2,C53,C54))</f>
        <v>1.7353944462470641</v>
      </c>
      <c r="D56" s="35">
        <f t="shared" si="15"/>
        <v>1.3995578689444204</v>
      </c>
      <c r="E56" s="35">
        <f t="shared" si="15"/>
        <v>1.2757939820416955</v>
      </c>
      <c r="F56" s="35">
        <f t="shared" si="15"/>
        <v>1.2075692394381365</v>
      </c>
      <c r="G56" s="35">
        <f t="shared" si="15"/>
        <v>1.1618064033281015</v>
      </c>
      <c r="H56" s="35">
        <f t="shared" si="15"/>
        <v>1.1253442550630512</v>
      </c>
      <c r="I56" s="35">
        <f t="shared" si="15"/>
        <v>1.0995669727285196</v>
      </c>
      <c r="J56" s="35">
        <f t="shared" si="15"/>
        <v>1.0772315640953771</v>
      </c>
      <c r="K56" s="35">
        <f t="shared" si="15"/>
        <v>1.0578420452625223</v>
      </c>
      <c r="L56" s="35">
        <f t="shared" si="15"/>
        <v>1.0450311069510545</v>
      </c>
      <c r="M56" s="35">
        <f t="shared" si="15"/>
        <v>1.0316422971076309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37" t="s">
        <v>14</v>
      </c>
      <c r="C59" s="38" t="s">
        <v>10</v>
      </c>
      <c r="D59" s="37" t="s">
        <v>15</v>
      </c>
      <c r="E59" s="37" t="s">
        <v>16</v>
      </c>
    </row>
    <row r="60" spans="1:13" x14ac:dyDescent="0.6">
      <c r="A60">
        <f>A35</f>
        <v>1993</v>
      </c>
      <c r="B60" s="1">
        <f>M20</f>
        <v>628557.4</v>
      </c>
      <c r="C60" s="31">
        <f>M56</f>
        <v>1.0316422971076309</v>
      </c>
      <c r="D60" s="30">
        <f>B60*C60</f>
        <v>648446.4</v>
      </c>
      <c r="E60" s="32">
        <f>D60-B60</f>
        <v>19889</v>
      </c>
    </row>
    <row r="61" spans="1:13" x14ac:dyDescent="0.6">
      <c r="A61">
        <f t="shared" ref="A61:A71" si="16">A36</f>
        <v>1994</v>
      </c>
      <c r="B61" s="1">
        <f>L21</f>
        <v>604818</v>
      </c>
      <c r="C61" s="31">
        <f>L56</f>
        <v>1.0450311069510545</v>
      </c>
      <c r="D61" s="30">
        <f t="shared" ref="D61:D71" si="17">B61*C61</f>
        <v>632053.62404392287</v>
      </c>
      <c r="E61" s="32">
        <f t="shared" ref="E61:E71" si="18">D61-B61</f>
        <v>27235.624043922871</v>
      </c>
    </row>
    <row r="62" spans="1:13" x14ac:dyDescent="0.6">
      <c r="A62">
        <f t="shared" si="16"/>
        <v>1995</v>
      </c>
      <c r="B62" s="1">
        <f>K22</f>
        <v>668846.40000000014</v>
      </c>
      <c r="C62" s="31">
        <f>K56</f>
        <v>1.0578420452625223</v>
      </c>
      <c r="D62" s="30">
        <f t="shared" si="17"/>
        <v>707533.84374247526</v>
      </c>
      <c r="E62" s="32">
        <f t="shared" si="18"/>
        <v>38687.443742475123</v>
      </c>
    </row>
    <row r="63" spans="1:13" x14ac:dyDescent="0.6">
      <c r="A63">
        <f t="shared" si="16"/>
        <v>1996</v>
      </c>
      <c r="B63" s="1">
        <f>J23</f>
        <v>758259.59999999986</v>
      </c>
      <c r="C63" s="31">
        <f>J56</f>
        <v>1.0772315640953771</v>
      </c>
      <c r="D63" s="30">
        <f t="shared" si="17"/>
        <v>816821.1748983349</v>
      </c>
      <c r="E63" s="32">
        <f t="shared" si="18"/>
        <v>58561.574898335035</v>
      </c>
    </row>
    <row r="64" spans="1:13" x14ac:dyDescent="0.6">
      <c r="A64">
        <f t="shared" si="16"/>
        <v>1997</v>
      </c>
      <c r="B64" s="1">
        <f>I24</f>
        <v>835312.80000000016</v>
      </c>
      <c r="C64" s="31">
        <f>I56</f>
        <v>1.0995669727285196</v>
      </c>
      <c r="D64" s="30">
        <f t="shared" si="17"/>
        <v>918482.36677738349</v>
      </c>
      <c r="E64" s="32">
        <f t="shared" si="18"/>
        <v>83169.566777383327</v>
      </c>
    </row>
    <row r="65" spans="1:7" x14ac:dyDescent="0.6">
      <c r="A65">
        <f t="shared" si="16"/>
        <v>1998</v>
      </c>
      <c r="B65" s="1">
        <f>H25</f>
        <v>872756.39999999991</v>
      </c>
      <c r="C65" s="31">
        <f>H56</f>
        <v>1.1253442550630512</v>
      </c>
      <c r="D65" s="30">
        <f t="shared" si="17"/>
        <v>982151.40080951026</v>
      </c>
      <c r="E65" s="32">
        <f t="shared" si="18"/>
        <v>109395.00080951035</v>
      </c>
    </row>
    <row r="66" spans="1:7" x14ac:dyDescent="0.6">
      <c r="A66">
        <f t="shared" si="16"/>
        <v>1999</v>
      </c>
      <c r="B66" s="1">
        <f>G26</f>
        <v>890076</v>
      </c>
      <c r="C66" s="31">
        <f>G56</f>
        <v>1.1618064033281015</v>
      </c>
      <c r="D66" s="30">
        <f t="shared" si="17"/>
        <v>1034095.9962486633</v>
      </c>
      <c r="E66" s="32">
        <f t="shared" si="18"/>
        <v>144019.99624866329</v>
      </c>
    </row>
    <row r="67" spans="1:7" x14ac:dyDescent="0.6">
      <c r="A67">
        <f t="shared" si="16"/>
        <v>2000</v>
      </c>
      <c r="B67" s="1">
        <f>F27</f>
        <v>927842.39999999991</v>
      </c>
      <c r="C67" s="31">
        <f>F56</f>
        <v>1.2075692394381365</v>
      </c>
      <c r="D67" s="30">
        <f t="shared" si="17"/>
        <v>1120433.9412864551</v>
      </c>
      <c r="E67" s="32">
        <f t="shared" si="18"/>
        <v>192591.54128645523</v>
      </c>
    </row>
    <row r="68" spans="1:7" x14ac:dyDescent="0.6">
      <c r="A68">
        <f t="shared" si="16"/>
        <v>2001</v>
      </c>
      <c r="B68" s="1">
        <f>E28</f>
        <v>953362.8</v>
      </c>
      <c r="C68" s="31">
        <f>E56</f>
        <v>1.2757939820416955</v>
      </c>
      <c r="D68" s="30">
        <f t="shared" si="17"/>
        <v>1216294.5229424206</v>
      </c>
      <c r="E68" s="32">
        <f t="shared" si="18"/>
        <v>262931.72294242051</v>
      </c>
    </row>
    <row r="69" spans="1:7" x14ac:dyDescent="0.6">
      <c r="A69">
        <f t="shared" si="16"/>
        <v>2002</v>
      </c>
      <c r="B69" s="1">
        <f>D29</f>
        <v>950127.6</v>
      </c>
      <c r="C69" s="31">
        <f>D56</f>
        <v>1.3995578689444204</v>
      </c>
      <c r="D69" s="30">
        <f t="shared" si="17"/>
        <v>1329758.5590812766</v>
      </c>
      <c r="E69" s="32">
        <f t="shared" si="18"/>
        <v>379630.95908127667</v>
      </c>
    </row>
    <row r="70" spans="1:7" x14ac:dyDescent="0.6">
      <c r="A70">
        <f t="shared" si="16"/>
        <v>2003</v>
      </c>
      <c r="B70" s="1">
        <f>C30</f>
        <v>778761.6</v>
      </c>
      <c r="C70" s="31">
        <f>C56</f>
        <v>1.7353944462470641</v>
      </c>
      <c r="D70" s="30">
        <f t="shared" si="17"/>
        <v>1351458.5555904775</v>
      </c>
      <c r="E70" s="32">
        <f t="shared" si="18"/>
        <v>572696.95559047756</v>
      </c>
    </row>
    <row r="71" spans="1:7" x14ac:dyDescent="0.6">
      <c r="A71">
        <f t="shared" si="16"/>
        <v>2004</v>
      </c>
      <c r="B71" s="1">
        <f>B31</f>
        <v>398685.6</v>
      </c>
      <c r="C71" s="31">
        <f>B56</f>
        <v>3.3723608777464626</v>
      </c>
      <c r="D71" s="30">
        <f t="shared" si="17"/>
        <v>1344511.7199608751</v>
      </c>
      <c r="E71" s="32">
        <f t="shared" si="18"/>
        <v>945826.11996087513</v>
      </c>
    </row>
    <row r="72" spans="1:7" x14ac:dyDescent="0.6">
      <c r="B72" s="32">
        <f>SUM(B60:B71)</f>
        <v>9267406.5999999996</v>
      </c>
      <c r="D72" s="32">
        <f>SUM(D60:D71)</f>
        <v>12102042.105381796</v>
      </c>
      <c r="E72" s="32">
        <f>SUM(E60:E71)</f>
        <v>2834635.5053817951</v>
      </c>
      <c r="G72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topLeftCell="A64" workbookViewId="0">
      <selection activeCell="E77" sqref="E77"/>
    </sheetView>
  </sheetViews>
  <sheetFormatPr defaultRowHeight="13" x14ac:dyDescent="0.6"/>
  <cols>
    <col min="1" max="1" width="11" customWidth="1"/>
    <col min="2" max="2" width="12.81640625" bestFit="1" customWidth="1"/>
    <col min="4" max="4" width="12.81640625" bestFit="1" customWidth="1"/>
    <col min="5" max="5" width="11.269531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13860.9</v>
      </c>
      <c r="C3" s="6">
        <v>22302.9</v>
      </c>
      <c r="D3" s="6">
        <v>14024.7</v>
      </c>
      <c r="E3" s="6">
        <v>9468.9</v>
      </c>
      <c r="F3" s="6">
        <v>8626.5</v>
      </c>
      <c r="G3" s="6">
        <v>10122.300000000001</v>
      </c>
      <c r="H3" s="6">
        <v>9176.4</v>
      </c>
      <c r="I3" s="6">
        <v>7662.6</v>
      </c>
      <c r="J3" s="6">
        <v>7908.3</v>
      </c>
      <c r="K3" s="6">
        <v>6051.6</v>
      </c>
      <c r="L3" s="6">
        <v>5091.3</v>
      </c>
      <c r="M3" s="6">
        <v>3147</v>
      </c>
      <c r="N3" s="7">
        <v>16601</v>
      </c>
    </row>
    <row r="4" spans="1:14" x14ac:dyDescent="0.6">
      <c r="A4">
        <f>A3+1</f>
        <v>1994</v>
      </c>
      <c r="B4" s="8">
        <v>15602.4</v>
      </c>
      <c r="C4" s="2">
        <v>20247.3</v>
      </c>
      <c r="D4" s="2">
        <v>14734.800000000001</v>
      </c>
      <c r="E4" s="2">
        <v>10854.9</v>
      </c>
      <c r="F4" s="2">
        <v>10320.300000000001</v>
      </c>
      <c r="G4" s="2">
        <v>14836.5</v>
      </c>
      <c r="H4" s="2">
        <v>9461.7000000000007</v>
      </c>
      <c r="I4" s="2">
        <v>6842.7</v>
      </c>
      <c r="J4" s="2">
        <v>6028.2</v>
      </c>
      <c r="K4" s="2">
        <v>6087.6</v>
      </c>
      <c r="L4" s="2">
        <v>4357.8</v>
      </c>
      <c r="M4" s="3"/>
      <c r="N4" s="9"/>
    </row>
    <row r="5" spans="1:14" x14ac:dyDescent="0.6">
      <c r="A5">
        <f t="shared" ref="A5:A14" si="1">A4+1</f>
        <v>1995</v>
      </c>
      <c r="B5" s="8">
        <v>18115.2</v>
      </c>
      <c r="C5" s="2">
        <v>25441.200000000001</v>
      </c>
      <c r="D5" s="2">
        <v>15099.300000000001</v>
      </c>
      <c r="E5" s="2">
        <v>13132.800000000001</v>
      </c>
      <c r="F5" s="2">
        <v>12671.1</v>
      </c>
      <c r="G5" s="2">
        <v>10298.700000000001</v>
      </c>
      <c r="H5" s="2">
        <v>11775.6</v>
      </c>
      <c r="I5" s="2">
        <v>7467.3</v>
      </c>
      <c r="J5" s="2">
        <v>4901.4000000000005</v>
      </c>
      <c r="K5" s="2">
        <v>6233.4000000000005</v>
      </c>
      <c r="L5" s="3"/>
      <c r="M5" s="3"/>
      <c r="N5" s="9"/>
    </row>
    <row r="6" spans="1:14" x14ac:dyDescent="0.6">
      <c r="A6">
        <f t="shared" si="1"/>
        <v>1996</v>
      </c>
      <c r="B6" s="8">
        <v>16987.5</v>
      </c>
      <c r="C6" s="2">
        <v>26185.5</v>
      </c>
      <c r="D6" s="2">
        <v>20205</v>
      </c>
      <c r="E6" s="2">
        <v>20398.5</v>
      </c>
      <c r="F6" s="2">
        <v>13755.6</v>
      </c>
      <c r="G6" s="2">
        <v>12483</v>
      </c>
      <c r="H6" s="2">
        <v>12410.1</v>
      </c>
      <c r="I6" s="2">
        <v>11217.6</v>
      </c>
      <c r="J6" s="2">
        <v>7269.3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18165.600000000002</v>
      </c>
      <c r="C7" s="2">
        <v>32736.600000000002</v>
      </c>
      <c r="D7" s="2">
        <v>24607.8</v>
      </c>
      <c r="E7" s="2">
        <v>17171.100000000002</v>
      </c>
      <c r="F7" s="2">
        <v>15912.9</v>
      </c>
      <c r="G7" s="2">
        <v>13782.6</v>
      </c>
      <c r="H7" s="2">
        <v>11466.9</v>
      </c>
      <c r="I7" s="2">
        <v>11492.1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16601.400000000001</v>
      </c>
      <c r="C8" s="2">
        <v>31349.7</v>
      </c>
      <c r="D8" s="2">
        <v>21313.8</v>
      </c>
      <c r="E8" s="2">
        <v>17271.900000000001</v>
      </c>
      <c r="F8" s="2">
        <v>14651.1</v>
      </c>
      <c r="G8" s="2">
        <v>10314</v>
      </c>
      <c r="H8" s="2">
        <v>12011.4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16861.5</v>
      </c>
      <c r="C9" s="2">
        <v>30627.9</v>
      </c>
      <c r="D9" s="2">
        <v>34887.599999999999</v>
      </c>
      <c r="E9" s="2">
        <v>16065.9</v>
      </c>
      <c r="F9" s="2">
        <v>10702.800000000001</v>
      </c>
      <c r="G9" s="2">
        <v>21147.3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16088.4</v>
      </c>
      <c r="C10" s="2">
        <v>28623.600000000002</v>
      </c>
      <c r="D10" s="2">
        <v>19633.5</v>
      </c>
      <c r="E10" s="2">
        <v>15401.7</v>
      </c>
      <c r="F10" s="2">
        <v>10086.300000000001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15764.4</v>
      </c>
      <c r="C11" s="2">
        <v>22721.4</v>
      </c>
      <c r="D11" s="2">
        <v>14960.7</v>
      </c>
      <c r="E11" s="2">
        <v>9999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16591.5</v>
      </c>
      <c r="C12" s="2">
        <v>28925.100000000002</v>
      </c>
      <c r="D12" s="2">
        <v>17748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17941.5</v>
      </c>
      <c r="C13" s="2">
        <v>28771.200000000001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17127.900000000001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13860.9</v>
      </c>
      <c r="C20" s="16">
        <f>B20+C3</f>
        <v>36163.800000000003</v>
      </c>
      <c r="D20" s="16">
        <f t="shared" ref="D20:N28" si="3">C20+D3</f>
        <v>50188.5</v>
      </c>
      <c r="E20" s="16">
        <f t="shared" si="3"/>
        <v>59657.4</v>
      </c>
      <c r="F20" s="16">
        <f t="shared" si="3"/>
        <v>68283.899999999994</v>
      </c>
      <c r="G20" s="16">
        <f t="shared" si="3"/>
        <v>78406.2</v>
      </c>
      <c r="H20" s="16">
        <f t="shared" si="3"/>
        <v>87582.599999999991</v>
      </c>
      <c r="I20" s="16">
        <f t="shared" si="3"/>
        <v>95245.2</v>
      </c>
      <c r="J20" s="16">
        <f t="shared" si="3"/>
        <v>103153.5</v>
      </c>
      <c r="K20" s="16">
        <f t="shared" si="3"/>
        <v>109205.1</v>
      </c>
      <c r="L20" s="16">
        <f t="shared" si="3"/>
        <v>114296.40000000001</v>
      </c>
      <c r="M20" s="16">
        <f t="shared" si="3"/>
        <v>117443.40000000001</v>
      </c>
      <c r="N20" s="17">
        <f t="shared" si="3"/>
        <v>134044.40000000002</v>
      </c>
    </row>
    <row r="21" spans="1:14" x14ac:dyDescent="0.6">
      <c r="A21">
        <f t="shared" ref="A21:B31" si="4">A4</f>
        <v>1994</v>
      </c>
      <c r="B21" s="18">
        <f t="shared" si="4"/>
        <v>15602.4</v>
      </c>
      <c r="C21" s="19">
        <f t="shared" ref="C21:D30" si="5">B21+C4</f>
        <v>35849.699999999997</v>
      </c>
      <c r="D21" s="19">
        <f t="shared" si="5"/>
        <v>50584.5</v>
      </c>
      <c r="E21" s="19">
        <f t="shared" si="3"/>
        <v>61439.4</v>
      </c>
      <c r="F21" s="19">
        <f t="shared" si="3"/>
        <v>71759.7</v>
      </c>
      <c r="G21" s="19">
        <f t="shared" si="3"/>
        <v>86596.2</v>
      </c>
      <c r="H21" s="19">
        <f t="shared" si="3"/>
        <v>96057.9</v>
      </c>
      <c r="I21" s="19">
        <f t="shared" si="3"/>
        <v>102900.59999999999</v>
      </c>
      <c r="J21" s="19">
        <f t="shared" si="3"/>
        <v>108928.79999999999</v>
      </c>
      <c r="K21" s="19">
        <f t="shared" si="3"/>
        <v>115016.4</v>
      </c>
      <c r="L21" s="19">
        <f t="shared" si="3"/>
        <v>119374.2</v>
      </c>
      <c r="M21" s="20"/>
      <c r="N21" s="9"/>
    </row>
    <row r="22" spans="1:14" x14ac:dyDescent="0.6">
      <c r="A22">
        <f t="shared" si="4"/>
        <v>1995</v>
      </c>
      <c r="B22" s="18">
        <f t="shared" si="4"/>
        <v>18115.2</v>
      </c>
      <c r="C22" s="19">
        <f t="shared" si="5"/>
        <v>43556.4</v>
      </c>
      <c r="D22" s="19">
        <f t="shared" si="5"/>
        <v>58655.700000000004</v>
      </c>
      <c r="E22" s="19">
        <f t="shared" si="3"/>
        <v>71788.5</v>
      </c>
      <c r="F22" s="19">
        <f t="shared" si="3"/>
        <v>84459.6</v>
      </c>
      <c r="G22" s="19">
        <f t="shared" si="3"/>
        <v>94758.3</v>
      </c>
      <c r="H22" s="19">
        <f t="shared" si="3"/>
        <v>106533.90000000001</v>
      </c>
      <c r="I22" s="19">
        <f t="shared" si="3"/>
        <v>114001.20000000001</v>
      </c>
      <c r="J22" s="19">
        <f t="shared" si="3"/>
        <v>118902.6</v>
      </c>
      <c r="K22" s="19">
        <f t="shared" si="3"/>
        <v>125136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4"/>
        <v>16987.5</v>
      </c>
      <c r="C23" s="19">
        <f t="shared" si="5"/>
        <v>43173</v>
      </c>
      <c r="D23" s="19">
        <f t="shared" si="5"/>
        <v>63378</v>
      </c>
      <c r="E23" s="19">
        <f t="shared" si="3"/>
        <v>83776.5</v>
      </c>
      <c r="F23" s="19">
        <f t="shared" si="3"/>
        <v>97532.1</v>
      </c>
      <c r="G23" s="19">
        <f t="shared" si="3"/>
        <v>110015.1</v>
      </c>
      <c r="H23" s="19">
        <f t="shared" si="3"/>
        <v>122425.20000000001</v>
      </c>
      <c r="I23" s="19">
        <f t="shared" si="3"/>
        <v>133642.80000000002</v>
      </c>
      <c r="J23" s="19">
        <f t="shared" si="3"/>
        <v>140912.1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4"/>
        <v>18165.600000000002</v>
      </c>
      <c r="C24" s="19">
        <f t="shared" si="5"/>
        <v>50902.200000000004</v>
      </c>
      <c r="D24" s="19">
        <f t="shared" si="5"/>
        <v>75510</v>
      </c>
      <c r="E24" s="19">
        <f t="shared" si="3"/>
        <v>92681.1</v>
      </c>
      <c r="F24" s="19">
        <f t="shared" si="3"/>
        <v>108594</v>
      </c>
      <c r="G24" s="19">
        <f t="shared" si="3"/>
        <v>122376.6</v>
      </c>
      <c r="H24" s="19">
        <f t="shared" si="3"/>
        <v>133843.5</v>
      </c>
      <c r="I24" s="19">
        <f t="shared" si="3"/>
        <v>145335.6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4"/>
        <v>16601.400000000001</v>
      </c>
      <c r="C25" s="19">
        <f t="shared" si="5"/>
        <v>47951.100000000006</v>
      </c>
      <c r="D25" s="19">
        <f t="shared" si="5"/>
        <v>69264.900000000009</v>
      </c>
      <c r="E25" s="19">
        <f t="shared" si="3"/>
        <v>86536.800000000017</v>
      </c>
      <c r="F25" s="19">
        <f t="shared" si="3"/>
        <v>101187.90000000002</v>
      </c>
      <c r="G25" s="19">
        <f t="shared" si="3"/>
        <v>111501.90000000002</v>
      </c>
      <c r="H25" s="19">
        <f t="shared" si="3"/>
        <v>123513.30000000002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4"/>
        <v>16861.5</v>
      </c>
      <c r="C26" s="19">
        <f t="shared" si="5"/>
        <v>47489.4</v>
      </c>
      <c r="D26" s="19">
        <f t="shared" si="5"/>
        <v>82377</v>
      </c>
      <c r="E26" s="19">
        <f t="shared" si="3"/>
        <v>98442.9</v>
      </c>
      <c r="F26" s="19">
        <f t="shared" si="3"/>
        <v>109145.7</v>
      </c>
      <c r="G26" s="19">
        <f t="shared" si="3"/>
        <v>130293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4"/>
        <v>16088.4</v>
      </c>
      <c r="C27" s="19">
        <f t="shared" si="5"/>
        <v>44712</v>
      </c>
      <c r="D27" s="19">
        <f t="shared" si="5"/>
        <v>64345.5</v>
      </c>
      <c r="E27" s="19">
        <f t="shared" si="3"/>
        <v>79747.199999999997</v>
      </c>
      <c r="F27" s="19">
        <f t="shared" si="3"/>
        <v>89833.5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4"/>
        <v>15764.4</v>
      </c>
      <c r="C28" s="19">
        <f t="shared" si="5"/>
        <v>38485.800000000003</v>
      </c>
      <c r="D28" s="19">
        <f t="shared" si="5"/>
        <v>53446.5</v>
      </c>
      <c r="E28" s="19">
        <f t="shared" si="3"/>
        <v>63445.5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4"/>
        <v>16591.5</v>
      </c>
      <c r="C29" s="19">
        <f t="shared" si="5"/>
        <v>45516.600000000006</v>
      </c>
      <c r="D29" s="19">
        <f t="shared" si="5"/>
        <v>63264.600000000006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4"/>
        <v>17941.5</v>
      </c>
      <c r="C30" s="19">
        <f t="shared" si="5"/>
        <v>46712.7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4"/>
        <v>17127.900000000001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6">C19</f>
        <v>1</v>
      </c>
      <c r="D34">
        <f t="shared" si="6"/>
        <v>2</v>
      </c>
      <c r="E34">
        <f t="shared" si="6"/>
        <v>3</v>
      </c>
      <c r="F34">
        <f t="shared" si="6"/>
        <v>4</v>
      </c>
      <c r="G34">
        <f t="shared" si="6"/>
        <v>5</v>
      </c>
      <c r="H34">
        <f t="shared" si="6"/>
        <v>6</v>
      </c>
      <c r="I34">
        <f t="shared" si="6"/>
        <v>7</v>
      </c>
      <c r="J34">
        <f t="shared" si="6"/>
        <v>8</v>
      </c>
      <c r="K34">
        <f t="shared" si="6"/>
        <v>9</v>
      </c>
      <c r="L34">
        <f t="shared" si="6"/>
        <v>10</v>
      </c>
      <c r="M34">
        <f t="shared" si="6"/>
        <v>11</v>
      </c>
    </row>
    <row r="35" spans="1:13" x14ac:dyDescent="0.6">
      <c r="A35">
        <f>A20</f>
        <v>1993</v>
      </c>
      <c r="B35" s="4">
        <f t="shared" ref="B35:M35" si="7">C20/B20</f>
        <v>2.6090513603012795</v>
      </c>
      <c r="C35" s="4">
        <f t="shared" si="7"/>
        <v>1.3878104623960976</v>
      </c>
      <c r="D35" s="4">
        <f t="shared" si="7"/>
        <v>1.1886667264413162</v>
      </c>
      <c r="E35" s="4">
        <f t="shared" si="7"/>
        <v>1.1446006698246989</v>
      </c>
      <c r="F35" s="4">
        <f t="shared" si="7"/>
        <v>1.1482384573816082</v>
      </c>
      <c r="G35" s="4">
        <f t="shared" si="7"/>
        <v>1.117036662916963</v>
      </c>
      <c r="H35" s="4">
        <f t="shared" si="7"/>
        <v>1.0874899808866145</v>
      </c>
      <c r="I35" s="4">
        <f t="shared" si="7"/>
        <v>1.0830309558906905</v>
      </c>
      <c r="J35" s="4">
        <f t="shared" si="7"/>
        <v>1.0586659686777473</v>
      </c>
      <c r="K35" s="4">
        <f t="shared" si="7"/>
        <v>1.046621448998261</v>
      </c>
      <c r="L35" s="4">
        <f t="shared" si="7"/>
        <v>1.0275336756013314</v>
      </c>
      <c r="M35" s="4">
        <f t="shared" si="7"/>
        <v>1.1413531965184933</v>
      </c>
    </row>
    <row r="36" spans="1:13" x14ac:dyDescent="0.6">
      <c r="A36">
        <f t="shared" ref="A36:A45" si="8">A21</f>
        <v>1994</v>
      </c>
      <c r="B36" s="4">
        <f t="shared" ref="B36:K36" si="9">C21/B21</f>
        <v>2.2977041993539453</v>
      </c>
      <c r="C36" s="4">
        <f t="shared" si="9"/>
        <v>1.4110159917656215</v>
      </c>
      <c r="D36" s="4">
        <f t="shared" si="9"/>
        <v>1.2145894493372476</v>
      </c>
      <c r="E36" s="4">
        <f t="shared" si="9"/>
        <v>1.1679752731960271</v>
      </c>
      <c r="F36" s="4">
        <f t="shared" si="9"/>
        <v>1.206752536590872</v>
      </c>
      <c r="G36" s="4">
        <f t="shared" si="9"/>
        <v>1.1092623001933111</v>
      </c>
      <c r="H36" s="4">
        <f t="shared" si="9"/>
        <v>1.0712351612933448</v>
      </c>
      <c r="I36" s="4">
        <f t="shared" si="9"/>
        <v>1.0585827487886368</v>
      </c>
      <c r="J36" s="4">
        <f t="shared" si="9"/>
        <v>1.0558860466653448</v>
      </c>
      <c r="K36" s="4">
        <f t="shared" si="9"/>
        <v>1.0378885098125137</v>
      </c>
      <c r="L36" s="4"/>
      <c r="M36" s="4"/>
    </row>
    <row r="37" spans="1:13" x14ac:dyDescent="0.6">
      <c r="A37">
        <f t="shared" si="8"/>
        <v>1995</v>
      </c>
      <c r="B37" s="4">
        <f t="shared" ref="B37:J37" si="10">C22/B22</f>
        <v>2.4044117647058822</v>
      </c>
      <c r="C37" s="4">
        <f t="shared" si="10"/>
        <v>1.3466608810645508</v>
      </c>
      <c r="D37" s="4">
        <f t="shared" si="10"/>
        <v>1.2238963988154603</v>
      </c>
      <c r="E37" s="4">
        <f t="shared" si="10"/>
        <v>1.1765059863348588</v>
      </c>
      <c r="F37" s="4">
        <f t="shared" si="10"/>
        <v>1.1219364050978218</v>
      </c>
      <c r="G37" s="4">
        <f t="shared" si="10"/>
        <v>1.124269852878323</v>
      </c>
      <c r="H37" s="4">
        <f t="shared" si="10"/>
        <v>1.0700931816069814</v>
      </c>
      <c r="I37" s="4">
        <f t="shared" si="10"/>
        <v>1.0429942842706919</v>
      </c>
      <c r="J37" s="4">
        <f t="shared" si="10"/>
        <v>1.0524244213330911</v>
      </c>
      <c r="K37" s="4"/>
      <c r="L37" s="4"/>
      <c r="M37" s="4"/>
    </row>
    <row r="38" spans="1:13" x14ac:dyDescent="0.6">
      <c r="A38">
        <f t="shared" si="8"/>
        <v>1996</v>
      </c>
      <c r="B38" s="4">
        <f t="shared" ref="B38:I38" si="11">C23/B23</f>
        <v>2.5414569536423839</v>
      </c>
      <c r="C38" s="4">
        <f t="shared" si="11"/>
        <v>1.4680008338544923</v>
      </c>
      <c r="D38" s="4">
        <f t="shared" si="11"/>
        <v>1.3218545867651235</v>
      </c>
      <c r="E38" s="4">
        <f t="shared" si="11"/>
        <v>1.1641940162217328</v>
      </c>
      <c r="F38" s="4">
        <f t="shared" si="11"/>
        <v>1.127988631435189</v>
      </c>
      <c r="G38" s="4">
        <f t="shared" si="11"/>
        <v>1.1128036060504423</v>
      </c>
      <c r="H38" s="4">
        <f t="shared" si="11"/>
        <v>1.0916281941953128</v>
      </c>
      <c r="I38" s="4">
        <f t="shared" si="11"/>
        <v>1.0543935026802789</v>
      </c>
      <c r="J38" s="4"/>
      <c r="K38" s="4"/>
      <c r="L38" s="4"/>
      <c r="M38" s="4"/>
    </row>
    <row r="39" spans="1:13" x14ac:dyDescent="0.6">
      <c r="A39">
        <f t="shared" si="8"/>
        <v>1997</v>
      </c>
      <c r="B39" s="4">
        <f t="shared" ref="B39:H39" si="12">C24/B24</f>
        <v>2.8021204914783988</v>
      </c>
      <c r="C39" s="4">
        <f t="shared" si="12"/>
        <v>1.4834329361009935</v>
      </c>
      <c r="D39" s="4">
        <f t="shared" si="12"/>
        <v>1.2274016686531586</v>
      </c>
      <c r="E39" s="4">
        <f t="shared" si="12"/>
        <v>1.1716951999922314</v>
      </c>
      <c r="F39" s="4">
        <f t="shared" si="12"/>
        <v>1.1269186142880823</v>
      </c>
      <c r="G39" s="4">
        <f t="shared" si="12"/>
        <v>1.0937017370967979</v>
      </c>
      <c r="H39" s="4">
        <f t="shared" si="12"/>
        <v>1.0858622196819421</v>
      </c>
      <c r="I39" s="4"/>
      <c r="J39" s="4"/>
      <c r="K39" s="4"/>
      <c r="L39" s="4"/>
      <c r="M39" s="4"/>
    </row>
    <row r="40" spans="1:13" x14ac:dyDescent="0.6">
      <c r="A40">
        <f t="shared" si="8"/>
        <v>1998</v>
      </c>
      <c r="B40" s="4">
        <f t="shared" ref="B40:G40" si="13">C25/B25</f>
        <v>2.8883768838772634</v>
      </c>
      <c r="C40" s="4">
        <f t="shared" si="13"/>
        <v>1.4444903245181029</v>
      </c>
      <c r="D40" s="4">
        <f t="shared" si="13"/>
        <v>1.2493600654877146</v>
      </c>
      <c r="E40" s="4">
        <f t="shared" si="13"/>
        <v>1.1693048506531325</v>
      </c>
      <c r="F40" s="4">
        <f t="shared" si="13"/>
        <v>1.1019291832323825</v>
      </c>
      <c r="G40" s="4">
        <f t="shared" si="13"/>
        <v>1.1077237248871992</v>
      </c>
      <c r="H40" s="4"/>
      <c r="I40" s="4"/>
      <c r="J40" s="4"/>
      <c r="K40" s="4"/>
      <c r="L40" s="4"/>
      <c r="M40" s="4"/>
    </row>
    <row r="41" spans="1:13" x14ac:dyDescent="0.6">
      <c r="A41">
        <f t="shared" si="8"/>
        <v>1999</v>
      </c>
      <c r="B41" s="4">
        <f>C26/B26</f>
        <v>2.8164398185214838</v>
      </c>
      <c r="C41" s="4">
        <f>D26/C26</f>
        <v>1.7346397301292498</v>
      </c>
      <c r="D41" s="4">
        <f>E26/D26</f>
        <v>1.1950289522560908</v>
      </c>
      <c r="E41" s="4">
        <f>F26/E26</f>
        <v>1.108720893025297</v>
      </c>
      <c r="F41" s="4">
        <f>G26/F26</f>
        <v>1.193752937587097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8"/>
        <v>2000</v>
      </c>
      <c r="B42" s="4">
        <f>C27/B27</f>
        <v>2.7791452226448872</v>
      </c>
      <c r="C42" s="4">
        <f>D27/C27</f>
        <v>1.4391103059581321</v>
      </c>
      <c r="D42" s="4">
        <f>E27/D27</f>
        <v>1.2393593957619413</v>
      </c>
      <c r="E42" s="4">
        <f>F27/E27</f>
        <v>1.1264784218129289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8"/>
        <v>2001</v>
      </c>
      <c r="B43" s="4">
        <f>C28/B28</f>
        <v>2.4413108015528664</v>
      </c>
      <c r="C43" s="4">
        <f>D28/C28</f>
        <v>1.3887329872316541</v>
      </c>
      <c r="D43" s="4">
        <f>E28/D28</f>
        <v>1.1870842805422244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8"/>
        <v>2002</v>
      </c>
      <c r="B44" s="4">
        <f>C29/B29</f>
        <v>2.7433685923515054</v>
      </c>
      <c r="C44" s="4">
        <f>D29/C29</f>
        <v>1.3899236761972555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8"/>
        <v>2003</v>
      </c>
      <c r="B45" s="4">
        <f>C30/B30</f>
        <v>2.6036117381489841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2.631788314511478</v>
      </c>
      <c r="C48" s="27">
        <f>SUM(D$20:D29)/SUM(C$20:C29)</f>
        <v>1.4546224066390043</v>
      </c>
      <c r="D48" s="27">
        <f>SUM(E$20:E28)/SUM(D$20:D28)</f>
        <v>1.228559335736501</v>
      </c>
      <c r="E48" s="27">
        <f>SUM(F$20:F27)/SUM(E$20:E27)</f>
        <v>1.1525488203349219</v>
      </c>
      <c r="F48" s="27">
        <f>SUM(G$20:G26)/SUM(F$20:F26)</f>
        <v>1.1450698628578972</v>
      </c>
      <c r="G48" s="27">
        <f>SUM(H$20:H25)/SUM(G$20:G25)</f>
        <v>1.1098345526570423</v>
      </c>
      <c r="H48" s="27">
        <f>SUM(I$20:I24)/SUM(H$20:H24)</f>
        <v>1.0817693553089058</v>
      </c>
      <c r="I48" s="27">
        <f>SUM(J$20:J23)/SUM(I$20:I23)</f>
        <v>1.0585639240736329</v>
      </c>
      <c r="J48" s="27">
        <f>SUM(K$20:K22)/SUM(J$20:J22)</f>
        <v>1.0555088766889364</v>
      </c>
      <c r="K48" s="27">
        <f>SUM(L$20:L21)/SUM(K$20:K21)</f>
        <v>1.0421418106649005</v>
      </c>
      <c r="L48" s="27">
        <f>SUM(M$20:M20)/SUM(L$20:L20)</f>
        <v>1.0275336756013314</v>
      </c>
      <c r="M48" s="27">
        <f>SUM(N$20:N20)/SUM(M$20:M20)</f>
        <v>1.1413531965184933</v>
      </c>
    </row>
    <row r="49" spans="1:13" x14ac:dyDescent="0.6">
      <c r="A49" s="25" t="s">
        <v>1</v>
      </c>
      <c r="B49" s="24">
        <f>AVERAGE(B35:B45)</f>
        <v>2.6297270751435344</v>
      </c>
      <c r="C49" s="24">
        <f>AVERAGE(C35:C45)</f>
        <v>1.4493818129216149</v>
      </c>
      <c r="D49" s="24">
        <f t="shared" ref="D49:M49" si="14">AVERAGE(D35:D45)</f>
        <v>1.2274712804511418</v>
      </c>
      <c r="E49" s="24">
        <f t="shared" si="14"/>
        <v>1.1536844138826132</v>
      </c>
      <c r="F49" s="24">
        <f t="shared" si="14"/>
        <v>1.1467881093732932</v>
      </c>
      <c r="G49" s="24">
        <f t="shared" si="14"/>
        <v>1.1107996473371728</v>
      </c>
      <c r="H49" s="24">
        <f t="shared" si="14"/>
        <v>1.0812617475328392</v>
      </c>
      <c r="I49" s="24">
        <f t="shared" si="14"/>
        <v>1.0597503729075746</v>
      </c>
      <c r="J49" s="24">
        <f t="shared" si="14"/>
        <v>1.0556588122253945</v>
      </c>
      <c r="K49" s="24">
        <f t="shared" si="14"/>
        <v>1.0422549794053872</v>
      </c>
      <c r="L49" s="24">
        <f t="shared" si="14"/>
        <v>1.0275336756013314</v>
      </c>
      <c r="M49" s="24">
        <f t="shared" si="14"/>
        <v>1.1413531965184933</v>
      </c>
    </row>
    <row r="50" spans="1:13" x14ac:dyDescent="0.6">
      <c r="A50" s="25" t="s">
        <v>3</v>
      </c>
      <c r="B50" s="24">
        <f>AVERAGE(B42:B45)</f>
        <v>2.6418590886745608</v>
      </c>
      <c r="C50" s="24">
        <f>AVERAGE(C41:C44)</f>
        <v>1.488101674879073</v>
      </c>
      <c r="D50" s="24">
        <f>AVERAGE(D40:D43)</f>
        <v>1.2177081735119928</v>
      </c>
      <c r="E50" s="24">
        <f>AVERAGE(E39:E42)</f>
        <v>1.1440498413708975</v>
      </c>
      <c r="F50" s="24">
        <f>AVERAGE(F38:F41)</f>
        <v>1.1376473416356876</v>
      </c>
      <c r="G50" s="24">
        <f>AVERAGE(G37:G40)</f>
        <v>1.1096247302281905</v>
      </c>
      <c r="H50" s="24">
        <f>AVERAGE(H36:H39)</f>
        <v>1.0797046891943953</v>
      </c>
      <c r="I50" s="24">
        <f>AVERAGE(I35:I38)</f>
        <v>1.0597503729075746</v>
      </c>
      <c r="J50" s="24">
        <f>J49</f>
        <v>1.0556588122253945</v>
      </c>
      <c r="K50" s="24">
        <f>K49</f>
        <v>1.0422549794053872</v>
      </c>
      <c r="L50" s="24">
        <f>L49</f>
        <v>1.0275336756013314</v>
      </c>
      <c r="M50" s="24">
        <f>M49</f>
        <v>1.1413531965184933</v>
      </c>
    </row>
    <row r="52" spans="1:13" x14ac:dyDescent="0.6">
      <c r="A52" s="13" t="s">
        <v>2</v>
      </c>
      <c r="B52" s="26">
        <f>PRODUCT(B48:$M48)</f>
        <v>10.176619055683123</v>
      </c>
      <c r="C52" s="26">
        <f>PRODUCT(C48:$M48)</f>
        <v>3.8668075998248148</v>
      </c>
      <c r="D52" s="26">
        <f>PRODUCT(D48:$M48)</f>
        <v>2.6582895892270177</v>
      </c>
      <c r="E52" s="26">
        <f>PRODUCT(E48:$M48)</f>
        <v>2.1637453820115384</v>
      </c>
      <c r="F52" s="26">
        <f>PRODUCT(F48:$M48)</f>
        <v>1.8773568145970345</v>
      </c>
      <c r="G52" s="26">
        <f>PRODUCT(G48:$M48)</f>
        <v>1.6395129026551054</v>
      </c>
      <c r="H52" s="26">
        <f>PRODUCT(H48:$M48)</f>
        <v>1.4772588389233026</v>
      </c>
      <c r="I52" s="26">
        <f>PRODUCT(I48:$M48)</f>
        <v>1.3655950149387091</v>
      </c>
      <c r="J52" s="26">
        <f>PRODUCT(J48:$M48)</f>
        <v>1.2900449220709689</v>
      </c>
      <c r="K52" s="26">
        <f>PRODUCT(K48:$M48)</f>
        <v>1.222201869223267</v>
      </c>
      <c r="L52" s="26">
        <f>PRODUCT(L48:$M48)</f>
        <v>1.1727788451779761</v>
      </c>
      <c r="M52" s="26">
        <f>PRODUCT(M48:$M48)</f>
        <v>1.1413531965184933</v>
      </c>
    </row>
    <row r="53" spans="1:13" x14ac:dyDescent="0.6">
      <c r="A53" s="13" t="s">
        <v>4</v>
      </c>
      <c r="B53" s="4">
        <f>PRODUCT(B49:$M49)</f>
        <v>10.166204959172667</v>
      </c>
      <c r="C53" s="4">
        <f>PRODUCT(C49:$M49)</f>
        <v>3.8658783473253706</v>
      </c>
      <c r="D53" s="4">
        <f>PRODUCT(D49:$M49)</f>
        <v>2.6672601469537307</v>
      </c>
      <c r="E53" s="4">
        <f>PRODUCT(E49:$M49)</f>
        <v>2.1729715305220108</v>
      </c>
      <c r="F53" s="4">
        <f>PRODUCT(F49:$M49)</f>
        <v>1.883506012887082</v>
      </c>
      <c r="G53" s="4">
        <f>PRODUCT(G49:$M49)</f>
        <v>1.6424185056439038</v>
      </c>
      <c r="H53" s="4">
        <f>PRODUCT(H49:$M49)</f>
        <v>1.4785911298955992</v>
      </c>
      <c r="I53" s="4">
        <f>PRODUCT(I49:$M49)</f>
        <v>1.3674682686864337</v>
      </c>
      <c r="J53" s="4">
        <f>PRODUCT(J49:$M49)</f>
        <v>1.2903682826122456</v>
      </c>
      <c r="K53" s="4">
        <f>PRODUCT(K49:$M49)</f>
        <v>1.2223345911280454</v>
      </c>
      <c r="L53" s="4">
        <f>PRODUCT(L49:$M49)</f>
        <v>1.1727788451779761</v>
      </c>
      <c r="M53" s="4">
        <f>PRODUCT(M49:$M49)</f>
        <v>1.1413531965184933</v>
      </c>
    </row>
    <row r="54" spans="1:13" x14ac:dyDescent="0.6">
      <c r="A54" s="13" t="s">
        <v>5</v>
      </c>
      <c r="B54" s="4">
        <f>PRODUCT(B50:$M50)</f>
        <v>10.207901015271437</v>
      </c>
      <c r="C54" s="4">
        <f>PRODUCT(C50:$M50)</f>
        <v>3.8639082073044291</v>
      </c>
      <c r="D54" s="4">
        <f>PRODUCT(D50:$M50)</f>
        <v>2.5965350839474195</v>
      </c>
      <c r="E54" s="4">
        <f>PRODUCT(E50:$M50)</f>
        <v>2.1323130947366082</v>
      </c>
      <c r="F54" s="4">
        <f>PRODUCT(F50:$M50)</f>
        <v>1.8638288452376248</v>
      </c>
      <c r="G54" s="4">
        <f>PRODUCT(G50:$M50)</f>
        <v>1.6383186397270069</v>
      </c>
      <c r="H54" s="4">
        <f>PRODUCT(H50:$M50)</f>
        <v>1.476461902025284</v>
      </c>
      <c r="I54" s="4">
        <f>PRODUCT(I50:$M50)</f>
        <v>1.3674682686864337</v>
      </c>
      <c r="J54" s="4">
        <f>PRODUCT(J50:$M50)</f>
        <v>1.2903682826122456</v>
      </c>
      <c r="K54" s="4">
        <f>PRODUCT(K50:$M50)</f>
        <v>1.2223345911280454</v>
      </c>
      <c r="L54" s="4">
        <f>PRODUCT(L50:$M50)</f>
        <v>1.1727788451779761</v>
      </c>
      <c r="M54" s="4">
        <f>PRODUCT(M50:$M50)</f>
        <v>1.1413531965184933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10.176619055683123</v>
      </c>
      <c r="C56" s="35">
        <f t="shared" ref="C56:M56" si="15">IF($A$55=1,C52,IF($A$55=2,C53,C54))</f>
        <v>3.8668075998248148</v>
      </c>
      <c r="D56" s="35">
        <f t="shared" si="15"/>
        <v>2.6582895892270177</v>
      </c>
      <c r="E56" s="35">
        <f t="shared" si="15"/>
        <v>2.1637453820115384</v>
      </c>
      <c r="F56" s="35">
        <f t="shared" si="15"/>
        <v>1.8773568145970345</v>
      </c>
      <c r="G56" s="35">
        <f t="shared" si="15"/>
        <v>1.6395129026551054</v>
      </c>
      <c r="H56" s="35">
        <f t="shared" si="15"/>
        <v>1.4772588389233026</v>
      </c>
      <c r="I56" s="35">
        <f t="shared" si="15"/>
        <v>1.3655950149387091</v>
      </c>
      <c r="J56" s="35">
        <f t="shared" si="15"/>
        <v>1.2900449220709689</v>
      </c>
      <c r="K56" s="35">
        <f t="shared" si="15"/>
        <v>1.222201869223267</v>
      </c>
      <c r="L56" s="35">
        <f t="shared" si="15"/>
        <v>1.1727788451779761</v>
      </c>
      <c r="M56" s="35">
        <f t="shared" si="15"/>
        <v>1.1413531965184933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37" t="s">
        <v>14</v>
      </c>
      <c r="C59" s="38" t="s">
        <v>10</v>
      </c>
      <c r="D59" s="37" t="s">
        <v>15</v>
      </c>
      <c r="E59" s="37" t="s">
        <v>16</v>
      </c>
    </row>
    <row r="60" spans="1:13" x14ac:dyDescent="0.6">
      <c r="A60">
        <f>A35</f>
        <v>1993</v>
      </c>
      <c r="B60" s="1">
        <f>M20</f>
        <v>117443.40000000001</v>
      </c>
      <c r="C60" s="31">
        <f>M56</f>
        <v>1.1413531965184933</v>
      </c>
      <c r="D60" s="30">
        <f>B60*C60</f>
        <v>134044.40000000002</v>
      </c>
      <c r="E60" s="32">
        <f>D60-B60</f>
        <v>16601.000000000015</v>
      </c>
    </row>
    <row r="61" spans="1:13" x14ac:dyDescent="0.6">
      <c r="A61">
        <f t="shared" ref="A61:A71" si="16">A36</f>
        <v>1994</v>
      </c>
      <c r="B61" s="1">
        <f>L21</f>
        <v>119374.2</v>
      </c>
      <c r="C61" s="31">
        <f>L56</f>
        <v>1.1727788451779761</v>
      </c>
      <c r="D61" s="30">
        <f t="shared" ref="D61:D71" si="17">B61*C61</f>
        <v>139999.53642004475</v>
      </c>
      <c r="E61" s="32">
        <f t="shared" ref="E61:E71" si="18">D61-B61</f>
        <v>20625.336420044754</v>
      </c>
    </row>
    <row r="62" spans="1:13" x14ac:dyDescent="0.6">
      <c r="A62">
        <f t="shared" si="16"/>
        <v>1995</v>
      </c>
      <c r="B62" s="1">
        <f>K22</f>
        <v>125136</v>
      </c>
      <c r="C62" s="31">
        <f>K56</f>
        <v>1.222201869223267</v>
      </c>
      <c r="D62" s="30">
        <f t="shared" si="17"/>
        <v>152941.45310712274</v>
      </c>
      <c r="E62" s="32">
        <f t="shared" si="18"/>
        <v>27805.453107122739</v>
      </c>
    </row>
    <row r="63" spans="1:13" x14ac:dyDescent="0.6">
      <c r="A63">
        <f t="shared" si="16"/>
        <v>1996</v>
      </c>
      <c r="B63" s="1">
        <f>J23</f>
        <v>140912.1</v>
      </c>
      <c r="C63" s="31">
        <f>J56</f>
        <v>1.2900449220709689</v>
      </c>
      <c r="D63" s="30">
        <f t="shared" si="17"/>
        <v>181782.93906335658</v>
      </c>
      <c r="E63" s="32">
        <f t="shared" si="18"/>
        <v>40870.839063356572</v>
      </c>
    </row>
    <row r="64" spans="1:13" x14ac:dyDescent="0.6">
      <c r="A64">
        <f t="shared" si="16"/>
        <v>1997</v>
      </c>
      <c r="B64" s="1">
        <f>I24</f>
        <v>145335.6</v>
      </c>
      <c r="C64" s="31">
        <f>I56</f>
        <v>1.3655950149387091</v>
      </c>
      <c r="D64" s="30">
        <f t="shared" si="17"/>
        <v>198469.57085312626</v>
      </c>
      <c r="E64" s="32">
        <f t="shared" si="18"/>
        <v>53133.970853126259</v>
      </c>
    </row>
    <row r="65" spans="1:7" x14ac:dyDescent="0.6">
      <c r="A65">
        <f t="shared" si="16"/>
        <v>1998</v>
      </c>
      <c r="B65" s="1">
        <f>H25</f>
        <v>123513.30000000002</v>
      </c>
      <c r="C65" s="31">
        <f>H56</f>
        <v>1.4772588389233026</v>
      </c>
      <c r="D65" s="30">
        <f t="shared" si="17"/>
        <v>182461.11414958557</v>
      </c>
      <c r="E65" s="32">
        <f t="shared" si="18"/>
        <v>58947.814149585553</v>
      </c>
    </row>
    <row r="66" spans="1:7" x14ac:dyDescent="0.6">
      <c r="A66">
        <f t="shared" si="16"/>
        <v>1999</v>
      </c>
      <c r="B66" s="1">
        <f>G26</f>
        <v>130293</v>
      </c>
      <c r="C66" s="31">
        <f>G56</f>
        <v>1.6395129026551054</v>
      </c>
      <c r="D66" s="30">
        <f t="shared" si="17"/>
        <v>213617.05462564164</v>
      </c>
      <c r="E66" s="32">
        <f t="shared" si="18"/>
        <v>83324.054625641642</v>
      </c>
    </row>
    <row r="67" spans="1:7" x14ac:dyDescent="0.6">
      <c r="A67">
        <f t="shared" si="16"/>
        <v>2000</v>
      </c>
      <c r="B67" s="1">
        <f>F27</f>
        <v>89833.5</v>
      </c>
      <c r="C67" s="31">
        <f>F56</f>
        <v>1.8773568145970345</v>
      </c>
      <c r="D67" s="30">
        <f t="shared" si="17"/>
        <v>168649.53340410269</v>
      </c>
      <c r="E67" s="32">
        <f t="shared" si="18"/>
        <v>78816.033404102694</v>
      </c>
    </row>
    <row r="68" spans="1:7" x14ac:dyDescent="0.6">
      <c r="A68">
        <f t="shared" si="16"/>
        <v>2001</v>
      </c>
      <c r="B68" s="1">
        <f>E28</f>
        <v>63445.5</v>
      </c>
      <c r="C68" s="31">
        <f>E56</f>
        <v>2.1637453820115384</v>
      </c>
      <c r="D68" s="30">
        <f t="shared" si="17"/>
        <v>137279.90763441307</v>
      </c>
      <c r="E68" s="32">
        <f t="shared" si="18"/>
        <v>73834.407634413074</v>
      </c>
    </row>
    <row r="69" spans="1:7" x14ac:dyDescent="0.6">
      <c r="A69">
        <f t="shared" si="16"/>
        <v>2002</v>
      </c>
      <c r="B69" s="1">
        <f>D29</f>
        <v>63264.600000000006</v>
      </c>
      <c r="C69" s="31">
        <f>D56</f>
        <v>2.6582895892270177</v>
      </c>
      <c r="D69" s="30">
        <f t="shared" si="17"/>
        <v>168175.62754661159</v>
      </c>
      <c r="E69" s="32">
        <f t="shared" si="18"/>
        <v>104911.02754661159</v>
      </c>
    </row>
    <row r="70" spans="1:7" x14ac:dyDescent="0.6">
      <c r="A70">
        <f t="shared" si="16"/>
        <v>2003</v>
      </c>
      <c r="B70" s="1">
        <f>C30</f>
        <v>46712.7</v>
      </c>
      <c r="C70" s="31">
        <f>C56</f>
        <v>3.8668075998248148</v>
      </c>
      <c r="D70" s="30">
        <f t="shared" si="17"/>
        <v>180629.02336833661</v>
      </c>
      <c r="E70" s="32">
        <f t="shared" si="18"/>
        <v>133916.3233683366</v>
      </c>
    </row>
    <row r="71" spans="1:7" x14ac:dyDescent="0.6">
      <c r="A71">
        <f t="shared" si="16"/>
        <v>2004</v>
      </c>
      <c r="B71" s="1">
        <f>B31</f>
        <v>17127.900000000001</v>
      </c>
      <c r="C71" s="31">
        <f>B56</f>
        <v>10.176619055683123</v>
      </c>
      <c r="D71" s="30">
        <f t="shared" si="17"/>
        <v>174304.11352383497</v>
      </c>
      <c r="E71" s="32">
        <f t="shared" si="18"/>
        <v>157176.21352383497</v>
      </c>
    </row>
    <row r="72" spans="1:7" x14ac:dyDescent="0.6">
      <c r="B72" s="32">
        <f>SUM(B60:B71)</f>
        <v>1182391.8</v>
      </c>
      <c r="D72" s="32">
        <f>SUM(D60:D71)</f>
        <v>2032354.2736961767</v>
      </c>
      <c r="E72" s="32">
        <f>SUM(E60:E71)</f>
        <v>849962.47369617643</v>
      </c>
      <c r="G72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2"/>
  <sheetViews>
    <sheetView topLeftCell="A42" workbookViewId="0">
      <selection activeCell="G62" sqref="G62"/>
    </sheetView>
  </sheetViews>
  <sheetFormatPr defaultRowHeight="13" x14ac:dyDescent="0.6"/>
  <cols>
    <col min="1" max="1" width="11" customWidth="1"/>
    <col min="2" max="2" width="17.453125" bestFit="1" customWidth="1"/>
    <col min="3" max="3" width="7.7265625" bestFit="1" customWidth="1"/>
    <col min="4" max="4" width="12.453125" bestFit="1" customWidth="1"/>
    <col min="5" max="5" width="13.31640625" bestFit="1" customWidth="1"/>
  </cols>
  <sheetData>
    <row r="1" spans="1:14" x14ac:dyDescent="0.6">
      <c r="A1" s="14" t="s">
        <v>11</v>
      </c>
      <c r="B1" s="14"/>
      <c r="C1" s="14"/>
    </row>
    <row r="2" spans="1:14" ht="13.75" thickBot="1" x14ac:dyDescent="0.75">
      <c r="B2">
        <v>0</v>
      </c>
      <c r="C2">
        <f>B2+1</f>
        <v>1</v>
      </c>
      <c r="D2">
        <f t="shared" ref="D2:N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</row>
    <row r="3" spans="1:14" x14ac:dyDescent="0.6">
      <c r="A3">
        <v>1993</v>
      </c>
      <c r="B3" s="5">
        <v>44496.9</v>
      </c>
      <c r="C3" s="6">
        <v>18158.400000000001</v>
      </c>
      <c r="D3" s="6">
        <v>238.5</v>
      </c>
      <c r="E3" s="6">
        <v>16.2</v>
      </c>
      <c r="F3" s="6">
        <v>7.2</v>
      </c>
      <c r="G3" s="6">
        <v>6.3</v>
      </c>
      <c r="H3" s="6">
        <v>117</v>
      </c>
      <c r="I3" s="6">
        <v>25.2</v>
      </c>
      <c r="J3" s="6">
        <v>9</v>
      </c>
      <c r="K3" s="6">
        <v>9</v>
      </c>
      <c r="L3" s="6">
        <v>7.2</v>
      </c>
      <c r="M3" s="6">
        <v>7</v>
      </c>
      <c r="N3" s="7">
        <v>54</v>
      </c>
    </row>
    <row r="4" spans="1:14" x14ac:dyDescent="0.6">
      <c r="A4">
        <f>A3+1</f>
        <v>1994</v>
      </c>
      <c r="B4" s="8">
        <v>47530.8</v>
      </c>
      <c r="C4" s="2">
        <v>20244.600000000002</v>
      </c>
      <c r="D4" s="2">
        <v>343.8</v>
      </c>
      <c r="E4" s="2">
        <v>9</v>
      </c>
      <c r="F4" s="2">
        <v>65.7</v>
      </c>
      <c r="G4" s="2">
        <v>9</v>
      </c>
      <c r="H4" s="2">
        <v>10.8</v>
      </c>
      <c r="I4" s="2">
        <v>11.700000000000001</v>
      </c>
      <c r="J4" s="2">
        <v>32.4</v>
      </c>
      <c r="K4" s="2">
        <v>68.400000000000006</v>
      </c>
      <c r="L4" s="2">
        <v>19.8</v>
      </c>
      <c r="M4" s="3"/>
      <c r="N4" s="9"/>
    </row>
    <row r="5" spans="1:14" x14ac:dyDescent="0.6">
      <c r="A5">
        <f t="shared" ref="A5:A14" si="1">A4+1</f>
        <v>1995</v>
      </c>
      <c r="B5" s="8">
        <v>54502.200000000004</v>
      </c>
      <c r="C5" s="2">
        <v>22690.799999999999</v>
      </c>
      <c r="D5" s="2">
        <v>412.2</v>
      </c>
      <c r="E5" s="2">
        <v>173.70000000000002</v>
      </c>
      <c r="F5" s="2">
        <v>63.9</v>
      </c>
      <c r="G5" s="2">
        <v>168.3</v>
      </c>
      <c r="H5" s="2">
        <v>36.9</v>
      </c>
      <c r="I5" s="2">
        <v>48.6</v>
      </c>
      <c r="J5" s="2">
        <v>40.5</v>
      </c>
      <c r="K5" s="2">
        <v>17.100000000000001</v>
      </c>
      <c r="L5" s="3"/>
      <c r="M5" s="3"/>
      <c r="N5" s="9"/>
    </row>
    <row r="6" spans="1:14" x14ac:dyDescent="0.6">
      <c r="A6">
        <f t="shared" si="1"/>
        <v>1996</v>
      </c>
      <c r="B6" s="8">
        <v>52830.9</v>
      </c>
      <c r="C6" s="2">
        <v>21477.600000000002</v>
      </c>
      <c r="D6" s="2">
        <v>622.80000000000007</v>
      </c>
      <c r="E6" s="2">
        <v>234</v>
      </c>
      <c r="F6" s="2">
        <v>138.6</v>
      </c>
      <c r="G6" s="2">
        <v>70.2</v>
      </c>
      <c r="H6" s="2">
        <v>9</v>
      </c>
      <c r="I6" s="2">
        <v>30.6</v>
      </c>
      <c r="J6" s="2">
        <v>52.2</v>
      </c>
      <c r="K6" s="3"/>
      <c r="L6" s="3"/>
      <c r="M6" s="3"/>
      <c r="N6" s="9"/>
    </row>
    <row r="7" spans="1:14" x14ac:dyDescent="0.6">
      <c r="A7">
        <f t="shared" si="1"/>
        <v>1997</v>
      </c>
      <c r="B7" s="8">
        <v>46943.1</v>
      </c>
      <c r="C7" s="2">
        <v>24072.3</v>
      </c>
      <c r="D7" s="2">
        <v>1425.6000000000001</v>
      </c>
      <c r="E7" s="2">
        <v>291.60000000000002</v>
      </c>
      <c r="F7" s="2">
        <v>64.8</v>
      </c>
      <c r="G7" s="2">
        <v>52.2</v>
      </c>
      <c r="H7" s="2">
        <v>20.7</v>
      </c>
      <c r="I7" s="2">
        <v>33.300000000000004</v>
      </c>
      <c r="J7" s="3"/>
      <c r="K7" s="3"/>
      <c r="L7" s="3"/>
      <c r="M7" s="3"/>
      <c r="N7" s="9"/>
    </row>
    <row r="8" spans="1:14" x14ac:dyDescent="0.6">
      <c r="A8">
        <f t="shared" si="1"/>
        <v>1998</v>
      </c>
      <c r="B8" s="8">
        <v>55724.4</v>
      </c>
      <c r="C8" s="2">
        <v>24507.9</v>
      </c>
      <c r="D8" s="2">
        <v>1159.2</v>
      </c>
      <c r="E8" s="2">
        <v>1968.3</v>
      </c>
      <c r="F8" s="2">
        <v>145.80000000000001</v>
      </c>
      <c r="G8" s="2">
        <v>29.7</v>
      </c>
      <c r="H8" s="2">
        <v>113.4</v>
      </c>
      <c r="I8" s="3"/>
      <c r="J8" s="3"/>
      <c r="K8" s="3"/>
      <c r="L8" s="3"/>
      <c r="M8" s="3"/>
      <c r="N8" s="9"/>
    </row>
    <row r="9" spans="1:14" x14ac:dyDescent="0.6">
      <c r="A9">
        <f t="shared" si="1"/>
        <v>1999</v>
      </c>
      <c r="B9" s="8">
        <v>63506.700000000004</v>
      </c>
      <c r="C9" s="2">
        <v>27141.3</v>
      </c>
      <c r="D9" s="2">
        <v>1782.9</v>
      </c>
      <c r="E9" s="2">
        <v>148.5</v>
      </c>
      <c r="F9" s="2">
        <v>33.300000000000004</v>
      </c>
      <c r="G9" s="2">
        <v>36.9</v>
      </c>
      <c r="H9" s="3"/>
      <c r="I9" s="3"/>
      <c r="J9" s="3"/>
      <c r="K9" s="3"/>
      <c r="L9" s="3"/>
      <c r="M9" s="3"/>
      <c r="N9" s="9"/>
    </row>
    <row r="10" spans="1:14" x14ac:dyDescent="0.6">
      <c r="A10">
        <f t="shared" si="1"/>
        <v>2000</v>
      </c>
      <c r="B10" s="8">
        <v>68291.100000000006</v>
      </c>
      <c r="C10" s="2">
        <v>29936.7</v>
      </c>
      <c r="D10" s="2">
        <v>995.4</v>
      </c>
      <c r="E10" s="2">
        <v>167.4</v>
      </c>
      <c r="F10" s="2">
        <v>100.8</v>
      </c>
      <c r="G10" s="3"/>
      <c r="H10" s="3"/>
      <c r="I10" s="3"/>
      <c r="J10" s="3"/>
      <c r="K10" s="3"/>
      <c r="L10" s="3"/>
      <c r="M10" s="3"/>
      <c r="N10" s="9"/>
    </row>
    <row r="11" spans="1:14" x14ac:dyDescent="0.6">
      <c r="A11">
        <f t="shared" si="1"/>
        <v>2001</v>
      </c>
      <c r="B11" s="8">
        <v>73208.7</v>
      </c>
      <c r="C11" s="2">
        <v>28736.100000000002</v>
      </c>
      <c r="D11" s="2">
        <v>1367.1000000000001</v>
      </c>
      <c r="E11" s="2">
        <v>342.90000000000003</v>
      </c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6">
      <c r="A12">
        <f t="shared" si="1"/>
        <v>2002</v>
      </c>
      <c r="B12" s="8">
        <v>74537.100000000006</v>
      </c>
      <c r="C12" s="2">
        <v>31020.3</v>
      </c>
      <c r="D12" s="2">
        <v>1566.9</v>
      </c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6">
      <c r="A13">
        <f t="shared" si="1"/>
        <v>2003</v>
      </c>
      <c r="B13" s="8">
        <v>74209.5</v>
      </c>
      <c r="C13" s="2">
        <v>27705.600000000002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1:14" ht="13.75" thickBot="1" x14ac:dyDescent="0.75">
      <c r="A14">
        <f t="shared" si="1"/>
        <v>2004</v>
      </c>
      <c r="B14" s="10">
        <v>72417.600000000006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  <row r="18" spans="1:14" x14ac:dyDescent="0.6">
      <c r="A18" s="14" t="s">
        <v>12</v>
      </c>
      <c r="B18" s="14"/>
      <c r="C18" s="14"/>
    </row>
    <row r="19" spans="1:14" ht="13.75" thickBot="1" x14ac:dyDescent="0.75">
      <c r="B19">
        <v>0</v>
      </c>
      <c r="C19">
        <f>B19+1</f>
        <v>1</v>
      </c>
      <c r="D19">
        <f t="shared" ref="D19:N19" si="2">C19+1</f>
        <v>2</v>
      </c>
      <c r="E19">
        <f t="shared" si="2"/>
        <v>3</v>
      </c>
      <c r="F19">
        <f t="shared" si="2"/>
        <v>4</v>
      </c>
      <c r="G19">
        <f t="shared" si="2"/>
        <v>5</v>
      </c>
      <c r="H19">
        <f t="shared" si="2"/>
        <v>6</v>
      </c>
      <c r="I19">
        <f t="shared" si="2"/>
        <v>7</v>
      </c>
      <c r="J19">
        <f t="shared" si="2"/>
        <v>8</v>
      </c>
      <c r="K19">
        <f t="shared" si="2"/>
        <v>9</v>
      </c>
      <c r="L19">
        <f t="shared" si="2"/>
        <v>10</v>
      </c>
      <c r="M19">
        <f t="shared" si="2"/>
        <v>11</v>
      </c>
      <c r="N19">
        <f t="shared" si="2"/>
        <v>12</v>
      </c>
    </row>
    <row r="20" spans="1:14" x14ac:dyDescent="0.6">
      <c r="A20">
        <f>A3</f>
        <v>1993</v>
      </c>
      <c r="B20" s="15">
        <f>B3</f>
        <v>44496.9</v>
      </c>
      <c r="C20" s="16">
        <f>B20+C3</f>
        <v>62655.3</v>
      </c>
      <c r="D20" s="16">
        <f t="shared" ref="D20:N28" si="3">C20+D3</f>
        <v>62893.8</v>
      </c>
      <c r="E20" s="16">
        <f t="shared" si="3"/>
        <v>62910</v>
      </c>
      <c r="F20" s="16">
        <f t="shared" si="3"/>
        <v>62917.2</v>
      </c>
      <c r="G20" s="16">
        <f t="shared" si="3"/>
        <v>62923.5</v>
      </c>
      <c r="H20" s="16">
        <f t="shared" si="3"/>
        <v>63040.5</v>
      </c>
      <c r="I20" s="16">
        <f t="shared" si="3"/>
        <v>63065.7</v>
      </c>
      <c r="J20" s="16">
        <f t="shared" si="3"/>
        <v>63074.7</v>
      </c>
      <c r="K20" s="16">
        <f t="shared" si="3"/>
        <v>63083.7</v>
      </c>
      <c r="L20" s="16">
        <f t="shared" si="3"/>
        <v>63090.899999999994</v>
      </c>
      <c r="M20" s="16">
        <f t="shared" si="3"/>
        <v>63097.899999999994</v>
      </c>
      <c r="N20" s="17">
        <f t="shared" si="3"/>
        <v>63151.899999999994</v>
      </c>
    </row>
    <row r="21" spans="1:14" x14ac:dyDescent="0.6">
      <c r="A21">
        <f t="shared" ref="A21:B31" si="4">A4</f>
        <v>1994</v>
      </c>
      <c r="B21" s="18">
        <f t="shared" si="4"/>
        <v>47530.8</v>
      </c>
      <c r="C21" s="19">
        <f t="shared" ref="C21:D30" si="5">B21+C4</f>
        <v>67775.400000000009</v>
      </c>
      <c r="D21" s="19">
        <f t="shared" si="5"/>
        <v>68119.200000000012</v>
      </c>
      <c r="E21" s="19">
        <f t="shared" si="3"/>
        <v>68128.200000000012</v>
      </c>
      <c r="F21" s="19">
        <f t="shared" si="3"/>
        <v>68193.900000000009</v>
      </c>
      <c r="G21" s="19">
        <f t="shared" si="3"/>
        <v>68202.900000000009</v>
      </c>
      <c r="H21" s="19">
        <f t="shared" si="3"/>
        <v>68213.700000000012</v>
      </c>
      <c r="I21" s="19">
        <f t="shared" si="3"/>
        <v>68225.400000000009</v>
      </c>
      <c r="J21" s="19">
        <f t="shared" si="3"/>
        <v>68257.8</v>
      </c>
      <c r="K21" s="19">
        <f t="shared" si="3"/>
        <v>68326.2</v>
      </c>
      <c r="L21" s="19">
        <f t="shared" si="3"/>
        <v>68346</v>
      </c>
      <c r="M21" s="20"/>
      <c r="N21" s="9"/>
    </row>
    <row r="22" spans="1:14" x14ac:dyDescent="0.6">
      <c r="A22">
        <f t="shared" si="4"/>
        <v>1995</v>
      </c>
      <c r="B22" s="18">
        <f t="shared" si="4"/>
        <v>54502.200000000004</v>
      </c>
      <c r="C22" s="19">
        <f t="shared" si="5"/>
        <v>77193</v>
      </c>
      <c r="D22" s="19">
        <f t="shared" si="5"/>
        <v>77605.2</v>
      </c>
      <c r="E22" s="19">
        <f t="shared" si="3"/>
        <v>77778.899999999994</v>
      </c>
      <c r="F22" s="19">
        <f t="shared" si="3"/>
        <v>77842.799999999988</v>
      </c>
      <c r="G22" s="19">
        <f t="shared" si="3"/>
        <v>78011.099999999991</v>
      </c>
      <c r="H22" s="19">
        <f t="shared" si="3"/>
        <v>78047.999999999985</v>
      </c>
      <c r="I22" s="19">
        <f t="shared" si="3"/>
        <v>78096.599999999991</v>
      </c>
      <c r="J22" s="19">
        <f t="shared" si="3"/>
        <v>78137.099999999991</v>
      </c>
      <c r="K22" s="19">
        <f t="shared" si="3"/>
        <v>78154.2</v>
      </c>
      <c r="L22" s="20"/>
      <c r="M22" s="20"/>
      <c r="N22" s="9"/>
    </row>
    <row r="23" spans="1:14" x14ac:dyDescent="0.6">
      <c r="A23">
        <f t="shared" si="4"/>
        <v>1996</v>
      </c>
      <c r="B23" s="18">
        <f t="shared" si="4"/>
        <v>52830.9</v>
      </c>
      <c r="C23" s="19">
        <f t="shared" si="5"/>
        <v>74308.5</v>
      </c>
      <c r="D23" s="19">
        <f t="shared" si="5"/>
        <v>74931.3</v>
      </c>
      <c r="E23" s="19">
        <f t="shared" si="3"/>
        <v>75165.3</v>
      </c>
      <c r="F23" s="19">
        <f t="shared" si="3"/>
        <v>75303.900000000009</v>
      </c>
      <c r="G23" s="19">
        <f t="shared" si="3"/>
        <v>75374.100000000006</v>
      </c>
      <c r="H23" s="19">
        <f t="shared" si="3"/>
        <v>75383.100000000006</v>
      </c>
      <c r="I23" s="19">
        <f t="shared" si="3"/>
        <v>75413.700000000012</v>
      </c>
      <c r="J23" s="19">
        <f t="shared" si="3"/>
        <v>75465.900000000009</v>
      </c>
      <c r="K23" s="20"/>
      <c r="L23" s="20"/>
      <c r="M23" s="20"/>
      <c r="N23" s="9"/>
    </row>
    <row r="24" spans="1:14" x14ac:dyDescent="0.6">
      <c r="A24">
        <f t="shared" si="4"/>
        <v>1997</v>
      </c>
      <c r="B24" s="18">
        <f t="shared" si="4"/>
        <v>46943.1</v>
      </c>
      <c r="C24" s="19">
        <f t="shared" si="5"/>
        <v>71015.399999999994</v>
      </c>
      <c r="D24" s="19">
        <f t="shared" si="5"/>
        <v>72441</v>
      </c>
      <c r="E24" s="19">
        <f t="shared" si="3"/>
        <v>72732.600000000006</v>
      </c>
      <c r="F24" s="19">
        <f t="shared" si="3"/>
        <v>72797.400000000009</v>
      </c>
      <c r="G24" s="19">
        <f t="shared" si="3"/>
        <v>72849.600000000006</v>
      </c>
      <c r="H24" s="19">
        <f t="shared" si="3"/>
        <v>72870.3</v>
      </c>
      <c r="I24" s="19">
        <f t="shared" si="3"/>
        <v>72903.600000000006</v>
      </c>
      <c r="J24" s="20"/>
      <c r="K24" s="20"/>
      <c r="L24" s="20"/>
      <c r="M24" s="20"/>
      <c r="N24" s="9"/>
    </row>
    <row r="25" spans="1:14" x14ac:dyDescent="0.6">
      <c r="A25">
        <f t="shared" si="4"/>
        <v>1998</v>
      </c>
      <c r="B25" s="18">
        <f t="shared" si="4"/>
        <v>55724.4</v>
      </c>
      <c r="C25" s="19">
        <f t="shared" si="5"/>
        <v>80232.3</v>
      </c>
      <c r="D25" s="19">
        <f t="shared" si="5"/>
        <v>81391.5</v>
      </c>
      <c r="E25" s="19">
        <f t="shared" si="3"/>
        <v>83359.8</v>
      </c>
      <c r="F25" s="19">
        <f t="shared" si="3"/>
        <v>83505.600000000006</v>
      </c>
      <c r="G25" s="19">
        <f t="shared" si="3"/>
        <v>83535.3</v>
      </c>
      <c r="H25" s="19">
        <f t="shared" si="3"/>
        <v>83648.7</v>
      </c>
      <c r="I25" s="20"/>
      <c r="J25" s="20"/>
      <c r="K25" s="20"/>
      <c r="L25" s="20"/>
      <c r="M25" s="20"/>
      <c r="N25" s="9"/>
    </row>
    <row r="26" spans="1:14" x14ac:dyDescent="0.6">
      <c r="A26">
        <f t="shared" si="4"/>
        <v>1999</v>
      </c>
      <c r="B26" s="18">
        <f t="shared" si="4"/>
        <v>63506.700000000004</v>
      </c>
      <c r="C26" s="19">
        <f t="shared" si="5"/>
        <v>90648</v>
      </c>
      <c r="D26" s="19">
        <f t="shared" si="5"/>
        <v>92430.9</v>
      </c>
      <c r="E26" s="19">
        <f t="shared" si="3"/>
        <v>92579.4</v>
      </c>
      <c r="F26" s="19">
        <f t="shared" si="3"/>
        <v>92612.7</v>
      </c>
      <c r="G26" s="19">
        <f t="shared" si="3"/>
        <v>92649.599999999991</v>
      </c>
      <c r="H26" s="20"/>
      <c r="I26" s="20"/>
      <c r="J26" s="20"/>
      <c r="K26" s="20"/>
      <c r="L26" s="20"/>
      <c r="M26" s="20"/>
      <c r="N26" s="9"/>
    </row>
    <row r="27" spans="1:14" x14ac:dyDescent="0.6">
      <c r="A27">
        <f t="shared" si="4"/>
        <v>2000</v>
      </c>
      <c r="B27" s="18">
        <f t="shared" si="4"/>
        <v>68291.100000000006</v>
      </c>
      <c r="C27" s="19">
        <f t="shared" si="5"/>
        <v>98227.8</v>
      </c>
      <c r="D27" s="19">
        <f t="shared" si="5"/>
        <v>99223.2</v>
      </c>
      <c r="E27" s="19">
        <f t="shared" si="3"/>
        <v>99390.599999999991</v>
      </c>
      <c r="F27" s="19">
        <f t="shared" si="3"/>
        <v>99491.4</v>
      </c>
      <c r="G27" s="20"/>
      <c r="H27" s="20"/>
      <c r="I27" s="20"/>
      <c r="J27" s="20"/>
      <c r="K27" s="20"/>
      <c r="L27" s="20"/>
      <c r="M27" s="20"/>
      <c r="N27" s="9"/>
    </row>
    <row r="28" spans="1:14" x14ac:dyDescent="0.6">
      <c r="A28">
        <f t="shared" si="4"/>
        <v>2001</v>
      </c>
      <c r="B28" s="18">
        <f t="shared" si="4"/>
        <v>73208.7</v>
      </c>
      <c r="C28" s="19">
        <f t="shared" si="5"/>
        <v>101944.8</v>
      </c>
      <c r="D28" s="19">
        <f t="shared" si="5"/>
        <v>103311.90000000001</v>
      </c>
      <c r="E28" s="19">
        <f t="shared" si="3"/>
        <v>103654.8</v>
      </c>
      <c r="F28" s="20"/>
      <c r="G28" s="20"/>
      <c r="H28" s="20"/>
      <c r="I28" s="20"/>
      <c r="J28" s="20"/>
      <c r="K28" s="20"/>
      <c r="L28" s="20"/>
      <c r="M28" s="20"/>
      <c r="N28" s="9"/>
    </row>
    <row r="29" spans="1:14" x14ac:dyDescent="0.6">
      <c r="A29">
        <f t="shared" si="4"/>
        <v>2002</v>
      </c>
      <c r="B29" s="18">
        <f t="shared" si="4"/>
        <v>74537.100000000006</v>
      </c>
      <c r="C29" s="19">
        <f t="shared" si="5"/>
        <v>105557.40000000001</v>
      </c>
      <c r="D29" s="19">
        <f t="shared" si="5"/>
        <v>107124.3</v>
      </c>
      <c r="E29" s="20"/>
      <c r="F29" s="20"/>
      <c r="G29" s="20"/>
      <c r="H29" s="20"/>
      <c r="I29" s="20"/>
      <c r="J29" s="20"/>
      <c r="K29" s="20"/>
      <c r="L29" s="20"/>
      <c r="M29" s="20"/>
      <c r="N29" s="9"/>
    </row>
    <row r="30" spans="1:14" x14ac:dyDescent="0.6">
      <c r="A30">
        <f t="shared" si="4"/>
        <v>2003</v>
      </c>
      <c r="B30" s="18">
        <f t="shared" si="4"/>
        <v>74209.5</v>
      </c>
      <c r="C30" s="19">
        <f t="shared" si="5"/>
        <v>101915.1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9"/>
    </row>
    <row r="31" spans="1:14" ht="13.75" thickBot="1" x14ac:dyDescent="0.75">
      <c r="A31">
        <f t="shared" si="4"/>
        <v>2004</v>
      </c>
      <c r="B31" s="21">
        <f t="shared" si="4"/>
        <v>72417.600000000006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12"/>
    </row>
    <row r="32" spans="1:14" x14ac:dyDescent="0.6">
      <c r="B32" s="1"/>
    </row>
    <row r="33" spans="1:13" x14ac:dyDescent="0.6">
      <c r="A33" s="14" t="s">
        <v>13</v>
      </c>
      <c r="B33" s="23"/>
      <c r="C33" s="14"/>
    </row>
    <row r="34" spans="1:13" x14ac:dyDescent="0.6">
      <c r="B34">
        <f>B19</f>
        <v>0</v>
      </c>
      <c r="C34">
        <f t="shared" ref="C34:M34" si="6">C19</f>
        <v>1</v>
      </c>
      <c r="D34">
        <f t="shared" si="6"/>
        <v>2</v>
      </c>
      <c r="E34">
        <f t="shared" si="6"/>
        <v>3</v>
      </c>
      <c r="F34">
        <f t="shared" si="6"/>
        <v>4</v>
      </c>
      <c r="G34">
        <f t="shared" si="6"/>
        <v>5</v>
      </c>
      <c r="H34">
        <f t="shared" si="6"/>
        <v>6</v>
      </c>
      <c r="I34">
        <f t="shared" si="6"/>
        <v>7</v>
      </c>
      <c r="J34">
        <f t="shared" si="6"/>
        <v>8</v>
      </c>
      <c r="K34">
        <f t="shared" si="6"/>
        <v>9</v>
      </c>
      <c r="L34">
        <f t="shared" si="6"/>
        <v>10</v>
      </c>
      <c r="M34">
        <f t="shared" si="6"/>
        <v>11</v>
      </c>
    </row>
    <row r="35" spans="1:13" x14ac:dyDescent="0.6">
      <c r="A35">
        <f>A20</f>
        <v>1993</v>
      </c>
      <c r="B35" s="4">
        <f t="shared" ref="B35:M35" si="7">C20/B20</f>
        <v>1.4080823607936732</v>
      </c>
      <c r="C35" s="4">
        <f t="shared" si="7"/>
        <v>1.0038065415056667</v>
      </c>
      <c r="D35" s="4">
        <f t="shared" si="7"/>
        <v>1.0002575770584698</v>
      </c>
      <c r="E35" s="4">
        <f t="shared" si="7"/>
        <v>1.0001144492131615</v>
      </c>
      <c r="F35" s="4">
        <f t="shared" si="7"/>
        <v>1.0001001316015334</v>
      </c>
      <c r="G35" s="4">
        <f t="shared" si="7"/>
        <v>1.001859400700851</v>
      </c>
      <c r="H35" s="4">
        <f t="shared" si="7"/>
        <v>1.0003997430223428</v>
      </c>
      <c r="I35" s="4">
        <f t="shared" si="7"/>
        <v>1.000142708318468</v>
      </c>
      <c r="J35" s="4">
        <f t="shared" si="7"/>
        <v>1.0001426879557096</v>
      </c>
      <c r="K35" s="4">
        <f t="shared" si="7"/>
        <v>1.0001141340790092</v>
      </c>
      <c r="L35" s="4">
        <f t="shared" si="7"/>
        <v>1.0001109510246327</v>
      </c>
      <c r="M35" s="4">
        <f t="shared" si="7"/>
        <v>1.0008558129509857</v>
      </c>
    </row>
    <row r="36" spans="1:13" x14ac:dyDescent="0.6">
      <c r="A36">
        <f t="shared" ref="A36:A45" si="8">A21</f>
        <v>1994</v>
      </c>
      <c r="B36" s="4">
        <f t="shared" ref="B36:K36" si="9">C21/B21</f>
        <v>1.425925925925926</v>
      </c>
      <c r="C36" s="4">
        <f t="shared" si="9"/>
        <v>1.0050726369744776</v>
      </c>
      <c r="D36" s="4">
        <f t="shared" si="9"/>
        <v>1.0001321213402388</v>
      </c>
      <c r="E36" s="4">
        <f t="shared" si="9"/>
        <v>1.0009643583714232</v>
      </c>
      <c r="F36" s="4">
        <f t="shared" si="9"/>
        <v>1.000131976613744</v>
      </c>
      <c r="G36" s="4">
        <f t="shared" si="9"/>
        <v>1.0001583510378591</v>
      </c>
      <c r="H36" s="4">
        <f t="shared" si="9"/>
        <v>1.0001715197973426</v>
      </c>
      <c r="I36" s="4">
        <f t="shared" si="9"/>
        <v>1.0004748964461916</v>
      </c>
      <c r="J36" s="4">
        <f t="shared" si="9"/>
        <v>1.0010020832783946</v>
      </c>
      <c r="K36" s="4">
        <f t="shared" si="9"/>
        <v>1.0002897863484286</v>
      </c>
      <c r="L36" s="4"/>
      <c r="M36" s="4"/>
    </row>
    <row r="37" spans="1:13" x14ac:dyDescent="0.6">
      <c r="A37">
        <f t="shared" si="8"/>
        <v>1995</v>
      </c>
      <c r="B37" s="4">
        <f t="shared" ref="B37:J37" si="10">C22/B22</f>
        <v>1.4163281482215395</v>
      </c>
      <c r="C37" s="4">
        <f t="shared" si="10"/>
        <v>1.0053398624227585</v>
      </c>
      <c r="D37" s="4">
        <f t="shared" si="10"/>
        <v>1.0022382520758917</v>
      </c>
      <c r="E37" s="4">
        <f t="shared" si="10"/>
        <v>1.0008215595746404</v>
      </c>
      <c r="F37" s="4">
        <f t="shared" si="10"/>
        <v>1.0021620496693335</v>
      </c>
      <c r="G37" s="4">
        <f t="shared" si="10"/>
        <v>1.0004730096101708</v>
      </c>
      <c r="H37" s="4">
        <f t="shared" si="10"/>
        <v>1.0006226937269374</v>
      </c>
      <c r="I37" s="4">
        <f t="shared" si="10"/>
        <v>1.0005185885172978</v>
      </c>
      <c r="J37" s="4">
        <f t="shared" si="10"/>
        <v>1.0002188461051154</v>
      </c>
      <c r="K37" s="4"/>
      <c r="L37" s="4"/>
      <c r="M37" s="4"/>
    </row>
    <row r="38" spans="1:13" x14ac:dyDescent="0.6">
      <c r="A38">
        <f t="shared" si="8"/>
        <v>1996</v>
      </c>
      <c r="B38" s="4">
        <f t="shared" ref="B38:I38" si="11">C23/B23</f>
        <v>1.406534812013424</v>
      </c>
      <c r="C38" s="4">
        <f t="shared" si="11"/>
        <v>1.0083812753588082</v>
      </c>
      <c r="D38" s="4">
        <f t="shared" si="11"/>
        <v>1.0031228605402549</v>
      </c>
      <c r="E38" s="4">
        <f t="shared" si="11"/>
        <v>1.001843935965133</v>
      </c>
      <c r="F38" s="4">
        <f t="shared" si="11"/>
        <v>1.0009322226338875</v>
      </c>
      <c r="G38" s="4">
        <f t="shared" si="11"/>
        <v>1.0001194044107988</v>
      </c>
      <c r="H38" s="4">
        <f t="shared" si="11"/>
        <v>1.0004059265272987</v>
      </c>
      <c r="I38" s="4">
        <f t="shared" si="11"/>
        <v>1.0006921819245045</v>
      </c>
      <c r="J38" s="4"/>
      <c r="K38" s="4"/>
      <c r="L38" s="4"/>
      <c r="M38" s="4"/>
    </row>
    <row r="39" spans="1:13" x14ac:dyDescent="0.6">
      <c r="A39">
        <f t="shared" si="8"/>
        <v>1997</v>
      </c>
      <c r="B39" s="4">
        <f t="shared" ref="B39:H39" si="12">C24/B24</f>
        <v>1.5127974079257653</v>
      </c>
      <c r="C39" s="4">
        <f t="shared" si="12"/>
        <v>1.0200745190479812</v>
      </c>
      <c r="D39" s="4">
        <f t="shared" si="12"/>
        <v>1.0040253447633247</v>
      </c>
      <c r="E39" s="4">
        <f t="shared" si="12"/>
        <v>1.0008909347390305</v>
      </c>
      <c r="F39" s="4">
        <f t="shared" si="12"/>
        <v>1.0007170585762677</v>
      </c>
      <c r="G39" s="4">
        <f t="shared" si="12"/>
        <v>1.0002841470646373</v>
      </c>
      <c r="H39" s="4">
        <f t="shared" si="12"/>
        <v>1.0004569762989861</v>
      </c>
      <c r="I39" s="4"/>
      <c r="J39" s="4"/>
      <c r="K39" s="4"/>
      <c r="L39" s="4"/>
      <c r="M39" s="4"/>
    </row>
    <row r="40" spans="1:13" x14ac:dyDescent="0.6">
      <c r="A40">
        <f t="shared" si="8"/>
        <v>1998</v>
      </c>
      <c r="B40" s="4">
        <f t="shared" ref="B40:G40" si="13">C25/B25</f>
        <v>1.4398055429937335</v>
      </c>
      <c r="C40" s="4">
        <f t="shared" si="13"/>
        <v>1.0144480464850192</v>
      </c>
      <c r="D40" s="4">
        <f t="shared" si="13"/>
        <v>1.0241831149444354</v>
      </c>
      <c r="E40" s="4">
        <f t="shared" si="13"/>
        <v>1.0017490445034658</v>
      </c>
      <c r="F40" s="4">
        <f t="shared" si="13"/>
        <v>1.0003556647697878</v>
      </c>
      <c r="G40" s="4">
        <f t="shared" si="13"/>
        <v>1.001357509938912</v>
      </c>
      <c r="H40" s="4"/>
      <c r="I40" s="4"/>
      <c r="J40" s="4"/>
      <c r="K40" s="4"/>
      <c r="L40" s="4"/>
      <c r="M40" s="4"/>
    </row>
    <row r="41" spans="1:13" x14ac:dyDescent="0.6">
      <c r="A41">
        <f t="shared" si="8"/>
        <v>1999</v>
      </c>
      <c r="B41" s="4">
        <f>C26/B26</f>
        <v>1.4273769539276957</v>
      </c>
      <c r="C41" s="4">
        <f>D26/C26</f>
        <v>1.0196683876092136</v>
      </c>
      <c r="D41" s="4">
        <f>E26/D26</f>
        <v>1.0016066055831978</v>
      </c>
      <c r="E41" s="4">
        <f>F26/E26</f>
        <v>1.0003596912488091</v>
      </c>
      <c r="F41" s="4">
        <f>G26/F26</f>
        <v>1.0003984334761862</v>
      </c>
      <c r="G41" s="4"/>
      <c r="H41" s="4"/>
      <c r="I41" s="4"/>
      <c r="J41" s="4"/>
      <c r="K41" s="4"/>
      <c r="L41" s="4"/>
      <c r="M41" s="4"/>
    </row>
    <row r="42" spans="1:13" x14ac:dyDescent="0.6">
      <c r="A42">
        <f t="shared" si="8"/>
        <v>2000</v>
      </c>
      <c r="B42" s="4">
        <f>C27/B27</f>
        <v>1.4383689821953372</v>
      </c>
      <c r="C42" s="4">
        <f>D27/C27</f>
        <v>1.0101335874365505</v>
      </c>
      <c r="D42" s="4">
        <f>E27/D27</f>
        <v>1.0016871054350192</v>
      </c>
      <c r="E42" s="4">
        <f>F27/E27</f>
        <v>1.0010141804154518</v>
      </c>
      <c r="F42" s="4"/>
      <c r="G42" s="4"/>
      <c r="H42" s="4"/>
      <c r="I42" s="4"/>
      <c r="J42" s="4"/>
      <c r="K42" s="4"/>
      <c r="L42" s="4"/>
      <c r="M42" s="4"/>
    </row>
    <row r="43" spans="1:13" x14ac:dyDescent="0.6">
      <c r="A43">
        <f t="shared" si="8"/>
        <v>2001</v>
      </c>
      <c r="B43" s="4">
        <f>C28/B28</f>
        <v>1.3925230198050234</v>
      </c>
      <c r="C43" s="4">
        <f>D28/C28</f>
        <v>1.0134101984603432</v>
      </c>
      <c r="D43" s="4">
        <f>E28/D28</f>
        <v>1.0033190755372807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6">
      <c r="A44">
        <f t="shared" si="8"/>
        <v>2002</v>
      </c>
      <c r="B44" s="4">
        <f>C29/B29</f>
        <v>1.4161726173945592</v>
      </c>
      <c r="C44" s="4">
        <f>D29/C29</f>
        <v>1.0148440564091195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6">
      <c r="A45">
        <f t="shared" si="8"/>
        <v>2003</v>
      </c>
      <c r="B45" s="4">
        <f>C30/B30</f>
        <v>1.3733430355951732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6">
      <c r="A46">
        <v>2004</v>
      </c>
    </row>
    <row r="48" spans="1:13" x14ac:dyDescent="0.6">
      <c r="A48" s="25" t="s">
        <v>0</v>
      </c>
      <c r="B48" s="27">
        <f>SUM(C$20:C30)/SUM(B$20:B30)</f>
        <v>1.4204016765342837</v>
      </c>
      <c r="C48" s="27">
        <f>SUM(D$20:D29)/SUM(C$20:C29)</f>
        <v>1.0119514261753157</v>
      </c>
      <c r="D48" s="27">
        <f>SUM(E$20:E28)/SUM(D$20:D28)</f>
        <v>1.0045765128053876</v>
      </c>
      <c r="E48" s="27">
        <f>SUM(F$20:F27)/SUM(E$20:E27)</f>
        <v>1.0009811013396521</v>
      </c>
      <c r="F48" s="27">
        <f>SUM(G$20:G26)/SUM(F$20:F26)</f>
        <v>1.0006988344319439</v>
      </c>
      <c r="G48" s="27">
        <f>SUM(H$20:H25)/SUM(G$20:G25)</f>
        <v>1.0006981230288743</v>
      </c>
      <c r="H48" s="27">
        <f>SUM(I$20:I24)/SUM(H$20:H24)</f>
        <v>1.000417837114004</v>
      </c>
      <c r="I48" s="27">
        <f>SUM(J$20:J23)/SUM(I$20:I23)</f>
        <v>1.0004708544269796</v>
      </c>
      <c r="J48" s="27">
        <f>SUM(K$20:K22)/SUM(J$20:J22)</f>
        <v>1.000451139449352</v>
      </c>
      <c r="K48" s="27">
        <f>SUM(L$20:L21)/SUM(K$20:K21)</f>
        <v>1.0002054639718925</v>
      </c>
      <c r="L48" s="27">
        <f>SUM(M$20:M20)/SUM(L$20:L20)</f>
        <v>1.0001109510246327</v>
      </c>
      <c r="M48" s="27">
        <f>SUM(N$20:N20)/SUM(M$20:M20)</f>
        <v>1.0008558129509857</v>
      </c>
    </row>
    <row r="49" spans="1:13" x14ac:dyDescent="0.6">
      <c r="A49" s="25" t="s">
        <v>1</v>
      </c>
      <c r="B49" s="24">
        <f>AVERAGE(B35:B45)</f>
        <v>1.4233871642538045</v>
      </c>
      <c r="C49" s="24">
        <f>AVERAGE(C35:C45)</f>
        <v>1.0115179111709938</v>
      </c>
      <c r="D49" s="24">
        <f t="shared" ref="D49:M49" si="14">AVERAGE(D35:D45)</f>
        <v>1.0045080063642349</v>
      </c>
      <c r="E49" s="24">
        <f t="shared" si="14"/>
        <v>1.0009697692538893</v>
      </c>
      <c r="F49" s="24">
        <f t="shared" si="14"/>
        <v>1.0006853624772485</v>
      </c>
      <c r="G49" s="24">
        <f t="shared" si="14"/>
        <v>1.0007086371272049</v>
      </c>
      <c r="H49" s="24">
        <f t="shared" si="14"/>
        <v>1.0004113718745817</v>
      </c>
      <c r="I49" s="24">
        <f t="shared" si="14"/>
        <v>1.0004570938016155</v>
      </c>
      <c r="J49" s="24">
        <f t="shared" si="14"/>
        <v>1.000454539113073</v>
      </c>
      <c r="K49" s="24">
        <f t="shared" si="14"/>
        <v>1.0002019602137189</v>
      </c>
      <c r="L49" s="24">
        <f t="shared" si="14"/>
        <v>1.0001109510246327</v>
      </c>
      <c r="M49" s="24">
        <f t="shared" si="14"/>
        <v>1.0008558129509857</v>
      </c>
    </row>
    <row r="50" spans="1:13" x14ac:dyDescent="0.6">
      <c r="A50" s="25" t="s">
        <v>3</v>
      </c>
      <c r="B50" s="24">
        <f>AVERAGE(B42:B45)</f>
        <v>1.4051019137475231</v>
      </c>
      <c r="C50" s="24">
        <f>AVERAGE(C41:C44)</f>
        <v>1.0145140574788067</v>
      </c>
      <c r="D50" s="24">
        <f>AVERAGE(D40:D43)</f>
        <v>1.0076989753749832</v>
      </c>
      <c r="E50" s="24">
        <f>AVERAGE(E39:E42)</f>
        <v>1.0010034627266893</v>
      </c>
      <c r="F50" s="24">
        <f>AVERAGE(F38:F41)</f>
        <v>1.0006008448640322</v>
      </c>
      <c r="G50" s="24">
        <f>AVERAGE(G37:G40)</f>
        <v>1.0005585177561298</v>
      </c>
      <c r="H50" s="24">
        <f>AVERAGE(H36:H39)</f>
        <v>1.0004142790876411</v>
      </c>
      <c r="I50" s="24">
        <f>AVERAGE(I35:I38)</f>
        <v>1.0004570938016155</v>
      </c>
      <c r="J50" s="24">
        <f>J49</f>
        <v>1.000454539113073</v>
      </c>
      <c r="K50" s="24">
        <f>K49</f>
        <v>1.0002019602137189</v>
      </c>
      <c r="L50" s="24">
        <f>L49</f>
        <v>1.0001109510246327</v>
      </c>
      <c r="M50" s="24">
        <f>M49</f>
        <v>1.0008558129509857</v>
      </c>
    </row>
    <row r="52" spans="1:13" x14ac:dyDescent="0.6">
      <c r="A52" s="13" t="s">
        <v>2</v>
      </c>
      <c r="B52" s="26">
        <f>PRODUCT(B48:$M48)</f>
        <v>1.4510316739836402</v>
      </c>
      <c r="C52" s="26">
        <f>PRODUCT(C48:$M48)</f>
        <v>1.0215643208223271</v>
      </c>
      <c r="D52" s="26">
        <f>PRODUCT(D48:$M48)</f>
        <v>1.0094993637030023</v>
      </c>
      <c r="E52" s="26">
        <f>PRODUCT(E48:$M48)</f>
        <v>1.0049004240442247</v>
      </c>
      <c r="F52" s="26">
        <f>PRODUCT(F48:$M48)</f>
        <v>1.0039154812207012</v>
      </c>
      <c r="G52" s="26">
        <f>PRODUCT(G48:$M48)</f>
        <v>1.0032144004550418</v>
      </c>
      <c r="H52" s="26">
        <f>PRODUCT(H48:$M48)</f>
        <v>1.0025145219804659</v>
      </c>
      <c r="I52" s="26">
        <f>PRODUCT(I48:$M48)</f>
        <v>1.0020958091596113</v>
      </c>
      <c r="J52" s="26">
        <f>PRODUCT(J48:$M48)</f>
        <v>1.0016241899755913</v>
      </c>
      <c r="K52" s="26">
        <f>PRODUCT(K48:$M48)</f>
        <v>1.0011725215555105</v>
      </c>
      <c r="L52" s="26">
        <f>PRODUCT(L48:$M48)</f>
        <v>1.0009668589289422</v>
      </c>
      <c r="M52" s="26">
        <f>PRODUCT(M48:$M48)</f>
        <v>1.0008558129509857</v>
      </c>
    </row>
    <row r="53" spans="1:13" x14ac:dyDescent="0.6">
      <c r="A53" s="13" t="s">
        <v>4</v>
      </c>
      <c r="B53" s="4">
        <f>PRODUCT(B49:$M49)</f>
        <v>1.4533092192140948</v>
      </c>
      <c r="C53" s="4">
        <f>PRODUCT(C49:$M49)</f>
        <v>1.0210217260010046</v>
      </c>
      <c r="D53" s="4">
        <f>PRODUCT(D49:$M49)</f>
        <v>1.0093955971763351</v>
      </c>
      <c r="E53" s="4">
        <f>PRODUCT(E49:$M49)</f>
        <v>1.0048656564020737</v>
      </c>
      <c r="F53" s="4">
        <f>PRODUCT(F49:$M49)</f>
        <v>1.003892112696958</v>
      </c>
      <c r="G53" s="4">
        <f>PRODUCT(G49:$M49)</f>
        <v>1.0032045539386838</v>
      </c>
      <c r="H53" s="4">
        <f>PRODUCT(H49:$M49)</f>
        <v>1.0024941493646384</v>
      </c>
      <c r="I53" s="4">
        <f>PRODUCT(I49:$M49)</f>
        <v>1.002081921046293</v>
      </c>
      <c r="J53" s="4">
        <f>PRODUCT(J49:$M49)</f>
        <v>1.0016240848855429</v>
      </c>
      <c r="K53" s="4">
        <f>PRODUCT(K49:$M49)</f>
        <v>1.001169014409697</v>
      </c>
      <c r="L53" s="4">
        <f>PRODUCT(L49:$M49)</f>
        <v>1.0009668589289422</v>
      </c>
      <c r="M53" s="4">
        <f>PRODUCT(M49:$M49)</f>
        <v>1.0008558129509857</v>
      </c>
    </row>
    <row r="54" spans="1:13" x14ac:dyDescent="0.6">
      <c r="A54" s="13" t="s">
        <v>5</v>
      </c>
      <c r="B54" s="4">
        <f>PRODUCT(B50:$M50)</f>
        <v>1.4431742081895922</v>
      </c>
      <c r="C54" s="4">
        <f>PRODUCT(C50:$M50)</f>
        <v>1.0270957530336902</v>
      </c>
      <c r="D54" s="4">
        <f>PRODUCT(D50:$M50)</f>
        <v>1.012401696617345</v>
      </c>
      <c r="E54" s="4">
        <f>PRODUCT(E50:$M50)</f>
        <v>1.0046667917277692</v>
      </c>
      <c r="F54" s="4">
        <f>PRODUCT(F50:$M50)</f>
        <v>1.0036596566720173</v>
      </c>
      <c r="G54" s="4">
        <f>PRODUCT(G50:$M50)</f>
        <v>1.0030569750402329</v>
      </c>
      <c r="H54" s="4">
        <f>PRODUCT(H50:$M50)</f>
        <v>1.0024970626302854</v>
      </c>
      <c r="I54" s="4">
        <f>PRODUCT(I50:$M50)</f>
        <v>1.002081921046293</v>
      </c>
      <c r="J54" s="4">
        <f>PRODUCT(J50:$M50)</f>
        <v>1.0016240848855429</v>
      </c>
      <c r="K54" s="4">
        <f>PRODUCT(K50:$M50)</f>
        <v>1.001169014409697</v>
      </c>
      <c r="L54" s="4">
        <f>PRODUCT(L50:$M50)</f>
        <v>1.0009668589289422</v>
      </c>
      <c r="M54" s="4">
        <f>PRODUCT(M50:$M50)</f>
        <v>1.0008558129509857</v>
      </c>
    </row>
    <row r="55" spans="1:13" x14ac:dyDescent="0.6">
      <c r="A55" s="29">
        <v>1</v>
      </c>
    </row>
    <row r="56" spans="1:13" x14ac:dyDescent="0.6">
      <c r="A56" s="36" t="s">
        <v>9</v>
      </c>
      <c r="B56" s="35">
        <f>IF($A$55=1,B52,IF($A$55=2,B53,B54))</f>
        <v>1.4510316739836402</v>
      </c>
      <c r="C56" s="35">
        <f t="shared" ref="C56:M56" si="15">IF($A$55=1,C52,IF($A$55=2,C53,C54))</f>
        <v>1.0215643208223271</v>
      </c>
      <c r="D56" s="35">
        <f t="shared" si="15"/>
        <v>1.0094993637030023</v>
      </c>
      <c r="E56" s="35">
        <f t="shared" si="15"/>
        <v>1.0049004240442247</v>
      </c>
      <c r="F56" s="35">
        <f t="shared" si="15"/>
        <v>1.0039154812207012</v>
      </c>
      <c r="G56" s="35">
        <f t="shared" si="15"/>
        <v>1.0032144004550418</v>
      </c>
      <c r="H56" s="35">
        <f t="shared" si="15"/>
        <v>1.0025145219804659</v>
      </c>
      <c r="I56" s="35">
        <f t="shared" si="15"/>
        <v>1.0020958091596113</v>
      </c>
      <c r="J56" s="35">
        <f t="shared" si="15"/>
        <v>1.0016241899755913</v>
      </c>
      <c r="K56" s="35">
        <f t="shared" si="15"/>
        <v>1.0011725215555105</v>
      </c>
      <c r="L56" s="35">
        <f t="shared" si="15"/>
        <v>1.0009668589289422</v>
      </c>
      <c r="M56" s="35">
        <f t="shared" si="15"/>
        <v>1.0008558129509857</v>
      </c>
    </row>
    <row r="57" spans="1:13" x14ac:dyDescent="0.6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9" spans="1:13" x14ac:dyDescent="0.6">
      <c r="B59" s="37" t="s">
        <v>14</v>
      </c>
      <c r="C59" s="38" t="s">
        <v>10</v>
      </c>
      <c r="D59" s="37" t="s">
        <v>15</v>
      </c>
      <c r="E59" s="37" t="s">
        <v>16</v>
      </c>
    </row>
    <row r="60" spans="1:13" x14ac:dyDescent="0.6">
      <c r="A60">
        <f>A35</f>
        <v>1993</v>
      </c>
      <c r="B60" s="1">
        <f>M20</f>
        <v>63097.899999999994</v>
      </c>
      <c r="C60" s="31">
        <f>M56</f>
        <v>1.0008558129509857</v>
      </c>
      <c r="D60" s="30">
        <f>B60*C60</f>
        <v>63151.899999999994</v>
      </c>
      <c r="E60" s="32">
        <f>D60-B60</f>
        <v>54</v>
      </c>
    </row>
    <row r="61" spans="1:13" x14ac:dyDescent="0.6">
      <c r="A61">
        <f t="shared" ref="A61:A71" si="16">A36</f>
        <v>1994</v>
      </c>
      <c r="B61" s="1">
        <f>L21</f>
        <v>68346</v>
      </c>
      <c r="C61" s="31">
        <f>L56</f>
        <v>1.0009668589289422</v>
      </c>
      <c r="D61" s="30">
        <f t="shared" ref="D61:D71" si="17">B61*C61</f>
        <v>68412.080940357482</v>
      </c>
      <c r="E61" s="32">
        <f t="shared" ref="E61:E71" si="18">D61-B61</f>
        <v>66.080940357482177</v>
      </c>
    </row>
    <row r="62" spans="1:13" x14ac:dyDescent="0.6">
      <c r="A62">
        <f t="shared" si="16"/>
        <v>1995</v>
      </c>
      <c r="B62" s="1">
        <f>K22</f>
        <v>78154.2</v>
      </c>
      <c r="C62" s="31">
        <f>K56</f>
        <v>1.0011725215555105</v>
      </c>
      <c r="D62" s="30">
        <f t="shared" si="17"/>
        <v>78245.837484153672</v>
      </c>
      <c r="E62" s="32">
        <f t="shared" si="18"/>
        <v>91.63748415367445</v>
      </c>
    </row>
    <row r="63" spans="1:13" x14ac:dyDescent="0.6">
      <c r="A63">
        <f t="shared" si="16"/>
        <v>1996</v>
      </c>
      <c r="B63" s="1">
        <f>J23</f>
        <v>75465.900000000009</v>
      </c>
      <c r="C63" s="31">
        <f>J56</f>
        <v>1.0016241899755913</v>
      </c>
      <c r="D63" s="30">
        <f t="shared" si="17"/>
        <v>75588.47095827898</v>
      </c>
      <c r="E63" s="32">
        <f t="shared" si="18"/>
        <v>122.57095827897137</v>
      </c>
    </row>
    <row r="64" spans="1:13" x14ac:dyDescent="0.6">
      <c r="A64">
        <f t="shared" si="16"/>
        <v>1997</v>
      </c>
      <c r="B64" s="1">
        <f>I24</f>
        <v>72903.600000000006</v>
      </c>
      <c r="C64" s="31">
        <f>I56</f>
        <v>1.0020958091596113</v>
      </c>
      <c r="D64" s="30">
        <f t="shared" si="17"/>
        <v>73056.39203264864</v>
      </c>
      <c r="E64" s="32">
        <f t="shared" si="18"/>
        <v>152.79203264863463</v>
      </c>
    </row>
    <row r="65" spans="1:7" x14ac:dyDescent="0.6">
      <c r="A65">
        <f t="shared" si="16"/>
        <v>1998</v>
      </c>
      <c r="B65" s="1">
        <f>H25</f>
        <v>83648.7</v>
      </c>
      <c r="C65" s="31">
        <f>H56</f>
        <v>1.0025145219804659</v>
      </c>
      <c r="D65" s="30">
        <f t="shared" si="17"/>
        <v>83859.03649478739</v>
      </c>
      <c r="E65" s="32">
        <f t="shared" si="18"/>
        <v>210.33649478739244</v>
      </c>
    </row>
    <row r="66" spans="1:7" x14ac:dyDescent="0.6">
      <c r="A66">
        <f t="shared" si="16"/>
        <v>1999</v>
      </c>
      <c r="B66" s="1">
        <f>G26</f>
        <v>92649.599999999991</v>
      </c>
      <c r="C66" s="31">
        <f>G56</f>
        <v>1.0032144004550418</v>
      </c>
      <c r="D66" s="30">
        <f t="shared" si="17"/>
        <v>92947.412916399437</v>
      </c>
      <c r="E66" s="32">
        <f t="shared" si="18"/>
        <v>297.81291639944538</v>
      </c>
    </row>
    <row r="67" spans="1:7" x14ac:dyDescent="0.6">
      <c r="A67">
        <f t="shared" si="16"/>
        <v>2000</v>
      </c>
      <c r="B67" s="1">
        <f>F27</f>
        <v>99491.4</v>
      </c>
      <c r="C67" s="31">
        <f>F56</f>
        <v>1.0039154812207012</v>
      </c>
      <c r="D67" s="30">
        <f t="shared" si="17"/>
        <v>99880.956708321261</v>
      </c>
      <c r="E67" s="32">
        <f t="shared" si="18"/>
        <v>389.55670832126634</v>
      </c>
    </row>
    <row r="68" spans="1:7" x14ac:dyDescent="0.6">
      <c r="A68">
        <f t="shared" si="16"/>
        <v>2001</v>
      </c>
      <c r="B68" s="1">
        <f>E28</f>
        <v>103654.8</v>
      </c>
      <c r="C68" s="31">
        <f>E56</f>
        <v>1.0049004240442247</v>
      </c>
      <c r="D68" s="30">
        <f t="shared" si="17"/>
        <v>104162.75247421931</v>
      </c>
      <c r="E68" s="32">
        <f t="shared" si="18"/>
        <v>507.95247421930253</v>
      </c>
    </row>
    <row r="69" spans="1:7" x14ac:dyDescent="0.6">
      <c r="A69">
        <f t="shared" si="16"/>
        <v>2002</v>
      </c>
      <c r="B69" s="1">
        <f>D29</f>
        <v>107124.3</v>
      </c>
      <c r="C69" s="31">
        <f>D56</f>
        <v>1.0094993637030023</v>
      </c>
      <c r="D69" s="30">
        <f t="shared" si="17"/>
        <v>108141.91268712953</v>
      </c>
      <c r="E69" s="32">
        <f t="shared" si="18"/>
        <v>1017.6126871295273</v>
      </c>
    </row>
    <row r="70" spans="1:7" x14ac:dyDescent="0.6">
      <c r="A70">
        <f t="shared" si="16"/>
        <v>2003</v>
      </c>
      <c r="B70" s="1">
        <f>C30</f>
        <v>101915.1</v>
      </c>
      <c r="C70" s="31">
        <f>C56</f>
        <v>1.0215643208223271</v>
      </c>
      <c r="D70" s="30">
        <f t="shared" si="17"/>
        <v>104112.82991303955</v>
      </c>
      <c r="E70" s="32">
        <f t="shared" si="18"/>
        <v>2197.7299130395404</v>
      </c>
    </row>
    <row r="71" spans="1:7" x14ac:dyDescent="0.6">
      <c r="A71">
        <f t="shared" si="16"/>
        <v>2004</v>
      </c>
      <c r="B71" s="1">
        <f>B31</f>
        <v>72417.600000000006</v>
      </c>
      <c r="C71" s="31">
        <f>B56</f>
        <v>1.4510316739836402</v>
      </c>
      <c r="D71" s="30">
        <f t="shared" si="17"/>
        <v>105080.23135387767</v>
      </c>
      <c r="E71" s="32">
        <f t="shared" si="18"/>
        <v>32662.631353877659</v>
      </c>
    </row>
    <row r="72" spans="1:7" x14ac:dyDescent="0.6">
      <c r="B72" s="32">
        <f>SUM(B60:B71)</f>
        <v>1018869.1000000001</v>
      </c>
      <c r="D72" s="32">
        <f>SUM(D60:D71)</f>
        <v>1056639.813963213</v>
      </c>
      <c r="E72" s="32">
        <f>SUM(E60:E71)</f>
        <v>37770.713963212896</v>
      </c>
      <c r="G72" s="3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5"/>
  <sheetViews>
    <sheetView workbookViewId="0">
      <selection activeCell="P1" sqref="P1"/>
    </sheetView>
  </sheetViews>
  <sheetFormatPr defaultRowHeight="13" x14ac:dyDescent="0.6"/>
  <sheetData>
    <row r="1" spans="1:27" x14ac:dyDescent="0.6">
      <c r="B1" s="13" t="s">
        <v>17</v>
      </c>
      <c r="P1" s="13" t="s">
        <v>18</v>
      </c>
    </row>
    <row r="2" spans="1:27" x14ac:dyDescent="0.6">
      <c r="B2">
        <f>MTPL!B34</f>
        <v>0</v>
      </c>
      <c r="C2">
        <f>MTPL!C34</f>
        <v>1</v>
      </c>
      <c r="D2">
        <f>MTPL!D34</f>
        <v>2</v>
      </c>
      <c r="E2">
        <f>MTPL!E34</f>
        <v>3</v>
      </c>
      <c r="F2">
        <f>MTPL!F34</f>
        <v>4</v>
      </c>
      <c r="G2">
        <f>MTPL!G34</f>
        <v>5</v>
      </c>
      <c r="H2">
        <f>MTPL!H34</f>
        <v>6</v>
      </c>
      <c r="I2">
        <f>MTPL!I34</f>
        <v>7</v>
      </c>
      <c r="J2">
        <f>MTPL!J34</f>
        <v>8</v>
      </c>
      <c r="K2">
        <f>MTPL!K34</f>
        <v>9</v>
      </c>
      <c r="L2">
        <f>MTPL!L34</f>
        <v>10</v>
      </c>
      <c r="M2">
        <f>MTPL!M34</f>
        <v>11</v>
      </c>
      <c r="P2">
        <f>MTPL!P34</f>
        <v>0</v>
      </c>
      <c r="Q2">
        <f>C2</f>
        <v>1</v>
      </c>
      <c r="R2">
        <f t="shared" ref="R2:AA2" si="0">D2</f>
        <v>2</v>
      </c>
      <c r="S2">
        <f t="shared" si="0"/>
        <v>3</v>
      </c>
      <c r="T2">
        <f t="shared" si="0"/>
        <v>4</v>
      </c>
      <c r="U2">
        <f t="shared" si="0"/>
        <v>5</v>
      </c>
      <c r="V2">
        <f t="shared" si="0"/>
        <v>6</v>
      </c>
      <c r="W2">
        <f t="shared" si="0"/>
        <v>7</v>
      </c>
      <c r="X2">
        <f t="shared" si="0"/>
        <v>8</v>
      </c>
      <c r="Y2">
        <f t="shared" si="0"/>
        <v>9</v>
      </c>
      <c r="Z2">
        <f t="shared" si="0"/>
        <v>10</v>
      </c>
      <c r="AA2">
        <f t="shared" si="0"/>
        <v>11</v>
      </c>
    </row>
    <row r="3" spans="1:27" x14ac:dyDescent="0.6">
      <c r="A3" s="13" t="s">
        <v>6</v>
      </c>
      <c r="B3" s="4">
        <f>MTPL!B48</f>
        <v>2.0171433188244361</v>
      </c>
      <c r="C3" s="4">
        <f>MTPL!C48</f>
        <v>1.188719647365996</v>
      </c>
      <c r="D3" s="4">
        <f>MTPL!D48</f>
        <v>1.0679386190747573</v>
      </c>
      <c r="E3" s="4">
        <f>MTPL!E48</f>
        <v>1.0330080258939325</v>
      </c>
      <c r="F3" s="4">
        <f>MTPL!F48</f>
        <v>1.0225796785638588</v>
      </c>
      <c r="G3" s="4">
        <f>MTPL!G48</f>
        <v>1.0145918797043163</v>
      </c>
      <c r="H3" s="4">
        <f>MTPL!H48</f>
        <v>1.0113450250708893</v>
      </c>
      <c r="I3" s="4">
        <f>MTPL!I48</f>
        <v>1.0087400099976809</v>
      </c>
      <c r="J3" s="4">
        <f>MTPL!J48</f>
        <v>1.0066166186595176</v>
      </c>
      <c r="K3" s="4">
        <f>MTPL!K48</f>
        <v>1.0040863784742426</v>
      </c>
      <c r="L3" s="4">
        <f>MTPL!L48</f>
        <v>1.0085498376415254</v>
      </c>
      <c r="M3" s="4">
        <f>MTPL!M48</f>
        <v>1.0124522638391824</v>
      </c>
      <c r="O3" s="13" t="s">
        <v>6</v>
      </c>
      <c r="P3" s="4">
        <f>MTPL_AMASES!B48</f>
        <v>1.943282050394638</v>
      </c>
      <c r="Q3" s="4">
        <f>MTPL_AMASES!C48</f>
        <v>1.239959050464944</v>
      </c>
      <c r="R3" s="4">
        <f>MTPL_AMASES!D48</f>
        <v>1.0970093045153433</v>
      </c>
      <c r="S3" s="4">
        <f>MTPL_AMASES!E48</f>
        <v>1.0564975823956091</v>
      </c>
      <c r="T3" s="4">
        <f>MTPL_AMASES!F48</f>
        <v>1.0393893818961082</v>
      </c>
      <c r="U3" s="4">
        <f>MTPL_AMASES!G48</f>
        <v>1.0324008836416083</v>
      </c>
      <c r="V3" s="4">
        <f>MTPL_AMASES!H48</f>
        <v>1.02344312167777</v>
      </c>
      <c r="W3" s="4">
        <f>MTPL_AMASES!I48</f>
        <v>1.0207340829749072</v>
      </c>
      <c r="X3" s="4">
        <f>MTPL_AMASES!J48</f>
        <v>1.0183293138325229</v>
      </c>
      <c r="Y3" s="4">
        <f>MTPL_AMASES!K48</f>
        <v>1.0122589061954763</v>
      </c>
      <c r="Z3" s="4">
        <f>MTPL_AMASES!L48</f>
        <v>1.0129781513233427</v>
      </c>
      <c r="AA3" s="4">
        <f>MTPL_AMASES!M48</f>
        <v>1.0316422971076309</v>
      </c>
    </row>
    <row r="4" spans="1:27" x14ac:dyDescent="0.6">
      <c r="A4" s="13" t="s">
        <v>7</v>
      </c>
      <c r="B4" s="4">
        <f>GTPL!B48</f>
        <v>2.8126756206904791</v>
      </c>
      <c r="C4" s="4">
        <f>GTPL!C48</f>
        <v>1.3360300553275966</v>
      </c>
      <c r="D4" s="4">
        <f>GTPL!D48</f>
        <v>1.12242407507172</v>
      </c>
      <c r="E4" s="4">
        <f>GTPL!E48</f>
        <v>1.1719085634373956</v>
      </c>
      <c r="F4" s="4">
        <f>GTPL!F48</f>
        <v>1.1939170066976386</v>
      </c>
      <c r="G4" s="4">
        <f>GTPL!G48</f>
        <v>1.2061333978474451</v>
      </c>
      <c r="H4" s="4">
        <f>GTPL!H48</f>
        <v>1.1608197606942818</v>
      </c>
      <c r="I4" s="4">
        <f>GTPL!I48</f>
        <v>1.0583204371192001</v>
      </c>
      <c r="J4" s="4">
        <f>GTPL!J48</f>
        <v>1.0791855124899921</v>
      </c>
      <c r="K4" s="4">
        <f>GTPL!K48</f>
        <v>1.0266615338528635</v>
      </c>
      <c r="L4" s="4">
        <f>GTPL!L48</f>
        <v>1.0469043426971991</v>
      </c>
      <c r="M4" s="4">
        <f>GTPL!M48</f>
        <v>1.3565969349415981</v>
      </c>
      <c r="O4" s="13" t="s">
        <v>7</v>
      </c>
      <c r="P4" s="4">
        <f>GTPL_AMASES!B48</f>
        <v>2.631788314511478</v>
      </c>
      <c r="Q4" s="4">
        <f>GTPL_AMASES!C48</f>
        <v>1.4546224066390043</v>
      </c>
      <c r="R4" s="4">
        <f>GTPL_AMASES!D48</f>
        <v>1.228559335736501</v>
      </c>
      <c r="S4" s="4">
        <f>GTPL_AMASES!E48</f>
        <v>1.1525488203349219</v>
      </c>
      <c r="T4" s="4">
        <f>GTPL_AMASES!F48</f>
        <v>1.1450698628578972</v>
      </c>
      <c r="U4" s="4">
        <f>GTPL_AMASES!G48</f>
        <v>1.1098345526570423</v>
      </c>
      <c r="V4" s="4">
        <f>GTPL_AMASES!H48</f>
        <v>1.0817693553089058</v>
      </c>
      <c r="W4" s="4">
        <f>GTPL_AMASES!I48</f>
        <v>1.0585639240736329</v>
      </c>
      <c r="X4" s="4">
        <f>GTPL_AMASES!J48</f>
        <v>1.0555088766889364</v>
      </c>
      <c r="Y4" s="4">
        <f>GTPL_AMASES!K48</f>
        <v>1.0421418106649005</v>
      </c>
      <c r="Z4" s="4">
        <f>GTPL_AMASES!L48</f>
        <v>1.0275336756013314</v>
      </c>
      <c r="AA4" s="4">
        <f>GTPL_AMASES!M48</f>
        <v>1.1413531965184933</v>
      </c>
    </row>
    <row r="5" spans="1:27" x14ac:dyDescent="0.6">
      <c r="A5" s="13" t="s">
        <v>8</v>
      </c>
      <c r="B5" s="4">
        <f>MOD!B48</f>
        <v>1.3722567734448228</v>
      </c>
      <c r="C5" s="4">
        <f>MOD!C48</f>
        <v>1.0117804867446238</v>
      </c>
      <c r="D5" s="4">
        <f>MOD!D48</f>
        <v>1.0033916585068186</v>
      </c>
      <c r="E5" s="4">
        <f>MOD!E48</f>
        <v>1.0019581564103528</v>
      </c>
      <c r="F5" s="4">
        <f>MOD!F48</f>
        <v>1.0013105259282893</v>
      </c>
      <c r="G5" s="4">
        <f>MOD!G48</f>
        <v>1.0020838426524175</v>
      </c>
      <c r="H5" s="4">
        <f>MOD!H48</f>
        <v>1.000875931121904</v>
      </c>
      <c r="I5" s="4">
        <f>MOD!I48</f>
        <v>1.0002505166906746</v>
      </c>
      <c r="J5" s="4">
        <f>MOD!J48</f>
        <v>1.000724939093232</v>
      </c>
      <c r="K5" s="4">
        <f>MOD!K48</f>
        <v>1.0006544740573755</v>
      </c>
      <c r="L5" s="4">
        <f>MOD!L48</f>
        <v>1.0001969667126256</v>
      </c>
      <c r="M5" s="4">
        <f>MOD!M48</f>
        <v>1.0064001575423396</v>
      </c>
      <c r="O5" s="13" t="s">
        <v>8</v>
      </c>
      <c r="P5" s="4">
        <f>MOD_AMASES!B48</f>
        <v>1.4204016765342837</v>
      </c>
      <c r="Q5" s="4">
        <f>MOD_AMASES!C48</f>
        <v>1.0119514261753157</v>
      </c>
      <c r="R5" s="4">
        <f>MOD_AMASES!D48</f>
        <v>1.0045765128053876</v>
      </c>
      <c r="S5" s="4">
        <f>MOD_AMASES!E48</f>
        <v>1.0009811013396521</v>
      </c>
      <c r="T5" s="4">
        <f>MOD_AMASES!F48</f>
        <v>1.0006988344319439</v>
      </c>
      <c r="U5" s="4">
        <f>MOD_AMASES!G48</f>
        <v>1.0006981230288743</v>
      </c>
      <c r="V5" s="4">
        <f>MOD_AMASES!H48</f>
        <v>1.000417837114004</v>
      </c>
      <c r="W5" s="4">
        <f>MOD_AMASES!I48</f>
        <v>1.0004708544269796</v>
      </c>
      <c r="X5" s="4">
        <f>MOD_AMASES!J48</f>
        <v>1.000451139449352</v>
      </c>
      <c r="Y5" s="4">
        <f>MOD_AMASES!K48</f>
        <v>1.0002054639718925</v>
      </c>
      <c r="Z5" s="4">
        <f>MOD_AMASES!L48</f>
        <v>1.0001109510246327</v>
      </c>
      <c r="AA5" s="4">
        <f>MOD_AMASES!M48</f>
        <v>1.0008558129509857</v>
      </c>
    </row>
    <row r="31" spans="2:27" x14ac:dyDescent="0.6">
      <c r="B31" s="13" t="s">
        <v>19</v>
      </c>
      <c r="P31" s="13" t="s">
        <v>20</v>
      </c>
    </row>
    <row r="32" spans="2:27" x14ac:dyDescent="0.6">
      <c r="B32">
        <f>B2</f>
        <v>0</v>
      </c>
      <c r="C32">
        <f t="shared" ref="C32:M32" si="1">C2</f>
        <v>1</v>
      </c>
      <c r="D32">
        <f t="shared" si="1"/>
        <v>2</v>
      </c>
      <c r="E32">
        <f t="shared" si="1"/>
        <v>3</v>
      </c>
      <c r="F32">
        <f t="shared" si="1"/>
        <v>4</v>
      </c>
      <c r="G32">
        <f t="shared" si="1"/>
        <v>5</v>
      </c>
      <c r="H32">
        <f t="shared" si="1"/>
        <v>6</v>
      </c>
      <c r="I32">
        <f t="shared" si="1"/>
        <v>7</v>
      </c>
      <c r="J32">
        <f t="shared" si="1"/>
        <v>8</v>
      </c>
      <c r="K32">
        <f t="shared" si="1"/>
        <v>9</v>
      </c>
      <c r="L32">
        <f t="shared" si="1"/>
        <v>10</v>
      </c>
      <c r="M32">
        <f t="shared" si="1"/>
        <v>11</v>
      </c>
      <c r="P32">
        <f>P2</f>
        <v>0</v>
      </c>
      <c r="Q32">
        <f t="shared" ref="Q32:AA32" si="2">Q2</f>
        <v>1</v>
      </c>
      <c r="R32">
        <f t="shared" si="2"/>
        <v>2</v>
      </c>
      <c r="S32">
        <f t="shared" si="2"/>
        <v>3</v>
      </c>
      <c r="T32">
        <f t="shared" si="2"/>
        <v>4</v>
      </c>
      <c r="U32">
        <f t="shared" si="2"/>
        <v>5</v>
      </c>
      <c r="V32">
        <f t="shared" si="2"/>
        <v>6</v>
      </c>
      <c r="W32">
        <f t="shared" si="2"/>
        <v>7</v>
      </c>
      <c r="X32">
        <f t="shared" si="2"/>
        <v>8</v>
      </c>
      <c r="Y32">
        <f t="shared" si="2"/>
        <v>9</v>
      </c>
      <c r="Z32">
        <f t="shared" si="2"/>
        <v>10</v>
      </c>
      <c r="AA32">
        <f t="shared" si="2"/>
        <v>11</v>
      </c>
    </row>
    <row r="33" spans="1:27" x14ac:dyDescent="0.6">
      <c r="A33" s="13" t="s">
        <v>6</v>
      </c>
      <c r="B33" s="28">
        <f>1/MTPL!B52</f>
        <v>0.34606652745620692</v>
      </c>
      <c r="C33" s="28">
        <f>1/MTPL!C52</f>
        <v>0.69806578372706107</v>
      </c>
      <c r="D33" s="28">
        <f>1/MTPL!D52</f>
        <v>0.82980451227029972</v>
      </c>
      <c r="E33" s="28">
        <f>1/MTPL!E52</f>
        <v>0.88618028493594625</v>
      </c>
      <c r="F33" s="28">
        <f>1/MTPL!F52</f>
        <v>0.91543134672780457</v>
      </c>
      <c r="G33" s="28">
        <f>1/MTPL!G52</f>
        <v>0.93610149228419848</v>
      </c>
      <c r="H33" s="28">
        <f>1/MTPL!H52</f>
        <v>0.94976097265064063</v>
      </c>
      <c r="I33" s="28">
        <f>1/MTPL!I52</f>
        <v>0.96053603469671445</v>
      </c>
      <c r="J33" s="28">
        <f>1/MTPL!J52</f>
        <v>0.96893112924309643</v>
      </c>
      <c r="K33" s="28">
        <f>1/MTPL!K52</f>
        <v>0.97534217703263359</v>
      </c>
      <c r="L33" s="28">
        <f>1/MTPL!L52</f>
        <v>0.97932779430988082</v>
      </c>
      <c r="M33" s="28">
        <f>1/MTPL!M52</f>
        <v>0.98770088794906352</v>
      </c>
      <c r="O33" s="13" t="s">
        <v>6</v>
      </c>
      <c r="P33" s="28">
        <f>1/MTPL_AMASES!B52</f>
        <v>0.29652817010148608</v>
      </c>
      <c r="Q33" s="28">
        <f>1/MTPL_AMASES!C52</f>
        <v>0.57623787039458596</v>
      </c>
      <c r="R33" s="28">
        <f>1/MTPL_AMASES!D52</f>
        <v>0.71451136261641235</v>
      </c>
      <c r="S33" s="28">
        <f>1/MTPL_AMASES!E52</f>
        <v>0.78382561297214048</v>
      </c>
      <c r="T33" s="28">
        <f>1/MTPL_AMASES!F52</f>
        <v>0.82810986512482276</v>
      </c>
      <c r="U33" s="28">
        <f>1/MTPL_AMASES!G52</f>
        <v>0.86072860085415936</v>
      </c>
      <c r="V33" s="28">
        <f>1/MTPL_AMASES!H52</f>
        <v>0.88861696809743929</v>
      </c>
      <c r="W33" s="28">
        <f>1/MTPL_AMASES!I52</f>
        <v>0.90944892380547848</v>
      </c>
      <c r="X33" s="28">
        <f>1/MTPL_AMASES!J52</f>
        <v>0.92830551325310118</v>
      </c>
      <c r="Y33" s="28">
        <f>1/MTPL_AMASES!K52</f>
        <v>0.94532071633797865</v>
      </c>
      <c r="Z33" s="28">
        <f>1/MTPL_AMASES!L52</f>
        <v>0.95690931432420645</v>
      </c>
      <c r="AA33" s="28">
        <f>1/MTPL_AMASES!M52</f>
        <v>0.96932822820822195</v>
      </c>
    </row>
    <row r="34" spans="1:27" x14ac:dyDescent="0.6">
      <c r="A34" s="13" t="s">
        <v>7</v>
      </c>
      <c r="B34" s="28">
        <f>1/GTPL!B52</f>
        <v>7.2674279504779463E-2</v>
      </c>
      <c r="C34" s="28">
        <f>1/GTPL!C52</f>
        <v>0.20440917421433893</v>
      </c>
      <c r="D34" s="28">
        <f>1/GTPL!D52</f>
        <v>0.27309680033505151</v>
      </c>
      <c r="E34" s="28">
        <f>1/GTPL!E52</f>
        <v>0.30653042352111637</v>
      </c>
      <c r="F34" s="28">
        <f>1/GTPL!F52</f>
        <v>0.35922562827848797</v>
      </c>
      <c r="G34" s="28">
        <f>1/GTPL!G52</f>
        <v>0.42888558684333089</v>
      </c>
      <c r="H34" s="28">
        <f>1/GTPL!H52</f>
        <v>0.51729323014714224</v>
      </c>
      <c r="I34" s="28">
        <f>1/GTPL!I52</f>
        <v>0.60048420362817778</v>
      </c>
      <c r="J34" s="28">
        <f>1/GTPL!J52</f>
        <v>0.63550470486694788</v>
      </c>
      <c r="K34" s="28">
        <f>1/GTPL!K52</f>
        <v>0.68582747061163829</v>
      </c>
      <c r="L34" s="28">
        <f>1/GTPL!L52</f>
        <v>0.70411268293657414</v>
      </c>
      <c r="M34" s="28">
        <f>1/GTPL!M52</f>
        <v>0.73713862551447551</v>
      </c>
      <c r="O34" s="13" t="s">
        <v>7</v>
      </c>
      <c r="P34" s="28">
        <f>1/GTPL_AMASES!B52</f>
        <v>9.8264462345335701E-2</v>
      </c>
      <c r="Q34" s="28">
        <f>1/GTPL_AMASES!C52</f>
        <v>0.25861126373220766</v>
      </c>
      <c r="R34" s="28">
        <f>1/GTPL_AMASES!D52</f>
        <v>0.37618173883409811</v>
      </c>
      <c r="S34" s="28">
        <f>1/GTPL_AMASES!E52</f>
        <v>0.46216158717822159</v>
      </c>
      <c r="T34" s="28">
        <f>1/GTPL_AMASES!F52</f>
        <v>0.53266379210637438</v>
      </c>
      <c r="U34" s="28">
        <f>1/GTPL_AMASES!G52</f>
        <v>0.60993725537661359</v>
      </c>
      <c r="V34" s="28">
        <f>1/GTPL_AMASES!H52</f>
        <v>0.67692944096976815</v>
      </c>
      <c r="W34" s="28">
        <f>1/GTPL_AMASES!I52</f>
        <v>0.732281524947484</v>
      </c>
      <c r="X34" s="28">
        <f>1/GTPL_AMASES!J52</f>
        <v>0.77516680457503273</v>
      </c>
      <c r="Y34" s="28">
        <f>1/GTPL_AMASES!K52</f>
        <v>0.81819544314354498</v>
      </c>
      <c r="Z34" s="28">
        <f>1/GTPL_AMASES!L52</f>
        <v>0.85267568059538457</v>
      </c>
      <c r="AA34" s="28">
        <f>1/GTPL_AMASES!M52</f>
        <v>0.87615297617804233</v>
      </c>
    </row>
    <row r="35" spans="1:27" x14ac:dyDescent="0.6">
      <c r="A35" s="13" t="s">
        <v>8</v>
      </c>
      <c r="B35" s="28">
        <f>1/MOD!B52</f>
        <v>0.70752417129428624</v>
      </c>
      <c r="C35" s="28">
        <f>1/MOD!C52</f>
        <v>0.97090483643451908</v>
      </c>
      <c r="D35" s="28">
        <f>1/MOD!D52</f>
        <v>0.98234256799042752</v>
      </c>
      <c r="E35" s="28">
        <f>1/MOD!E52</f>
        <v>0.98567433851776221</v>
      </c>
      <c r="F35" s="28">
        <f>1/MOD!F52</f>
        <v>0.98760444304225081</v>
      </c>
      <c r="G35" s="28">
        <f>1/MOD!G52</f>
        <v>0.98889872427175163</v>
      </c>
      <c r="H35" s="28">
        <f>1/MOD!H52</f>
        <v>0.9909594336123102</v>
      </c>
      <c r="I35" s="28">
        <f>1/MOD!I52</f>
        <v>0.99182744582075533</v>
      </c>
      <c r="J35" s="28">
        <f>1/MOD!J52</f>
        <v>0.99207591515020266</v>
      </c>
      <c r="K35" s="28">
        <f>1/MOD!K52</f>
        <v>0.99279510976454899</v>
      </c>
      <c r="L35" s="28">
        <f>1/MOD!L52</f>
        <v>0.99344486840817925</v>
      </c>
      <c r="M35" s="28">
        <f>1/MOD!M52</f>
        <v>0.99364054397808421</v>
      </c>
      <c r="O35" s="13" t="s">
        <v>8</v>
      </c>
      <c r="P35" s="28">
        <f>1/MOD_AMASES!B52</f>
        <v>0.68916483211880231</v>
      </c>
      <c r="Q35" s="28">
        <f>1/MOD_AMASES!C52</f>
        <v>0.97889088295001492</v>
      </c>
      <c r="R35" s="28">
        <f>1/MOD_AMASES!D52</f>
        <v>0.99059002507128169</v>
      </c>
      <c r="S35" s="28">
        <f>1/MOD_AMASES!E52</f>
        <v>0.99512347300590942</v>
      </c>
      <c r="T35" s="28">
        <f>1/MOD_AMASES!F52</f>
        <v>0.99609978997839521</v>
      </c>
      <c r="U35" s="28">
        <f>1/MOD_AMASES!G52</f>
        <v>0.99679589880928354</v>
      </c>
      <c r="V35" s="28">
        <f>1/MOD_AMASES!H52</f>
        <v>0.99749178498133029</v>
      </c>
      <c r="W35" s="28">
        <f>1/MOD_AMASES!I52</f>
        <v>0.99790857407000944</v>
      </c>
      <c r="X35" s="28">
        <f>1/MOD_AMASES!J52</f>
        <v>0.99837844373983131</v>
      </c>
      <c r="Y35" s="28">
        <f>1/MOD_AMASES!K52</f>
        <v>0.99882885164118496</v>
      </c>
      <c r="Z35" s="28">
        <f>1/MOD_AMASES!L52</f>
        <v>0.99903407498428387</v>
      </c>
      <c r="AA35" s="28">
        <f>1/MOD_AMASES!M52</f>
        <v>0.99914491883854639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MTPL</vt:lpstr>
      <vt:lpstr>GTPL</vt:lpstr>
      <vt:lpstr>MOD</vt:lpstr>
      <vt:lpstr>MTPL_AMASES</vt:lpstr>
      <vt:lpstr>GTPL_AMASES</vt:lpstr>
      <vt:lpstr>MOD_AMASES</vt:lpstr>
      <vt:lpstr>Cfr</vt:lpstr>
    </vt:vector>
  </TitlesOfParts>
  <Company>Clemente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Paolo</dc:creator>
  <cp:lastModifiedBy>Clemente Gian Paolo (gianpaolo.clemente)</cp:lastModifiedBy>
  <dcterms:created xsi:type="dcterms:W3CDTF">2009-08-26T12:26:08Z</dcterms:created>
  <dcterms:modified xsi:type="dcterms:W3CDTF">2021-09-13T08:31:36Z</dcterms:modified>
</cp:coreProperties>
</file>