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unicattolica-my.sharepoint.com/personal/gianpaolo_clemente_unicatt_it/Documents/Unicatt/Lezioni/TAAd/2022-23/"/>
    </mc:Choice>
  </mc:AlternateContent>
  <xr:revisionPtr revIDLastSave="32" documentId="13_ncr:1_{39ACDFBE-AB8F-4025-A5A8-3B8B41D816C1}" xr6:coauthVersionLast="47" xr6:coauthVersionMax="47" xr10:uidLastSave="{00BF2092-D533-458F-8C9B-A0C171858770}"/>
  <bookViews>
    <workbookView xWindow="-90" yWindow="-90" windowWidth="19380" windowHeight="11580" xr2:uid="{00000000-000D-0000-FFFF-FFFF00000000}"/>
  </bookViews>
  <sheets>
    <sheet name="Data" sheetId="1" r:id="rId1"/>
    <sheet name="Simulation" sheetId="2" r:id="rId2"/>
    <sheet name="Results" sheetId="3" r:id="rId3"/>
    <sheet name="References" sheetId="4" r:id="rId4"/>
  </sheets>
  <definedNames>
    <definedName name="_histbins" localSheetId="2">Results!$C$23:INDEX(Results!$C$23:$C$500,COUNT(Results!$C$23:$C$500))</definedName>
    <definedName name="_histpdf" localSheetId="2">Results!$E$23:INDEX(Results!$E$23:$E$500,COUNT(Results!$E$23:$E$500))</definedName>
    <definedName name="anchorCell">Simulation!$B$3</definedName>
    <definedName name="Buckets">Results!$C$23</definedName>
    <definedName name="claimReserve">Data!$T$176:$T$187</definedName>
    <definedName name="LatestYear">2020</definedName>
    <definedName name="nCol">Data!$S$103</definedName>
    <definedName name="nSim">Results!$C$2</definedName>
    <definedName name="Phi">Data!$S$101</definedName>
    <definedName name="Psi">Data!$R$101</definedName>
    <definedName name="resample">Data!$C$120:$N$131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4" i="1" l="1"/>
  <c r="L54" i="1"/>
  <c r="K54" i="1"/>
  <c r="J54" i="1"/>
  <c r="I54" i="1"/>
  <c r="H54" i="1"/>
  <c r="G54" i="1"/>
  <c r="F54" i="1"/>
  <c r="E54" i="1"/>
  <c r="D54" i="1"/>
  <c r="C54" i="1"/>
  <c r="R101" i="1"/>
  <c r="C39" i="1" l="1"/>
  <c r="H7" i="3"/>
  <c r="H8" i="3"/>
  <c r="H9" i="3"/>
  <c r="H10" i="3"/>
  <c r="H11" i="3"/>
  <c r="H12" i="3"/>
  <c r="H13" i="3"/>
  <c r="H14" i="3"/>
  <c r="H15" i="3"/>
  <c r="H16" i="3"/>
  <c r="H17" i="3"/>
  <c r="H18" i="3"/>
  <c r="C7" i="3"/>
  <c r="C8" i="3"/>
  <c r="C9" i="3"/>
  <c r="C10" i="3"/>
  <c r="C11" i="3"/>
  <c r="C12" i="3"/>
  <c r="C13" i="3"/>
  <c r="C14" i="3"/>
  <c r="C15" i="3"/>
  <c r="C16" i="3"/>
  <c r="C17" i="3"/>
  <c r="C18" i="3"/>
  <c r="N121" i="1"/>
  <c r="M122" i="1"/>
  <c r="N122" i="1"/>
  <c r="L123" i="1"/>
  <c r="M123" i="1"/>
  <c r="N123" i="1"/>
  <c r="K124" i="1"/>
  <c r="L124" i="1"/>
  <c r="M124" i="1"/>
  <c r="N124" i="1"/>
  <c r="J125" i="1"/>
  <c r="K125" i="1"/>
  <c r="L125" i="1"/>
  <c r="M125" i="1"/>
  <c r="N125" i="1"/>
  <c r="I126" i="1"/>
  <c r="J126" i="1"/>
  <c r="K126" i="1"/>
  <c r="L126" i="1"/>
  <c r="M126" i="1"/>
  <c r="N126" i="1"/>
  <c r="H127" i="1"/>
  <c r="I127" i="1"/>
  <c r="J127" i="1"/>
  <c r="K127" i="1"/>
  <c r="L127" i="1"/>
  <c r="M127" i="1"/>
  <c r="N127" i="1"/>
  <c r="G128" i="1"/>
  <c r="H128" i="1"/>
  <c r="I128" i="1"/>
  <c r="J128" i="1"/>
  <c r="K128" i="1"/>
  <c r="L128" i="1"/>
  <c r="M128" i="1"/>
  <c r="N128" i="1"/>
  <c r="F129" i="1"/>
  <c r="G129" i="1"/>
  <c r="H129" i="1"/>
  <c r="I129" i="1"/>
  <c r="J129" i="1"/>
  <c r="K129" i="1"/>
  <c r="L129" i="1"/>
  <c r="M129" i="1"/>
  <c r="N129" i="1"/>
  <c r="E130" i="1"/>
  <c r="F130" i="1"/>
  <c r="G130" i="1"/>
  <c r="H130" i="1"/>
  <c r="I130" i="1"/>
  <c r="J130" i="1"/>
  <c r="K130" i="1"/>
  <c r="L130" i="1"/>
  <c r="M130" i="1"/>
  <c r="N130" i="1"/>
  <c r="D131" i="1"/>
  <c r="E131" i="1"/>
  <c r="F131" i="1"/>
  <c r="G131" i="1"/>
  <c r="H131" i="1"/>
  <c r="I131" i="1"/>
  <c r="J131" i="1"/>
  <c r="K131" i="1"/>
  <c r="L131" i="1"/>
  <c r="M131" i="1"/>
  <c r="N131" i="1"/>
  <c r="H6" i="3" l="1"/>
  <c r="C6" i="3"/>
  <c r="S103" i="1"/>
  <c r="R103" i="1" s="1"/>
  <c r="M176" i="1"/>
  <c r="M177" i="1"/>
  <c r="M178" i="1"/>
  <c r="M179" i="1"/>
  <c r="M180" i="1"/>
  <c r="M181" i="1"/>
  <c r="M182" i="1"/>
  <c r="M183" i="1"/>
  <c r="M184" i="1"/>
  <c r="M185" i="1"/>
  <c r="M186" i="1"/>
  <c r="L177" i="1"/>
  <c r="L178" i="1"/>
  <c r="L179" i="1"/>
  <c r="L180" i="1"/>
  <c r="L181" i="1"/>
  <c r="L182" i="1"/>
  <c r="L183" i="1"/>
  <c r="L184" i="1"/>
  <c r="L185" i="1"/>
  <c r="L186" i="1"/>
  <c r="K178" i="1"/>
  <c r="K179" i="1"/>
  <c r="K180" i="1"/>
  <c r="K181" i="1"/>
  <c r="K182" i="1"/>
  <c r="K183" i="1"/>
  <c r="K184" i="1"/>
  <c r="K185" i="1"/>
  <c r="K186" i="1"/>
  <c r="J179" i="1"/>
  <c r="J180" i="1"/>
  <c r="J181" i="1"/>
  <c r="J182" i="1"/>
  <c r="J183" i="1"/>
  <c r="J184" i="1"/>
  <c r="J185" i="1"/>
  <c r="J186" i="1"/>
  <c r="I180" i="1"/>
  <c r="I181" i="1"/>
  <c r="I182" i="1"/>
  <c r="I183" i="1"/>
  <c r="I184" i="1"/>
  <c r="I185" i="1"/>
  <c r="I186" i="1"/>
  <c r="H181" i="1"/>
  <c r="H182" i="1"/>
  <c r="H183" i="1"/>
  <c r="H184" i="1"/>
  <c r="H185" i="1"/>
  <c r="H186" i="1"/>
  <c r="G182" i="1"/>
  <c r="G183" i="1"/>
  <c r="G184" i="1"/>
  <c r="G185" i="1"/>
  <c r="G186" i="1"/>
  <c r="F183" i="1"/>
  <c r="F184" i="1"/>
  <c r="F185" i="1"/>
  <c r="F186" i="1"/>
  <c r="E184" i="1"/>
  <c r="E185" i="1"/>
  <c r="E186" i="1"/>
  <c r="D185" i="1"/>
  <c r="D186" i="1"/>
  <c r="C186" i="1"/>
  <c r="N102" i="1"/>
  <c r="M103" i="1"/>
  <c r="N103" i="1"/>
  <c r="L104" i="1"/>
  <c r="M104" i="1"/>
  <c r="N104" i="1"/>
  <c r="K105" i="1"/>
  <c r="L105" i="1"/>
  <c r="M105" i="1"/>
  <c r="N105" i="1"/>
  <c r="J106" i="1"/>
  <c r="K106" i="1"/>
  <c r="L106" i="1"/>
  <c r="M106" i="1"/>
  <c r="N106" i="1"/>
  <c r="I107" i="1"/>
  <c r="J107" i="1"/>
  <c r="K107" i="1"/>
  <c r="L107" i="1"/>
  <c r="M107" i="1"/>
  <c r="N107" i="1"/>
  <c r="H108" i="1"/>
  <c r="I108" i="1"/>
  <c r="J108" i="1"/>
  <c r="K108" i="1"/>
  <c r="L108" i="1"/>
  <c r="M108" i="1"/>
  <c r="N108" i="1"/>
  <c r="G109" i="1"/>
  <c r="H109" i="1"/>
  <c r="I109" i="1"/>
  <c r="J109" i="1"/>
  <c r="K109" i="1"/>
  <c r="L109" i="1"/>
  <c r="M109" i="1"/>
  <c r="N109" i="1"/>
  <c r="F110" i="1"/>
  <c r="G110" i="1"/>
  <c r="H110" i="1"/>
  <c r="I110" i="1"/>
  <c r="J110" i="1"/>
  <c r="K110" i="1"/>
  <c r="L110" i="1"/>
  <c r="M110" i="1"/>
  <c r="N110" i="1"/>
  <c r="E111" i="1"/>
  <c r="F111" i="1"/>
  <c r="G111" i="1"/>
  <c r="H111" i="1"/>
  <c r="I111" i="1"/>
  <c r="J111" i="1"/>
  <c r="K111" i="1"/>
  <c r="L111" i="1"/>
  <c r="M111" i="1"/>
  <c r="N111" i="1"/>
  <c r="D112" i="1"/>
  <c r="E112" i="1"/>
  <c r="F112" i="1"/>
  <c r="G112" i="1"/>
  <c r="H112" i="1"/>
  <c r="I112" i="1"/>
  <c r="J112" i="1"/>
  <c r="K112" i="1"/>
  <c r="L112" i="1"/>
  <c r="M112" i="1"/>
  <c r="N112" i="1"/>
  <c r="N62" i="1"/>
  <c r="M62" i="1"/>
  <c r="M63" i="1"/>
  <c r="L63" i="1" s="1"/>
  <c r="K63" i="1" s="1"/>
  <c r="L64" i="1"/>
  <c r="K65" i="1"/>
  <c r="J65" i="1" s="1"/>
  <c r="I65" i="1" s="1"/>
  <c r="J66" i="1"/>
  <c r="I67" i="1"/>
  <c r="H68" i="1"/>
  <c r="G68" i="1" s="1"/>
  <c r="F68" i="1" s="1"/>
  <c r="G69" i="1"/>
  <c r="F69" i="1" s="1"/>
  <c r="F70" i="1"/>
  <c r="E70" i="1" s="1"/>
  <c r="D70" i="1" s="1"/>
  <c r="C70" i="1" s="1"/>
  <c r="D89" i="1" s="1"/>
  <c r="E71" i="1"/>
  <c r="D72" i="1"/>
  <c r="C73" i="1"/>
  <c r="C92" i="1" s="1"/>
  <c r="N191" i="1"/>
  <c r="R175" i="1" s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58" i="1"/>
  <c r="M159" i="1"/>
  <c r="N159" i="1"/>
  <c r="L160" i="1"/>
  <c r="M160" i="1"/>
  <c r="N160" i="1"/>
  <c r="K161" i="1"/>
  <c r="L161" i="1"/>
  <c r="M161" i="1"/>
  <c r="N161" i="1"/>
  <c r="J162" i="1"/>
  <c r="K162" i="1"/>
  <c r="L162" i="1"/>
  <c r="M162" i="1"/>
  <c r="N162" i="1"/>
  <c r="I163" i="1"/>
  <c r="J163" i="1"/>
  <c r="K163" i="1"/>
  <c r="L163" i="1"/>
  <c r="M163" i="1"/>
  <c r="N163" i="1"/>
  <c r="H164" i="1"/>
  <c r="I164" i="1"/>
  <c r="J164" i="1"/>
  <c r="K164" i="1"/>
  <c r="L164" i="1"/>
  <c r="M164" i="1"/>
  <c r="N164" i="1"/>
  <c r="G165" i="1"/>
  <c r="H165" i="1"/>
  <c r="I165" i="1"/>
  <c r="J165" i="1"/>
  <c r="K165" i="1"/>
  <c r="L165" i="1"/>
  <c r="M165" i="1"/>
  <c r="N165" i="1"/>
  <c r="F166" i="1"/>
  <c r="G166" i="1"/>
  <c r="H166" i="1"/>
  <c r="I166" i="1"/>
  <c r="J166" i="1"/>
  <c r="K166" i="1"/>
  <c r="L166" i="1"/>
  <c r="M166" i="1"/>
  <c r="N166" i="1"/>
  <c r="E167" i="1"/>
  <c r="F167" i="1"/>
  <c r="G167" i="1"/>
  <c r="H167" i="1"/>
  <c r="I167" i="1"/>
  <c r="J167" i="1"/>
  <c r="K167" i="1"/>
  <c r="L167" i="1"/>
  <c r="M167" i="1"/>
  <c r="N167" i="1"/>
  <c r="D168" i="1"/>
  <c r="E168" i="1"/>
  <c r="F168" i="1"/>
  <c r="G168" i="1"/>
  <c r="H168" i="1"/>
  <c r="I168" i="1"/>
  <c r="J168" i="1"/>
  <c r="K168" i="1"/>
  <c r="L168" i="1"/>
  <c r="M168" i="1"/>
  <c r="N168" i="1"/>
  <c r="N140" i="1"/>
  <c r="M141" i="1"/>
  <c r="N141" i="1"/>
  <c r="L142" i="1"/>
  <c r="M142" i="1"/>
  <c r="N142" i="1"/>
  <c r="K143" i="1"/>
  <c r="L143" i="1"/>
  <c r="M143" i="1"/>
  <c r="N143" i="1"/>
  <c r="J144" i="1"/>
  <c r="K144" i="1"/>
  <c r="L144" i="1"/>
  <c r="M144" i="1"/>
  <c r="N144" i="1"/>
  <c r="I145" i="1"/>
  <c r="J145" i="1"/>
  <c r="K145" i="1"/>
  <c r="L145" i="1"/>
  <c r="M145" i="1"/>
  <c r="N145" i="1"/>
  <c r="H146" i="1"/>
  <c r="I146" i="1"/>
  <c r="J146" i="1"/>
  <c r="K146" i="1"/>
  <c r="L146" i="1"/>
  <c r="M146" i="1"/>
  <c r="N146" i="1"/>
  <c r="G147" i="1"/>
  <c r="H147" i="1"/>
  <c r="I147" i="1"/>
  <c r="J147" i="1"/>
  <c r="K147" i="1"/>
  <c r="L147" i="1"/>
  <c r="M147" i="1"/>
  <c r="N147" i="1"/>
  <c r="F148" i="1"/>
  <c r="G148" i="1"/>
  <c r="H148" i="1"/>
  <c r="I148" i="1"/>
  <c r="J148" i="1"/>
  <c r="K148" i="1"/>
  <c r="L148" i="1"/>
  <c r="M148" i="1"/>
  <c r="N148" i="1"/>
  <c r="E149" i="1"/>
  <c r="F149" i="1"/>
  <c r="G149" i="1"/>
  <c r="H149" i="1"/>
  <c r="I149" i="1"/>
  <c r="J149" i="1"/>
  <c r="K149" i="1"/>
  <c r="L149" i="1"/>
  <c r="M149" i="1"/>
  <c r="N149" i="1"/>
  <c r="D150" i="1"/>
  <c r="E150" i="1"/>
  <c r="F150" i="1"/>
  <c r="G150" i="1"/>
  <c r="H150" i="1"/>
  <c r="I150" i="1"/>
  <c r="J150" i="1"/>
  <c r="K150" i="1"/>
  <c r="L150" i="1"/>
  <c r="M150" i="1"/>
  <c r="N150" i="1"/>
  <c r="N82" i="1"/>
  <c r="M83" i="1"/>
  <c r="N83" i="1"/>
  <c r="L84" i="1"/>
  <c r="M84" i="1"/>
  <c r="N84" i="1"/>
  <c r="K85" i="1"/>
  <c r="L85" i="1"/>
  <c r="M85" i="1"/>
  <c r="N85" i="1"/>
  <c r="J86" i="1"/>
  <c r="K86" i="1"/>
  <c r="L86" i="1"/>
  <c r="M86" i="1"/>
  <c r="N86" i="1"/>
  <c r="I87" i="1"/>
  <c r="J87" i="1"/>
  <c r="K87" i="1"/>
  <c r="L87" i="1"/>
  <c r="M87" i="1"/>
  <c r="N87" i="1"/>
  <c r="H88" i="1"/>
  <c r="I88" i="1"/>
  <c r="J88" i="1"/>
  <c r="K88" i="1"/>
  <c r="L88" i="1"/>
  <c r="M88" i="1"/>
  <c r="N88" i="1"/>
  <c r="G89" i="1"/>
  <c r="H89" i="1"/>
  <c r="I89" i="1"/>
  <c r="J89" i="1"/>
  <c r="K89" i="1"/>
  <c r="L89" i="1"/>
  <c r="M89" i="1"/>
  <c r="N89" i="1"/>
  <c r="F90" i="1"/>
  <c r="G90" i="1"/>
  <c r="H90" i="1"/>
  <c r="I90" i="1"/>
  <c r="J90" i="1"/>
  <c r="K90" i="1"/>
  <c r="L90" i="1"/>
  <c r="M90" i="1"/>
  <c r="N90" i="1"/>
  <c r="E91" i="1"/>
  <c r="F91" i="1"/>
  <c r="G91" i="1"/>
  <c r="H91" i="1"/>
  <c r="I91" i="1"/>
  <c r="J91" i="1"/>
  <c r="K91" i="1"/>
  <c r="L91" i="1"/>
  <c r="M91" i="1"/>
  <c r="N91" i="1"/>
  <c r="D92" i="1"/>
  <c r="E92" i="1"/>
  <c r="F92" i="1"/>
  <c r="G92" i="1"/>
  <c r="H92" i="1"/>
  <c r="I92" i="1"/>
  <c r="J92" i="1"/>
  <c r="K92" i="1"/>
  <c r="L92" i="1"/>
  <c r="M92" i="1"/>
  <c r="N92" i="1"/>
  <c r="N63" i="1"/>
  <c r="M64" i="1"/>
  <c r="N64" i="1"/>
  <c r="L65" i="1"/>
  <c r="M65" i="1"/>
  <c r="N65" i="1"/>
  <c r="K66" i="1"/>
  <c r="L66" i="1"/>
  <c r="M66" i="1"/>
  <c r="N66" i="1"/>
  <c r="J67" i="1"/>
  <c r="K67" i="1"/>
  <c r="L67" i="1"/>
  <c r="M67" i="1"/>
  <c r="N67" i="1"/>
  <c r="I68" i="1"/>
  <c r="J68" i="1"/>
  <c r="K68" i="1"/>
  <c r="L68" i="1"/>
  <c r="M68" i="1"/>
  <c r="N68" i="1"/>
  <c r="H69" i="1"/>
  <c r="I69" i="1"/>
  <c r="J69" i="1"/>
  <c r="K69" i="1"/>
  <c r="L69" i="1"/>
  <c r="M69" i="1"/>
  <c r="N69" i="1"/>
  <c r="G70" i="1"/>
  <c r="H70" i="1"/>
  <c r="I70" i="1"/>
  <c r="J70" i="1"/>
  <c r="K70" i="1"/>
  <c r="L70" i="1"/>
  <c r="M70" i="1"/>
  <c r="N70" i="1"/>
  <c r="F71" i="1"/>
  <c r="G71" i="1"/>
  <c r="H71" i="1"/>
  <c r="I71" i="1"/>
  <c r="J71" i="1"/>
  <c r="K71" i="1"/>
  <c r="L71" i="1"/>
  <c r="M71" i="1"/>
  <c r="N71" i="1"/>
  <c r="E72" i="1"/>
  <c r="F72" i="1"/>
  <c r="G72" i="1"/>
  <c r="H72" i="1"/>
  <c r="I72" i="1"/>
  <c r="J72" i="1"/>
  <c r="K72" i="1"/>
  <c r="L72" i="1"/>
  <c r="M72" i="1"/>
  <c r="N72" i="1"/>
  <c r="D73" i="1"/>
  <c r="E73" i="1"/>
  <c r="F73" i="1"/>
  <c r="G73" i="1"/>
  <c r="H73" i="1"/>
  <c r="I73" i="1"/>
  <c r="J73" i="1"/>
  <c r="K73" i="1"/>
  <c r="L73" i="1"/>
  <c r="M73" i="1"/>
  <c r="N73" i="1"/>
  <c r="D55" i="1"/>
  <c r="E55" i="1"/>
  <c r="F55" i="1"/>
  <c r="G55" i="1"/>
  <c r="H55" i="1"/>
  <c r="I55" i="1"/>
  <c r="J55" i="1"/>
  <c r="K55" i="1"/>
  <c r="L55" i="1"/>
  <c r="M55" i="1"/>
  <c r="N55" i="1"/>
  <c r="C55" i="1"/>
  <c r="D39" i="1"/>
  <c r="E39" i="1"/>
  <c r="F39" i="1"/>
  <c r="G39" i="1"/>
  <c r="H39" i="1"/>
  <c r="I39" i="1"/>
  <c r="J39" i="1"/>
  <c r="K39" i="1"/>
  <c r="L39" i="1"/>
  <c r="M39" i="1"/>
  <c r="N39" i="1"/>
  <c r="D40" i="1"/>
  <c r="E40" i="1"/>
  <c r="F40" i="1"/>
  <c r="G40" i="1"/>
  <c r="H40" i="1"/>
  <c r="I40" i="1"/>
  <c r="J40" i="1"/>
  <c r="K40" i="1"/>
  <c r="L40" i="1"/>
  <c r="M40" i="1"/>
  <c r="N40" i="1"/>
  <c r="D41" i="1"/>
  <c r="E41" i="1"/>
  <c r="F41" i="1"/>
  <c r="G41" i="1"/>
  <c r="H41" i="1"/>
  <c r="I41" i="1"/>
  <c r="J41" i="1"/>
  <c r="K41" i="1"/>
  <c r="L41" i="1"/>
  <c r="M41" i="1"/>
  <c r="N41" i="1"/>
  <c r="D42" i="1"/>
  <c r="E42" i="1"/>
  <c r="F42" i="1"/>
  <c r="G42" i="1"/>
  <c r="H42" i="1"/>
  <c r="I42" i="1"/>
  <c r="J42" i="1"/>
  <c r="K42" i="1"/>
  <c r="L42" i="1"/>
  <c r="M42" i="1"/>
  <c r="N42" i="1"/>
  <c r="D43" i="1"/>
  <c r="E43" i="1"/>
  <c r="F43" i="1"/>
  <c r="G43" i="1"/>
  <c r="H43" i="1"/>
  <c r="I43" i="1"/>
  <c r="J43" i="1"/>
  <c r="K43" i="1"/>
  <c r="L43" i="1"/>
  <c r="M43" i="1"/>
  <c r="N43" i="1"/>
  <c r="D44" i="1"/>
  <c r="E44" i="1"/>
  <c r="F44" i="1"/>
  <c r="G44" i="1"/>
  <c r="H44" i="1"/>
  <c r="I44" i="1"/>
  <c r="J44" i="1"/>
  <c r="K44" i="1"/>
  <c r="L44" i="1"/>
  <c r="M44" i="1"/>
  <c r="N44" i="1"/>
  <c r="D45" i="1"/>
  <c r="E45" i="1"/>
  <c r="F45" i="1"/>
  <c r="G45" i="1"/>
  <c r="H45" i="1"/>
  <c r="I45" i="1"/>
  <c r="J45" i="1"/>
  <c r="K45" i="1"/>
  <c r="L45" i="1"/>
  <c r="M45" i="1"/>
  <c r="N45" i="1"/>
  <c r="D46" i="1"/>
  <c r="E46" i="1"/>
  <c r="F46" i="1"/>
  <c r="G46" i="1"/>
  <c r="H46" i="1"/>
  <c r="I46" i="1"/>
  <c r="J46" i="1"/>
  <c r="K46" i="1"/>
  <c r="L46" i="1"/>
  <c r="M46" i="1"/>
  <c r="N46" i="1"/>
  <c r="D47" i="1"/>
  <c r="E47" i="1"/>
  <c r="F47" i="1"/>
  <c r="G47" i="1"/>
  <c r="H47" i="1"/>
  <c r="I47" i="1"/>
  <c r="J47" i="1"/>
  <c r="K47" i="1"/>
  <c r="L47" i="1"/>
  <c r="M47" i="1"/>
  <c r="N47" i="1"/>
  <c r="D48" i="1"/>
  <c r="E48" i="1"/>
  <c r="F48" i="1"/>
  <c r="G48" i="1"/>
  <c r="H48" i="1"/>
  <c r="I48" i="1"/>
  <c r="J48" i="1"/>
  <c r="K48" i="1"/>
  <c r="L48" i="1"/>
  <c r="M48" i="1"/>
  <c r="N48" i="1"/>
  <c r="D49" i="1"/>
  <c r="E49" i="1"/>
  <c r="F49" i="1"/>
  <c r="G49" i="1"/>
  <c r="H49" i="1"/>
  <c r="I49" i="1"/>
  <c r="J49" i="1"/>
  <c r="K49" i="1"/>
  <c r="L49" i="1"/>
  <c r="M49" i="1"/>
  <c r="N49" i="1"/>
  <c r="D50" i="1"/>
  <c r="E50" i="1"/>
  <c r="F50" i="1"/>
  <c r="G50" i="1"/>
  <c r="H50" i="1"/>
  <c r="I50" i="1"/>
  <c r="J50" i="1"/>
  <c r="K50" i="1"/>
  <c r="L50" i="1"/>
  <c r="M50" i="1"/>
  <c r="N50" i="1"/>
  <c r="C40" i="1"/>
  <c r="C41" i="1"/>
  <c r="C42" i="1"/>
  <c r="C43" i="1"/>
  <c r="C44" i="1"/>
  <c r="C45" i="1"/>
  <c r="C46" i="1"/>
  <c r="C47" i="1"/>
  <c r="C48" i="1"/>
  <c r="C49" i="1"/>
  <c r="C50" i="1"/>
  <c r="L62" i="1" l="1"/>
  <c r="N81" i="1"/>
  <c r="N101" i="1" s="1"/>
  <c r="M82" i="1"/>
  <c r="M102" i="1" s="1"/>
  <c r="E89" i="1"/>
  <c r="E109" i="1" s="1"/>
  <c r="K84" i="1"/>
  <c r="K104" i="1" s="1"/>
  <c r="D71" i="1"/>
  <c r="F89" i="1"/>
  <c r="F109" i="1" s="1"/>
  <c r="H87" i="1"/>
  <c r="H107" i="1" s="1"/>
  <c r="J84" i="1"/>
  <c r="J104" i="1" s="1"/>
  <c r="C89" i="1"/>
  <c r="C109" i="1" s="1"/>
  <c r="D109" i="1"/>
  <c r="L82" i="1"/>
  <c r="J63" i="1"/>
  <c r="E69" i="1"/>
  <c r="G88" i="1"/>
  <c r="K62" i="1"/>
  <c r="M81" i="1"/>
  <c r="C72" i="1"/>
  <c r="C91" i="1" s="1"/>
  <c r="K64" i="1"/>
  <c r="G87" i="1"/>
  <c r="G107" i="1" s="1"/>
  <c r="C112" i="1"/>
  <c r="E68" i="1"/>
  <c r="F87" i="1" s="1"/>
  <c r="F107" i="1" s="1"/>
  <c r="H67" i="1"/>
  <c r="I66" i="1"/>
  <c r="J85" i="1" s="1"/>
  <c r="J105" i="1" s="1"/>
  <c r="H65" i="1"/>
  <c r="I84" i="1" s="1"/>
  <c r="I104" i="1" s="1"/>
  <c r="E7" i="3" l="1"/>
  <c r="E11" i="3"/>
  <c r="E15" i="3"/>
  <c r="E8" i="3"/>
  <c r="E12" i="3"/>
  <c r="E16" i="3"/>
  <c r="E9" i="3"/>
  <c r="E13" i="3"/>
  <c r="E17" i="3"/>
  <c r="E10" i="3"/>
  <c r="E14" i="3"/>
  <c r="E18" i="3"/>
  <c r="C71" i="1"/>
  <c r="C90" i="1" s="1"/>
  <c r="C110" i="1" s="1"/>
  <c r="E90" i="1"/>
  <c r="E110" i="1" s="1"/>
  <c r="D68" i="1"/>
  <c r="J64" i="1"/>
  <c r="K83" i="1" s="1"/>
  <c r="J62" i="1"/>
  <c r="K81" i="1"/>
  <c r="I63" i="1"/>
  <c r="J82" i="1" s="1"/>
  <c r="J102" i="1" s="1"/>
  <c r="G65" i="1"/>
  <c r="C111" i="1"/>
  <c r="G108" i="1"/>
  <c r="L102" i="1"/>
  <c r="G67" i="1"/>
  <c r="D69" i="1"/>
  <c r="E88" i="1" s="1"/>
  <c r="E108" i="1" s="1"/>
  <c r="E6" i="3"/>
  <c r="H66" i="1"/>
  <c r="I85" i="1" s="1"/>
  <c r="I105" i="1" s="1"/>
  <c r="D91" i="1"/>
  <c r="F88" i="1"/>
  <c r="I86" i="1"/>
  <c r="I106" i="1" s="1"/>
  <c r="M101" i="1"/>
  <c r="L81" i="1"/>
  <c r="K82" i="1"/>
  <c r="L83" i="1"/>
  <c r="D90" i="1" l="1"/>
  <c r="D110" i="1" s="1"/>
  <c r="K103" i="1"/>
  <c r="K101" i="1"/>
  <c r="F108" i="1"/>
  <c r="I62" i="1"/>
  <c r="H63" i="1"/>
  <c r="I82" i="1" s="1"/>
  <c r="I102" i="1" s="1"/>
  <c r="D111" i="1"/>
  <c r="L103" i="1"/>
  <c r="G66" i="1"/>
  <c r="H85" i="1" s="1"/>
  <c r="C69" i="1"/>
  <c r="C88" i="1" s="1"/>
  <c r="D88" i="1"/>
  <c r="D108" i="1" s="1"/>
  <c r="I64" i="1"/>
  <c r="J83" i="1" s="1"/>
  <c r="K102" i="1"/>
  <c r="F67" i="1"/>
  <c r="G86" i="1" s="1"/>
  <c r="F65" i="1"/>
  <c r="G84" i="1" s="1"/>
  <c r="C68" i="1"/>
  <c r="C87" i="1" s="1"/>
  <c r="L101" i="1"/>
  <c r="H86" i="1"/>
  <c r="H106" i="1" s="1"/>
  <c r="H84" i="1"/>
  <c r="H104" i="1" s="1"/>
  <c r="E87" i="1"/>
  <c r="E107" i="1" s="1"/>
  <c r="C107" i="1" l="1"/>
  <c r="E67" i="1"/>
  <c r="F86" i="1"/>
  <c r="F106" i="1" s="1"/>
  <c r="C108" i="1"/>
  <c r="G106" i="1"/>
  <c r="F66" i="1"/>
  <c r="G85" i="1"/>
  <c r="G63" i="1"/>
  <c r="H62" i="1"/>
  <c r="G104" i="1"/>
  <c r="J103" i="1"/>
  <c r="J81" i="1"/>
  <c r="H105" i="1"/>
  <c r="D87" i="1"/>
  <c r="E65" i="1"/>
  <c r="F84" i="1" s="1"/>
  <c r="H64" i="1"/>
  <c r="I83" i="1" s="1"/>
  <c r="D107" i="1" l="1"/>
  <c r="G62" i="1"/>
  <c r="I81" i="1"/>
  <c r="F63" i="1"/>
  <c r="J101" i="1"/>
  <c r="H82" i="1"/>
  <c r="H102" i="1" s="1"/>
  <c r="D67" i="1"/>
  <c r="E86" i="1" s="1"/>
  <c r="E106" i="1" s="1"/>
  <c r="I103" i="1"/>
  <c r="G105" i="1"/>
  <c r="G64" i="1"/>
  <c r="H83" i="1" s="1"/>
  <c r="E66" i="1"/>
  <c r="F85" i="1"/>
  <c r="F105" i="1" s="1"/>
  <c r="F104" i="1"/>
  <c r="D65" i="1"/>
  <c r="E84" i="1" s="1"/>
  <c r="E63" i="1" l="1"/>
  <c r="F82" i="1" s="1"/>
  <c r="I101" i="1"/>
  <c r="F62" i="1"/>
  <c r="G81" i="1" s="1"/>
  <c r="D66" i="1"/>
  <c r="E85" i="1" s="1"/>
  <c r="E105" i="1" s="1"/>
  <c r="C67" i="1"/>
  <c r="C86" i="1" s="1"/>
  <c r="H81" i="1"/>
  <c r="H103" i="1"/>
  <c r="F64" i="1"/>
  <c r="G83" i="1" s="1"/>
  <c r="E104" i="1"/>
  <c r="C65" i="1"/>
  <c r="C84" i="1" s="1"/>
  <c r="G82" i="1"/>
  <c r="D84" i="1" l="1"/>
  <c r="D104" i="1" s="1"/>
  <c r="G103" i="1"/>
  <c r="F102" i="1"/>
  <c r="G101" i="1"/>
  <c r="H101" i="1"/>
  <c r="C106" i="1"/>
  <c r="C66" i="1"/>
  <c r="C85" i="1" s="1"/>
  <c r="G102" i="1"/>
  <c r="E64" i="1"/>
  <c r="E62" i="1"/>
  <c r="F81" i="1" s="1"/>
  <c r="F101" i="1" s="1"/>
  <c r="C104" i="1"/>
  <c r="D86" i="1"/>
  <c r="D63" i="1"/>
  <c r="D85" i="1" l="1"/>
  <c r="D105" i="1" s="1"/>
  <c r="C63" i="1"/>
  <c r="C82" i="1" s="1"/>
  <c r="D64" i="1"/>
  <c r="D106" i="1"/>
  <c r="F83" i="1"/>
  <c r="F103" i="1" s="1"/>
  <c r="C105" i="1"/>
  <c r="E82" i="1"/>
  <c r="D62" i="1"/>
  <c r="E81" i="1" s="1"/>
  <c r="E101" i="1" s="1"/>
  <c r="D82" i="1" l="1"/>
  <c r="E102" i="1"/>
  <c r="C64" i="1"/>
  <c r="C83" i="1" s="1"/>
  <c r="C102" i="1"/>
  <c r="C62" i="1"/>
  <c r="C81" i="1" s="1"/>
  <c r="D81" i="1"/>
  <c r="E83" i="1"/>
  <c r="E103" i="1" s="1"/>
  <c r="C103" i="1" l="1"/>
  <c r="D83" i="1"/>
  <c r="D101" i="1"/>
  <c r="D102" i="1"/>
  <c r="C101" i="1"/>
  <c r="J120" i="1" l="1"/>
  <c r="J139" i="1" s="1"/>
  <c r="D103" i="1"/>
  <c r="D120" i="1" s="1"/>
  <c r="D139" i="1" s="1"/>
  <c r="S105" i="1" l="1"/>
  <c r="D125" i="1"/>
  <c r="D144" i="1" s="1"/>
  <c r="G124" i="1"/>
  <c r="G143" i="1" s="1"/>
  <c r="I120" i="1"/>
  <c r="I139" i="1" s="1"/>
  <c r="C120" i="1"/>
  <c r="C139" i="1" s="1"/>
  <c r="C157" i="1" s="1"/>
  <c r="D124" i="1"/>
  <c r="D143" i="1" s="1"/>
  <c r="D129" i="1"/>
  <c r="D148" i="1" s="1"/>
  <c r="E126" i="1"/>
  <c r="E145" i="1" s="1"/>
  <c r="C127" i="1"/>
  <c r="C146" i="1" s="1"/>
  <c r="D130" i="1"/>
  <c r="D149" i="1" s="1"/>
  <c r="N120" i="1"/>
  <c r="N139" i="1" s="1"/>
  <c r="E127" i="1"/>
  <c r="E146" i="1" s="1"/>
  <c r="E125" i="1"/>
  <c r="E144" i="1" s="1"/>
  <c r="D123" i="1"/>
  <c r="D142" i="1" s="1"/>
  <c r="F128" i="1"/>
  <c r="F147" i="1" s="1"/>
  <c r="M120" i="1"/>
  <c r="M139" i="1" s="1"/>
  <c r="F120" i="1"/>
  <c r="F139" i="1" s="1"/>
  <c r="I125" i="1"/>
  <c r="I144" i="1" s="1"/>
  <c r="G127" i="1"/>
  <c r="G146" i="1" s="1"/>
  <c r="H126" i="1"/>
  <c r="H145" i="1" s="1"/>
  <c r="G123" i="1"/>
  <c r="G142" i="1" s="1"/>
  <c r="H125" i="1"/>
  <c r="H144" i="1" s="1"/>
  <c r="H124" i="1"/>
  <c r="H143" i="1" s="1"/>
  <c r="E122" i="1"/>
  <c r="E141" i="1" s="1"/>
  <c r="D127" i="1"/>
  <c r="D146" i="1" s="1"/>
  <c r="D164" i="1" s="1"/>
  <c r="J122" i="1"/>
  <c r="J141" i="1" s="1"/>
  <c r="G125" i="1"/>
  <c r="G144" i="1" s="1"/>
  <c r="K123" i="1"/>
  <c r="K142" i="1" s="1"/>
  <c r="F125" i="1"/>
  <c r="F144" i="1" s="1"/>
  <c r="H121" i="1"/>
  <c r="H140" i="1" s="1"/>
  <c r="I123" i="1"/>
  <c r="I142" i="1" s="1"/>
  <c r="E124" i="1"/>
  <c r="E143" i="1" s="1"/>
  <c r="C129" i="1"/>
  <c r="C148" i="1" s="1"/>
  <c r="D166" i="1" s="1"/>
  <c r="M121" i="1"/>
  <c r="M140" i="1" s="1"/>
  <c r="I122" i="1"/>
  <c r="I141" i="1" s="1"/>
  <c r="J124" i="1"/>
  <c r="J143" i="1" s="1"/>
  <c r="I124" i="1"/>
  <c r="I143" i="1" s="1"/>
  <c r="F122" i="1"/>
  <c r="F141" i="1" s="1"/>
  <c r="C122" i="1"/>
  <c r="C141" i="1" s="1"/>
  <c r="C159" i="1" s="1"/>
  <c r="S101" i="1"/>
  <c r="C126" i="1"/>
  <c r="C145" i="1" s="1"/>
  <c r="C163" i="1" s="1"/>
  <c r="F124" i="1"/>
  <c r="F143" i="1" s="1"/>
  <c r="G126" i="1"/>
  <c r="G145" i="1" s="1"/>
  <c r="F123" i="1"/>
  <c r="F142" i="1" s="1"/>
  <c r="E128" i="1"/>
  <c r="E147" i="1" s="1"/>
  <c r="G122" i="1"/>
  <c r="G141" i="1" s="1"/>
  <c r="K120" i="1"/>
  <c r="K139" i="1" s="1"/>
  <c r="L122" i="1"/>
  <c r="L141" i="1" s="1"/>
  <c r="H123" i="1"/>
  <c r="H142" i="1" s="1"/>
  <c r="C121" i="1"/>
  <c r="C140" i="1" s="1"/>
  <c r="E121" i="1"/>
  <c r="E140" i="1" s="1"/>
  <c r="L121" i="1"/>
  <c r="L140" i="1" s="1"/>
  <c r="E123" i="1"/>
  <c r="E142" i="1" s="1"/>
  <c r="E120" i="1"/>
  <c r="E139" i="1" s="1"/>
  <c r="I121" i="1"/>
  <c r="I140" i="1" s="1"/>
  <c r="J123" i="1"/>
  <c r="J142" i="1" s="1"/>
  <c r="J121" i="1"/>
  <c r="J140" i="1" s="1"/>
  <c r="C124" i="1"/>
  <c r="C143" i="1" s="1"/>
  <c r="C131" i="1"/>
  <c r="C150" i="1" s="1"/>
  <c r="C168" i="1" s="1"/>
  <c r="Q186" i="1" s="1"/>
  <c r="D122" i="1"/>
  <c r="D141" i="1" s="1"/>
  <c r="K122" i="1"/>
  <c r="K141" i="1" s="1"/>
  <c r="E129" i="1"/>
  <c r="E148" i="1" s="1"/>
  <c r="H120" i="1"/>
  <c r="H139" i="1" s="1"/>
  <c r="D121" i="1"/>
  <c r="D140" i="1" s="1"/>
  <c r="H122" i="1"/>
  <c r="H141" i="1" s="1"/>
  <c r="C125" i="1"/>
  <c r="C144" i="1" s="1"/>
  <c r="E162" i="1" s="1"/>
  <c r="L120" i="1"/>
  <c r="L139" i="1" s="1"/>
  <c r="C130" i="1"/>
  <c r="C149" i="1" s="1"/>
  <c r="D167" i="1" s="1"/>
  <c r="Q185" i="1" s="1"/>
  <c r="D126" i="1"/>
  <c r="D145" i="1" s="1"/>
  <c r="F127" i="1"/>
  <c r="F146" i="1" s="1"/>
  <c r="C123" i="1"/>
  <c r="C142" i="1" s="1"/>
  <c r="G121" i="1"/>
  <c r="G140" i="1" s="1"/>
  <c r="F121" i="1"/>
  <c r="F140" i="1" s="1"/>
  <c r="F126" i="1"/>
  <c r="F145" i="1" s="1"/>
  <c r="C128" i="1"/>
  <c r="C147" i="1" s="1"/>
  <c r="C165" i="1" s="1"/>
  <c r="G120" i="1"/>
  <c r="G139" i="1" s="1"/>
  <c r="K121" i="1"/>
  <c r="K140" i="1" s="1"/>
  <c r="D128" i="1"/>
  <c r="D147" i="1" s="1"/>
  <c r="D157" i="1"/>
  <c r="C164" i="1"/>
  <c r="D160" i="1" l="1"/>
  <c r="D13" i="3"/>
  <c r="F13" i="3" s="1"/>
  <c r="G13" i="3" s="1"/>
  <c r="D16" i="3"/>
  <c r="F16" i="3" s="1"/>
  <c r="G16" i="3" s="1"/>
  <c r="D12" i="3"/>
  <c r="F12" i="3" s="1"/>
  <c r="G12" i="3" s="1"/>
  <c r="D8" i="3"/>
  <c r="F8" i="3" s="1"/>
  <c r="G8" i="3" s="1"/>
  <c r="D7" i="3"/>
  <c r="F7" i="3" s="1"/>
  <c r="G7" i="3" s="1"/>
  <c r="D11" i="3"/>
  <c r="F11" i="3" s="1"/>
  <c r="G11" i="3" s="1"/>
  <c r="D15" i="3"/>
  <c r="F15" i="3" s="1"/>
  <c r="G15" i="3" s="1"/>
  <c r="D18" i="3"/>
  <c r="F18" i="3" s="1"/>
  <c r="G18" i="3" s="1"/>
  <c r="D10" i="3"/>
  <c r="F10" i="3" s="1"/>
  <c r="G10" i="3" s="1"/>
  <c r="D14" i="3"/>
  <c r="F14" i="3" s="1"/>
  <c r="G14" i="3" s="1"/>
  <c r="D17" i="3"/>
  <c r="F17" i="3" s="1"/>
  <c r="G17" i="3" s="1"/>
  <c r="D9" i="3"/>
  <c r="F9" i="3" s="1"/>
  <c r="G9" i="3" s="1"/>
  <c r="F157" i="1"/>
  <c r="D159" i="1"/>
  <c r="C177" i="1" s="1"/>
  <c r="J158" i="1"/>
  <c r="H162" i="1"/>
  <c r="F164" i="1"/>
  <c r="J160" i="1"/>
  <c r="G159" i="1"/>
  <c r="F162" i="1"/>
  <c r="E180" i="1" s="1"/>
  <c r="H160" i="1"/>
  <c r="J161" i="1"/>
  <c r="Q179" i="1" s="1"/>
  <c r="H159" i="1"/>
  <c r="F159" i="1"/>
  <c r="E160" i="1"/>
  <c r="F160" i="1"/>
  <c r="K157" i="1"/>
  <c r="E157" i="1"/>
  <c r="D175" i="1" s="1"/>
  <c r="K160" i="1"/>
  <c r="L157" i="1"/>
  <c r="J157" i="1"/>
  <c r="M158" i="1"/>
  <c r="Q176" i="1" s="1"/>
  <c r="I157" i="1"/>
  <c r="C167" i="1"/>
  <c r="C185" i="1" s="1"/>
  <c r="C160" i="1"/>
  <c r="J159" i="1"/>
  <c r="I160" i="1"/>
  <c r="D163" i="1"/>
  <c r="C181" i="1" s="1"/>
  <c r="I159" i="1"/>
  <c r="H157" i="1"/>
  <c r="C161" i="1"/>
  <c r="L159" i="1"/>
  <c r="Q177" i="1" s="1"/>
  <c r="G157" i="1"/>
  <c r="G158" i="1"/>
  <c r="C182" i="1"/>
  <c r="M157" i="1"/>
  <c r="K158" i="1"/>
  <c r="H161" i="1"/>
  <c r="H163" i="1"/>
  <c r="F158" i="1"/>
  <c r="C162" i="1"/>
  <c r="F163" i="1"/>
  <c r="E159" i="1"/>
  <c r="G164" i="1"/>
  <c r="H158" i="1"/>
  <c r="E158" i="1"/>
  <c r="C166" i="1"/>
  <c r="C184" i="1" s="1"/>
  <c r="E161" i="1"/>
  <c r="N157" i="1"/>
  <c r="F165" i="1"/>
  <c r="Q183" i="1" s="1"/>
  <c r="G161" i="1"/>
  <c r="K159" i="1"/>
  <c r="I162" i="1"/>
  <c r="Q180" i="1" s="1"/>
  <c r="G163" i="1"/>
  <c r="E164" i="1"/>
  <c r="C158" i="1"/>
  <c r="L158" i="1"/>
  <c r="E166" i="1"/>
  <c r="D184" i="1" s="1"/>
  <c r="D161" i="1"/>
  <c r="D165" i="1"/>
  <c r="C183" i="1" s="1"/>
  <c r="E165" i="1"/>
  <c r="G162" i="1"/>
  <c r="I161" i="1"/>
  <c r="D162" i="1"/>
  <c r="D180" i="1" s="1"/>
  <c r="E163" i="1"/>
  <c r="D158" i="1"/>
  <c r="I158" i="1"/>
  <c r="F161" i="1"/>
  <c r="D6" i="3"/>
  <c r="F6" i="3" s="1"/>
  <c r="G6" i="3" s="1"/>
  <c r="G160" i="1"/>
  <c r="C175" i="1"/>
  <c r="C178" i="1" l="1"/>
  <c r="D178" i="1"/>
  <c r="F175" i="1"/>
  <c r="F178" i="1"/>
  <c r="J176" i="1"/>
  <c r="E175" i="1"/>
  <c r="H177" i="1"/>
  <c r="D177" i="1"/>
  <c r="G180" i="1"/>
  <c r="L176" i="1"/>
  <c r="E182" i="1"/>
  <c r="L175" i="1"/>
  <c r="I178" i="1"/>
  <c r="G176" i="1"/>
  <c r="I175" i="1"/>
  <c r="G177" i="1"/>
  <c r="C179" i="1"/>
  <c r="F182" i="1"/>
  <c r="J178" i="1"/>
  <c r="E178" i="1"/>
  <c r="J175" i="1"/>
  <c r="D181" i="1"/>
  <c r="Q184" i="1"/>
  <c r="C176" i="1"/>
  <c r="K175" i="1"/>
  <c r="I179" i="1"/>
  <c r="Q182" i="1"/>
  <c r="D179" i="1"/>
  <c r="M175" i="1"/>
  <c r="M190" i="1" s="1" a="1"/>
  <c r="M190" i="1" s="1"/>
  <c r="M191" i="1" s="1"/>
  <c r="R176" i="1" s="1"/>
  <c r="S176" i="1" s="1"/>
  <c r="T176" i="1" s="1"/>
  <c r="Q178" i="1"/>
  <c r="F179" i="1"/>
  <c r="G179" i="1"/>
  <c r="E177" i="1"/>
  <c r="F177" i="1"/>
  <c r="E181" i="1"/>
  <c r="I177" i="1"/>
  <c r="H178" i="1"/>
  <c r="E176" i="1"/>
  <c r="F176" i="1"/>
  <c r="E183" i="1"/>
  <c r="H175" i="1"/>
  <c r="F181" i="1"/>
  <c r="E179" i="1"/>
  <c r="Q175" i="1"/>
  <c r="S175" i="1" s="1"/>
  <c r="T175" i="1" s="1"/>
  <c r="H176" i="1"/>
  <c r="K177" i="1"/>
  <c r="D176" i="1"/>
  <c r="H179" i="1"/>
  <c r="G175" i="1"/>
  <c r="F180" i="1"/>
  <c r="G181" i="1"/>
  <c r="D182" i="1"/>
  <c r="G178" i="1"/>
  <c r="C180" i="1"/>
  <c r="K176" i="1"/>
  <c r="H180" i="1"/>
  <c r="J177" i="1"/>
  <c r="D183" i="1"/>
  <c r="I176" i="1"/>
  <c r="Q181" i="1"/>
  <c r="L190" i="1" l="1" a="1"/>
  <c r="L190" i="1" s="1"/>
  <c r="L191" i="1" s="1"/>
  <c r="R177" i="1" s="1"/>
  <c r="S177" i="1" s="1"/>
  <c r="T177" i="1" s="1"/>
  <c r="K190" i="1" a="1"/>
  <c r="K190" i="1" s="1"/>
  <c r="F190" i="1" a="1"/>
  <c r="F190" i="1" s="1"/>
  <c r="D190" i="1" a="1"/>
  <c r="D190" i="1" s="1"/>
  <c r="C190" i="1" a="1"/>
  <c r="C190" i="1" s="1"/>
  <c r="J190" i="1" a="1"/>
  <c r="J190" i="1" s="1"/>
  <c r="E190" i="1" a="1"/>
  <c r="E190" i="1" s="1"/>
  <c r="H190" i="1" a="1"/>
  <c r="H190" i="1" s="1"/>
  <c r="Q187" i="1"/>
  <c r="I190" i="1" a="1"/>
  <c r="I190" i="1" s="1"/>
  <c r="G190" i="1" a="1"/>
  <c r="G190" i="1" s="1"/>
  <c r="K191" i="1" l="1"/>
  <c r="R178" i="1" s="1"/>
  <c r="S178" i="1" s="1"/>
  <c r="T178" i="1" s="1"/>
  <c r="J191" i="1"/>
  <c r="R179" i="1" s="1"/>
  <c r="S179" i="1" s="1"/>
  <c r="T179" i="1" s="1"/>
  <c r="H191" i="1"/>
  <c r="R181" i="1" s="1"/>
  <c r="S181" i="1" s="1"/>
  <c r="T181" i="1" s="1"/>
  <c r="E191" i="1"/>
  <c r="R184" i="1" s="1"/>
  <c r="S184" i="1" s="1"/>
  <c r="T184" i="1" s="1"/>
  <c r="F191" i="1"/>
  <c r="R183" i="1" s="1"/>
  <c r="S183" i="1" s="1"/>
  <c r="T183" i="1" s="1"/>
  <c r="D191" i="1"/>
  <c r="R185" i="1" s="1"/>
  <c r="S185" i="1" s="1"/>
  <c r="T185" i="1" s="1"/>
  <c r="C191" i="1"/>
  <c r="R186" i="1" s="1"/>
  <c r="S186" i="1" s="1"/>
  <c r="T186" i="1" s="1"/>
  <c r="G191" i="1"/>
  <c r="R182" i="1" s="1"/>
  <c r="S182" i="1" s="1"/>
  <c r="T182" i="1" s="1"/>
  <c r="I191" i="1"/>
  <c r="R180" i="1" s="1"/>
  <c r="S180" i="1" s="1"/>
  <c r="T180" i="1" s="1"/>
  <c r="T187" i="1" l="1"/>
</calcChain>
</file>

<file path=xl/sharedStrings.xml><?xml version="1.0" encoding="utf-8"?>
<sst xmlns="http://schemas.openxmlformats.org/spreadsheetml/2006/main" count="154" uniqueCount="52">
  <si>
    <t/>
  </si>
  <si>
    <t>Reserve</t>
  </si>
  <si>
    <t>MW</t>
  </si>
  <si>
    <t>Mean</t>
  </si>
  <si>
    <t>CoV</t>
  </si>
  <si>
    <t>Paid claim amount</t>
  </si>
  <si>
    <t>DY</t>
  </si>
  <si>
    <t>AY</t>
  </si>
  <si>
    <t>Cumulative paid claim amount</t>
  </si>
  <si>
    <t>Link ratios (a.k.a. age-to-age factors)</t>
  </si>
  <si>
    <t>Dev. Factor</t>
  </si>
  <si>
    <t>Cum. Dev. Factor</t>
  </si>
  <si>
    <t>Theoretical cumulative paid claims</t>
  </si>
  <si>
    <t>N(N+1)/2</t>
  </si>
  <si>
    <t>Ψ</t>
  </si>
  <si>
    <t>Pseudo cumulative paid claims</t>
  </si>
  <si>
    <t>Paid</t>
  </si>
  <si>
    <t xml:space="preserve">Cum. </t>
  </si>
  <si>
    <t xml:space="preserve">Claim </t>
  </si>
  <si>
    <t>Value</t>
  </si>
  <si>
    <t xml:space="preserve">Ultimate </t>
  </si>
  <si>
    <t>Φ</t>
  </si>
  <si>
    <t>Pearson residuals</t>
  </si>
  <si>
    <t>Resampled Pearson residuals</t>
  </si>
  <si>
    <t>Process Error</t>
  </si>
  <si>
    <t>Estimation Error</t>
  </si>
  <si>
    <t>Total Error</t>
  </si>
  <si>
    <t>n</t>
  </si>
  <si>
    <t>Total</t>
  </si>
  <si>
    <t>Simulation</t>
  </si>
  <si>
    <t>REFERENCES:</t>
  </si>
  <si>
    <t>HALL, P. (1992). THE BOOTSTRAP AND EDGEWORTH EXPANSION, SPRINGER, SPRINGER SERIES IN STATISTICS, 1992.</t>
  </si>
  <si>
    <t>Remarks</t>
  </si>
  <si>
    <r>
      <t xml:space="preserve">There is a method related to the bootstrap called </t>
    </r>
    <r>
      <rPr>
        <b/>
        <sz val="11"/>
        <color theme="1"/>
        <rFont val="Calibri"/>
        <family val="2"/>
        <scheme val="minor"/>
      </rPr>
      <t>subsampling</t>
    </r>
    <r>
      <rPr>
        <sz val="11"/>
        <color theme="1"/>
        <rFont val="Calibri"/>
        <family val="2"/>
        <scheme val="minor"/>
      </rPr>
      <t>. In this case, we draw samples of size m&lt;n without replacement. Subsampling produces valid confidence intervals under weaker conditions than the bootstrap.</t>
    </r>
  </si>
  <si>
    <r>
      <t xml:space="preserve">There is a related method called the </t>
    </r>
    <r>
      <rPr>
        <b/>
        <sz val="11"/>
        <color theme="1"/>
        <rFont val="Calibri"/>
        <family val="2"/>
        <scheme val="minor"/>
      </rPr>
      <t>jackknife</t>
    </r>
    <r>
      <rPr>
        <sz val="11"/>
        <color theme="1"/>
        <rFont val="Calibri"/>
        <family val="2"/>
        <scheme val="minor"/>
      </rPr>
      <t xml:space="preserve"> where the standard error is estimated by leaving out one observation at a time. However, the bootstrap is valid under weaker conditions than the jackknife.</t>
    </r>
  </si>
  <si>
    <r>
      <t>There are many cases where the bootstrap is not formally justified. Nonethless, the bootstrap can be used in an</t>
    </r>
    <r>
      <rPr>
        <b/>
        <sz val="11"/>
        <color theme="1"/>
        <rFont val="Calibri"/>
        <family val="2"/>
        <scheme val="minor"/>
      </rPr>
      <t xml:space="preserve"> informal way to get some intuition of the variability of the procedure</t>
    </r>
    <r>
      <rPr>
        <sz val="11"/>
        <color theme="1"/>
        <rFont val="Calibri"/>
        <family val="2"/>
        <scheme val="minor"/>
      </rPr>
      <t>. But keep in mind that the formal guarantees may not apply in these cases.</t>
    </r>
  </si>
  <si>
    <r>
      <t xml:space="preserve">The bootstrap is </t>
    </r>
    <r>
      <rPr>
        <b/>
        <sz val="11"/>
        <color theme="1"/>
        <rFont val="Calibri"/>
        <family val="2"/>
        <scheme val="minor"/>
      </rPr>
      <t xml:space="preserve">nonparametric </t>
    </r>
    <r>
      <rPr>
        <sz val="11"/>
        <color theme="1"/>
        <rFont val="Calibri"/>
        <family val="2"/>
        <scheme val="minor"/>
      </rPr>
      <t>but it does require some assumptions. You can’t assume it is always valid (the key condition needed is Hadamard differentiability, out of scope for this training).</t>
    </r>
  </si>
  <si>
    <r>
      <t xml:space="preserve">There is also a </t>
    </r>
    <r>
      <rPr>
        <b/>
        <sz val="11"/>
        <color theme="1"/>
        <rFont val="Calibri"/>
        <family val="2"/>
        <scheme val="minor"/>
      </rPr>
      <t>parametric</t>
    </r>
    <r>
      <rPr>
        <sz val="11"/>
        <color theme="1"/>
        <rFont val="Calibri"/>
        <family val="2"/>
        <scheme val="minor"/>
      </rPr>
      <t xml:space="preserve"> version of bootstrap.</t>
    </r>
  </si>
  <si>
    <t>EFRON, B. &amp; TIBSHIRANI, R. (1986). AN INTRODUCTION TO THE BOOTSTRAP. MARCEL AND DECKER.</t>
  </si>
  <si>
    <t>BICKEL, P. &amp; FREEDMAN, D. (1981). SOME ASYMPTOTIC THEORY FOR THE BOOTSTRAP. ANN. STAT., VOL. 9, NO. 6 (1981), 1196-1217.</t>
  </si>
  <si>
    <t>EFRON, B. &amp; TIBSHIRANI, R. (1986). BOOTSTRAP METHODS FOR STANDARD ERRORS, CONFIDENCE INTERVALS, AND OTHER MEASURES OF STATISTICAL ACCURACY. STATIST. SCI. 1 (1986), NO. 1, 54-75. DOI:10.1214/SS/1177013815. HTTPS://PROJECTEUCLID.ORG/EUCLID.SS/1177013815</t>
  </si>
  <si>
    <t>EFRON, B. (1981). NONPARAMETRIC ESTIMATES OF STANDARD ERROR: THE JACKKNIFE, THE BOOTSTRAP AND OTHER METHODS. BIOMETRIKA. 68 (3): 589-599. DOI:10.1093/BIOMET/68.3.589.</t>
  </si>
  <si>
    <t>Skewness</t>
  </si>
  <si>
    <t>Theoretical incremental (decumulative) paid claims</t>
  </si>
  <si>
    <t>Amount @ 2020</t>
  </si>
  <si>
    <t>Riserva CHL</t>
  </si>
  <si>
    <t>Media residui</t>
  </si>
  <si>
    <t>hp: riscalatura residui considerata ex post</t>
  </si>
  <si>
    <t>hp no tail</t>
  </si>
  <si>
    <t>Valori per singola iterazione</t>
  </si>
  <si>
    <t>Pseudo incremental paid claims</t>
  </si>
  <si>
    <t>Number of 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</si>
</sst>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* #,##0.00\ _€_-;\-* #,##0.00\ _€_-;_-* &quot;-&quot;??\ _€_-;_-@_-"/>
    <numFmt numFmtId="165" formatCode="_-* #,##0_-;\-* #,##0_-;_-* &quot;-&quot;??_-;_-@_-"/>
    <numFmt numFmtId="166" formatCode="0.0000%"/>
    <numFmt numFmtId="167" formatCode="0.0000000000"/>
    <numFmt numFmtId="168" formatCode="_-* #,##0.0000_-;\-* #,##0.0000_-;_-* &quot;-&quot;??_-;_-@_-"/>
    <numFmt numFmtId="169" formatCode="_-* #,##0\ _€_-;\-* #,##0\ _€_-;_-* &quot;-&quot;??\ _€_-;_-@_-"/>
    <numFmt numFmtId="170" formatCode="0.0000"/>
    <numFmt numFmtId="171" formatCode="0.000"/>
    <numFmt numFmtId="172" formatCode="_-* #,##0.000\ _€_-;\-* #,##0.000\ _€_-;_-* &quot;-&quot;??\ _€_-;_-@_-"/>
    <numFmt numFmtId="173" formatCode="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165" fontId="0" fillId="2" borderId="0" xfId="1" applyNumberFormat="1" applyFont="1" applyFill="1"/>
    <xf numFmtId="165" fontId="2" fillId="2" borderId="0" xfId="1" applyNumberFormat="1" applyFont="1" applyFill="1"/>
    <xf numFmtId="0" fontId="0" fillId="2" borderId="0" xfId="0" applyFill="1"/>
    <xf numFmtId="165" fontId="0" fillId="2" borderId="0" xfId="1" applyNumberFormat="1" applyFont="1" applyFill="1" applyBorder="1"/>
    <xf numFmtId="165" fontId="4" fillId="2" borderId="0" xfId="1" applyNumberFormat="1" applyFont="1" applyFill="1" applyBorder="1" applyAlignment="1">
      <alignment horizontal="center"/>
    </xf>
    <xf numFmtId="0" fontId="3" fillId="2" borderId="3" xfId="1" applyNumberFormat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/>
    </xf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0" fontId="3" fillId="2" borderId="0" xfId="1" applyNumberFormat="1" applyFont="1" applyFill="1" applyAlignment="1">
      <alignment horizontal="center"/>
    </xf>
    <xf numFmtId="167" fontId="0" fillId="2" borderId="0" xfId="0" applyNumberFormat="1" applyFill="1"/>
    <xf numFmtId="10" fontId="0" fillId="2" borderId="0" xfId="2" applyNumberFormat="1" applyFont="1" applyFill="1"/>
    <xf numFmtId="166" fontId="0" fillId="2" borderId="0" xfId="2" applyNumberFormat="1" applyFont="1" applyFill="1"/>
    <xf numFmtId="165" fontId="4" fillId="2" borderId="0" xfId="1" applyNumberFormat="1" applyFont="1" applyFill="1" applyAlignment="1">
      <alignment horizontal="center"/>
    </xf>
    <xf numFmtId="1" fontId="3" fillId="2" borderId="3" xfId="1" applyNumberFormat="1" applyFont="1" applyFill="1" applyBorder="1" applyAlignment="1">
      <alignment horizontal="center"/>
    </xf>
    <xf numFmtId="168" fontId="0" fillId="2" borderId="0" xfId="1" applyNumberFormat="1" applyFont="1" applyFill="1" applyBorder="1"/>
    <xf numFmtId="169" fontId="0" fillId="2" borderId="0" xfId="1" applyNumberFormat="1" applyFont="1" applyFill="1" applyBorder="1"/>
    <xf numFmtId="170" fontId="0" fillId="2" borderId="0" xfId="0" applyNumberFormat="1" applyFill="1"/>
    <xf numFmtId="0" fontId="4" fillId="2" borderId="0" xfId="0" applyFont="1" applyFill="1" applyAlignment="1">
      <alignment horizontal="right"/>
    </xf>
    <xf numFmtId="172" fontId="0" fillId="2" borderId="0" xfId="1" applyNumberFormat="1" applyFont="1" applyFill="1"/>
    <xf numFmtId="171" fontId="0" fillId="2" borderId="0" xfId="1" applyNumberFormat="1" applyFont="1" applyFill="1" applyBorder="1"/>
    <xf numFmtId="171" fontId="0" fillId="3" borderId="0" xfId="0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1" applyNumberFormat="1" applyFont="1" applyFill="1" applyBorder="1" applyAlignment="1">
      <alignment horizontal="center"/>
    </xf>
    <xf numFmtId="169" fontId="0" fillId="2" borderId="0" xfId="1" applyNumberFormat="1" applyFont="1" applyFill="1"/>
    <xf numFmtId="0" fontId="4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9" fontId="0" fillId="5" borderId="4" xfId="1" applyNumberFormat="1" applyFont="1" applyFill="1" applyBorder="1"/>
    <xf numFmtId="169" fontId="0" fillId="6" borderId="4" xfId="1" applyNumberFormat="1" applyFont="1" applyFill="1" applyBorder="1"/>
    <xf numFmtId="169" fontId="0" fillId="7" borderId="4" xfId="1" applyNumberFormat="1" applyFont="1" applyFill="1" applyBorder="1"/>
    <xf numFmtId="169" fontId="0" fillId="8" borderId="4" xfId="1" applyNumberFormat="1" applyFont="1" applyFill="1" applyBorder="1"/>
    <xf numFmtId="169" fontId="4" fillId="2" borderId="0" xfId="1" applyNumberFormat="1" applyFont="1" applyFill="1" applyAlignment="1">
      <alignment horizontal="center"/>
    </xf>
    <xf numFmtId="172" fontId="0" fillId="8" borderId="4" xfId="1" applyNumberFormat="1" applyFont="1" applyFill="1" applyBorder="1"/>
    <xf numFmtId="0" fontId="4" fillId="2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172" fontId="4" fillId="2" borderId="1" xfId="1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72" fontId="0" fillId="9" borderId="4" xfId="1" applyNumberFormat="1" applyFont="1" applyFill="1" applyBorder="1"/>
    <xf numFmtId="0" fontId="6" fillId="2" borderId="0" xfId="0" applyFont="1" applyFill="1" applyAlignment="1">
      <alignment horizontal="center" vertical="center" wrapText="1"/>
    </xf>
    <xf numFmtId="173" fontId="0" fillId="2" borderId="0" xfId="0" applyNumberFormat="1" applyFill="1"/>
    <xf numFmtId="0" fontId="4" fillId="2" borderId="0" xfId="0" applyFont="1" applyFill="1"/>
    <xf numFmtId="0" fontId="0" fillId="0" borderId="0" xfId="0" applyAlignment="1">
      <alignment vertical="center"/>
    </xf>
    <xf numFmtId="172" fontId="0" fillId="2" borderId="0" xfId="1" applyNumberFormat="1" applyFont="1" applyFill="1" applyAlignment="1"/>
    <xf numFmtId="0" fontId="0" fillId="2" borderId="0" xfId="1" applyNumberFormat="1" applyFont="1" applyFill="1" applyAlignment="1">
      <alignment horizontal="left"/>
    </xf>
    <xf numFmtId="0" fontId="0" fillId="2" borderId="0" xfId="1" applyNumberFormat="1" applyFont="1" applyFill="1" applyAlignment="1">
      <alignment horizontal="left" vertical="center"/>
    </xf>
    <xf numFmtId="172" fontId="4" fillId="2" borderId="0" xfId="1" applyNumberFormat="1" applyFont="1" applyFill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164" fontId="0" fillId="2" borderId="0" xfId="1" applyFont="1" applyFill="1"/>
    <xf numFmtId="171" fontId="4" fillId="2" borderId="0" xfId="0" applyNumberFormat="1" applyFont="1" applyFill="1"/>
    <xf numFmtId="0" fontId="4" fillId="10" borderId="0" xfId="0" applyFont="1" applyFill="1"/>
    <xf numFmtId="0" fontId="0" fillId="2" borderId="0" xfId="0" applyFill="1" applyAlignment="1">
      <alignment horizontal="center"/>
    </xf>
    <xf numFmtId="0" fontId="4" fillId="10" borderId="0" xfId="0" applyFont="1" applyFill="1" applyAlignment="1">
      <alignment horizontal="center"/>
    </xf>
  </cellXfs>
  <cellStyles count="3">
    <cellStyle name="Migliaia" xfId="1" builtinId="3"/>
    <cellStyle name="Normale" xfId="0" builtinId="0"/>
    <cellStyle name="Percentuale" xfId="2" builtinId="5"/>
  </cellStyles>
  <dxfs count="11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0</xdr:row>
          <xdr:rowOff>228600</xdr:rowOff>
        </xdr:from>
        <xdr:to>
          <xdr:col>5</xdr:col>
          <xdr:colOff>12700</xdr:colOff>
          <xdr:row>1</xdr:row>
          <xdr:rowOff>361950</xdr:rowOff>
        </xdr:to>
        <xdr:sp macro="" textlink="">
          <xdr:nvSpPr>
            <xdr:cNvPr id="1025" name="RunBootstra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108857</xdr:colOff>
      <xdr:row>10</xdr:row>
      <xdr:rowOff>20863</xdr:rowOff>
    </xdr:from>
    <xdr:to>
      <xdr:col>30</xdr:col>
      <xdr:colOff>15428</xdr:colOff>
      <xdr:row>32</xdr:row>
      <xdr:rowOff>155182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5357" y="2089149"/>
          <a:ext cx="7200000" cy="432531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18</xdr:col>
      <xdr:colOff>107042</xdr:colOff>
      <xdr:row>34</xdr:row>
      <xdr:rowOff>31751</xdr:rowOff>
    </xdr:from>
    <xdr:to>
      <xdr:col>30</xdr:col>
      <xdr:colOff>13613</xdr:colOff>
      <xdr:row>46</xdr:row>
      <xdr:rowOff>66009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3542" y="6653894"/>
          <a:ext cx="7200000" cy="22114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theme="7" tint="0.79998168889431442"/>
  </sheetPr>
  <dimension ref="B2:AF191"/>
  <sheetViews>
    <sheetView tabSelected="1" zoomScale="50" zoomScaleNormal="50" workbookViewId="0"/>
  </sheetViews>
  <sheetFormatPr defaultRowHeight="14.75" x14ac:dyDescent="0.75"/>
  <cols>
    <col min="1" max="1" width="8.7265625" style="3"/>
    <col min="2" max="2" width="10.90625" style="3" customWidth="1"/>
    <col min="3" max="15" width="14.90625" style="3" customWidth="1"/>
    <col min="16" max="16" width="8.7265625" style="3"/>
    <col min="17" max="17" width="15.36328125" style="3" bestFit="1" customWidth="1"/>
    <col min="18" max="18" width="15.453125" style="3" bestFit="1" customWidth="1"/>
    <col min="19" max="19" width="13.54296875" style="3" bestFit="1" customWidth="1"/>
    <col min="20" max="20" width="12.7265625" style="3" bestFit="1" customWidth="1"/>
    <col min="21" max="21" width="8.7265625" style="3"/>
    <col min="22" max="22" width="12.7265625" style="3" bestFit="1" customWidth="1"/>
    <col min="23" max="23" width="10.453125" style="3" customWidth="1"/>
    <col min="24" max="24" width="11.453125" style="3" bestFit="1" customWidth="1"/>
    <col min="25" max="27" width="8.7265625" style="3"/>
    <col min="28" max="28" width="9.36328125" style="3" bestFit="1" customWidth="1"/>
    <col min="29" max="29" width="8.7265625" style="3"/>
    <col min="30" max="30" width="13.26953125" style="3" bestFit="1" customWidth="1"/>
    <col min="31" max="31" width="11.6328125" style="3" bestFit="1" customWidth="1"/>
    <col min="32" max="16384" width="8.7265625" style="3"/>
  </cols>
  <sheetData>
    <row r="2" spans="2:17" x14ac:dyDescent="0.75">
      <c r="B2" s="1"/>
      <c r="C2" s="1"/>
      <c r="D2" s="1" t="s">
        <v>0</v>
      </c>
      <c r="E2" s="2" t="s">
        <v>5</v>
      </c>
      <c r="F2" s="1"/>
      <c r="G2" s="1"/>
      <c r="H2" s="1"/>
      <c r="I2" s="1"/>
      <c r="K2" s="1"/>
      <c r="L2" s="1"/>
      <c r="M2" s="1"/>
      <c r="N2" s="1"/>
      <c r="O2" s="1"/>
      <c r="P2" s="53" t="s">
        <v>48</v>
      </c>
      <c r="Q2" s="53"/>
    </row>
    <row r="3" spans="2:17" x14ac:dyDescent="0.75">
      <c r="B3" s="4"/>
      <c r="C3" s="5" t="s">
        <v>6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7" x14ac:dyDescent="0.75">
      <c r="B4" s="5" t="s">
        <v>7</v>
      </c>
      <c r="C4" s="6">
        <v>0</v>
      </c>
      <c r="D4" s="6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26"/>
    </row>
    <row r="5" spans="2:17" x14ac:dyDescent="0.75">
      <c r="B5" s="7">
        <v>2009</v>
      </c>
      <c r="C5" s="4">
        <v>28446.238239999999</v>
      </c>
      <c r="D5" s="4">
        <v>29251.193380000001</v>
      </c>
      <c r="E5" s="4">
        <v>12463.98379</v>
      </c>
      <c r="F5" s="4">
        <v>5144.0852889999996</v>
      </c>
      <c r="G5" s="4">
        <v>2726.947823</v>
      </c>
      <c r="H5" s="4">
        <v>2359.3624620000001</v>
      </c>
      <c r="I5" s="4">
        <v>1333.8561050000001</v>
      </c>
      <c r="J5" s="4">
        <v>1238.4299739999999</v>
      </c>
      <c r="K5" s="4">
        <v>941.4404753</v>
      </c>
      <c r="L5" s="4">
        <v>860.06389149999995</v>
      </c>
      <c r="M5" s="4">
        <v>281.86967870000001</v>
      </c>
      <c r="N5" s="4">
        <v>727.14206979999994</v>
      </c>
      <c r="O5" s="4"/>
    </row>
    <row r="6" spans="2:17" x14ac:dyDescent="0.75">
      <c r="B6" s="7">
        <v>2010</v>
      </c>
      <c r="C6" s="4">
        <v>31963.048289999999</v>
      </c>
      <c r="D6" s="4">
        <v>36106.295209999997</v>
      </c>
      <c r="E6" s="4">
        <v>13441.33311</v>
      </c>
      <c r="F6" s="4">
        <v>5868.2346319999997</v>
      </c>
      <c r="G6" s="4">
        <v>2881.972323</v>
      </c>
      <c r="H6" s="4">
        <v>2421.9878960000001</v>
      </c>
      <c r="I6" s="4">
        <v>918.0040391</v>
      </c>
      <c r="J6" s="4">
        <v>1075.9783399999999</v>
      </c>
      <c r="K6" s="4">
        <v>733.74102549999998</v>
      </c>
      <c r="L6" s="4">
        <v>458.15606639999999</v>
      </c>
      <c r="M6" s="4">
        <v>456.27065049999999</v>
      </c>
      <c r="N6" s="4"/>
      <c r="O6" s="4"/>
    </row>
    <row r="7" spans="2:17" x14ac:dyDescent="0.75">
      <c r="B7" s="7">
        <v>2011</v>
      </c>
      <c r="C7" s="4">
        <v>37774.740230000003</v>
      </c>
      <c r="D7" s="4">
        <v>40125.390780000002</v>
      </c>
      <c r="E7" s="4">
        <v>12951.1764</v>
      </c>
      <c r="F7" s="4">
        <v>6033.7554639999998</v>
      </c>
      <c r="G7" s="4">
        <v>3009.6558559999999</v>
      </c>
      <c r="H7" s="4">
        <v>1264.3962670000001</v>
      </c>
      <c r="I7" s="4">
        <v>1249.9525169999999</v>
      </c>
      <c r="J7" s="4">
        <v>1134.7061430000001</v>
      </c>
      <c r="K7" s="4">
        <v>904.3711654</v>
      </c>
      <c r="L7" s="4">
        <v>559.3400537</v>
      </c>
      <c r="M7" s="4"/>
      <c r="N7" s="4"/>
      <c r="O7" s="4"/>
    </row>
    <row r="8" spans="2:17" x14ac:dyDescent="0.75">
      <c r="B8" s="7">
        <v>2012</v>
      </c>
      <c r="C8" s="4">
        <v>40417.57213</v>
      </c>
      <c r="D8" s="4">
        <v>44498.942239999997</v>
      </c>
      <c r="E8" s="4">
        <v>15370.423629999999</v>
      </c>
      <c r="F8" s="4">
        <v>5593.8535460000003</v>
      </c>
      <c r="G8" s="4">
        <v>2615.5163400000001</v>
      </c>
      <c r="H8" s="4">
        <v>1984.311792</v>
      </c>
      <c r="I8" s="4">
        <v>2136.8046989999998</v>
      </c>
      <c r="J8" s="4">
        <v>1184.3554280000001</v>
      </c>
      <c r="K8" s="4">
        <v>872.63333090000003</v>
      </c>
      <c r="L8" s="4"/>
      <c r="M8" s="4"/>
      <c r="N8" s="4"/>
      <c r="O8" s="4"/>
    </row>
    <row r="9" spans="2:17" x14ac:dyDescent="0.75">
      <c r="B9" s="7">
        <v>2013</v>
      </c>
      <c r="C9" s="4">
        <v>44116.085709999999</v>
      </c>
      <c r="D9" s="4">
        <v>45490.189570000002</v>
      </c>
      <c r="E9" s="4">
        <v>15339.426369999999</v>
      </c>
      <c r="F9" s="4">
        <v>5478.0767569999998</v>
      </c>
      <c r="G9" s="4">
        <v>2540.6396580000001</v>
      </c>
      <c r="H9" s="4">
        <v>2906.3686269999998</v>
      </c>
      <c r="I9" s="4">
        <v>1294.338023</v>
      </c>
      <c r="J9" s="4">
        <v>1124.3363549999999</v>
      </c>
      <c r="K9" s="4"/>
      <c r="L9" s="4"/>
      <c r="M9" s="4"/>
      <c r="N9" s="4"/>
      <c r="O9" s="4"/>
    </row>
    <row r="10" spans="2:17" x14ac:dyDescent="0.75">
      <c r="B10" s="7">
        <v>2014</v>
      </c>
      <c r="C10" s="4">
        <v>50294.259669999999</v>
      </c>
      <c r="D10" s="4">
        <v>48040.321559999997</v>
      </c>
      <c r="E10" s="4">
        <v>17842.901760000001</v>
      </c>
      <c r="F10" s="4">
        <v>7035.1991939999998</v>
      </c>
      <c r="G10" s="4">
        <v>3933.6060630000002</v>
      </c>
      <c r="H10" s="4">
        <v>2725.6829360000002</v>
      </c>
      <c r="I10" s="4">
        <v>2266.5998731499999</v>
      </c>
      <c r="J10" s="4"/>
      <c r="K10" s="4"/>
      <c r="L10" s="4"/>
      <c r="M10" s="4"/>
      <c r="N10" s="4"/>
      <c r="O10" s="4"/>
    </row>
    <row r="11" spans="2:17" x14ac:dyDescent="0.75">
      <c r="B11" s="7">
        <v>2015</v>
      </c>
      <c r="C11" s="4">
        <v>49619.804179999999</v>
      </c>
      <c r="D11" s="4">
        <v>49991.357649999998</v>
      </c>
      <c r="E11" s="4">
        <v>19570.203659999999</v>
      </c>
      <c r="F11" s="4">
        <v>10047.067150000001</v>
      </c>
      <c r="G11" s="4">
        <v>5749.8900569999996</v>
      </c>
      <c r="H11" s="4">
        <v>3312.6914674</v>
      </c>
      <c r="I11" s="4"/>
      <c r="J11" s="4"/>
      <c r="K11" s="4"/>
      <c r="L11" s="4"/>
      <c r="M11" s="4"/>
      <c r="N11" s="4"/>
      <c r="O11" s="4"/>
    </row>
    <row r="12" spans="2:17" x14ac:dyDescent="0.75">
      <c r="B12" s="7">
        <v>2016</v>
      </c>
      <c r="C12" s="4">
        <v>46409.720990000002</v>
      </c>
      <c r="D12" s="4">
        <v>49694.294990000002</v>
      </c>
      <c r="E12" s="4">
        <v>20880.666980000002</v>
      </c>
      <c r="F12" s="4">
        <v>8201.5592140000008</v>
      </c>
      <c r="G12" s="4">
        <v>4714.1682499999997</v>
      </c>
      <c r="H12" s="4"/>
      <c r="I12" s="4"/>
      <c r="J12" s="4"/>
      <c r="K12" s="4"/>
      <c r="L12" s="4"/>
      <c r="M12" s="4"/>
      <c r="N12" s="4"/>
      <c r="O12" s="4"/>
    </row>
    <row r="13" spans="2:17" x14ac:dyDescent="0.75">
      <c r="B13" s="7">
        <v>2017</v>
      </c>
      <c r="C13" s="4">
        <v>48294.757790000003</v>
      </c>
      <c r="D13" s="4">
        <v>49353.589599999999</v>
      </c>
      <c r="E13" s="4">
        <v>18304.246139999999</v>
      </c>
      <c r="F13" s="4">
        <v>8833.4877799999995</v>
      </c>
      <c r="G13" s="4"/>
      <c r="H13" s="4"/>
      <c r="I13" s="4"/>
      <c r="J13" s="4"/>
      <c r="K13" s="4"/>
      <c r="L13" s="4"/>
      <c r="M13" s="4"/>
      <c r="N13" s="4"/>
      <c r="O13" s="4"/>
    </row>
    <row r="14" spans="2:17" x14ac:dyDescent="0.75">
      <c r="B14" s="7">
        <v>2018</v>
      </c>
      <c r="C14" s="4">
        <v>52590.220249999998</v>
      </c>
      <c r="D14" s="4">
        <v>50605.82</v>
      </c>
      <c r="E14" s="4">
        <v>18603.713029999999</v>
      </c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2:17" x14ac:dyDescent="0.75">
      <c r="B15" s="7">
        <v>2019</v>
      </c>
      <c r="C15" s="4">
        <v>58599</v>
      </c>
      <c r="D15" s="4">
        <v>53743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2:17" x14ac:dyDescent="0.75">
      <c r="B16" s="7">
        <v>2020</v>
      </c>
      <c r="C16" s="8">
        <v>60361.276160000001</v>
      </c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4"/>
    </row>
    <row r="19" spans="2:32" x14ac:dyDescent="0.75">
      <c r="B19" s="1"/>
      <c r="C19" s="1"/>
      <c r="D19" s="1" t="s">
        <v>0</v>
      </c>
      <c r="E19" s="2" t="s">
        <v>8</v>
      </c>
      <c r="F19" s="1"/>
      <c r="G19" s="1"/>
      <c r="H19" s="1"/>
      <c r="I19" s="1"/>
      <c r="K19" s="1"/>
      <c r="L19" s="1"/>
      <c r="M19" s="1"/>
      <c r="N19" s="1"/>
      <c r="O19" s="1"/>
    </row>
    <row r="20" spans="2:32" x14ac:dyDescent="0.75">
      <c r="B20" s="4"/>
      <c r="C20" s="5" t="s">
        <v>6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AD20" s="54" t="s">
        <v>2</v>
      </c>
      <c r="AE20" s="54"/>
      <c r="AF20" s="54"/>
    </row>
    <row r="21" spans="2:32" x14ac:dyDescent="0.75">
      <c r="B21" s="5" t="s">
        <v>7</v>
      </c>
      <c r="C21" s="6">
        <v>0</v>
      </c>
      <c r="D21" s="6">
        <v>1</v>
      </c>
      <c r="E21" s="6">
        <v>2</v>
      </c>
      <c r="F21" s="6">
        <v>3</v>
      </c>
      <c r="G21" s="6">
        <v>4</v>
      </c>
      <c r="H21" s="6">
        <v>5</v>
      </c>
      <c r="I21" s="6">
        <v>6</v>
      </c>
      <c r="J21" s="6">
        <v>7</v>
      </c>
      <c r="K21" s="6">
        <v>8</v>
      </c>
      <c r="L21" s="6">
        <v>9</v>
      </c>
      <c r="M21" s="6">
        <v>10</v>
      </c>
      <c r="N21" s="6">
        <v>11</v>
      </c>
      <c r="O21" s="26"/>
    </row>
    <row r="22" spans="2:32" x14ac:dyDescent="0.75">
      <c r="B22" s="7">
        <v>2009</v>
      </c>
      <c r="C22" s="4">
        <v>28446.238239999999</v>
      </c>
      <c r="D22" s="4">
        <v>57697.431620000003</v>
      </c>
      <c r="E22" s="4">
        <v>70161.415410000001</v>
      </c>
      <c r="F22" s="4">
        <v>75305.500698999997</v>
      </c>
      <c r="G22" s="4">
        <v>78032.448521999991</v>
      </c>
      <c r="H22" s="4">
        <v>80391.810983999996</v>
      </c>
      <c r="I22" s="4">
        <v>81725.667088999995</v>
      </c>
      <c r="J22" s="4">
        <v>82964.097062999994</v>
      </c>
      <c r="K22" s="4">
        <v>83905.537538299992</v>
      </c>
      <c r="L22" s="4">
        <v>84765.601429799994</v>
      </c>
      <c r="M22" s="4">
        <v>85047.471108499987</v>
      </c>
      <c r="N22" s="4">
        <v>85774.613178299987</v>
      </c>
      <c r="O22" s="4"/>
    </row>
    <row r="23" spans="2:32" x14ac:dyDescent="0.75">
      <c r="B23" s="7">
        <v>2010</v>
      </c>
      <c r="C23" s="4">
        <v>31963.048289999999</v>
      </c>
      <c r="D23" s="4">
        <v>68069.343499999988</v>
      </c>
      <c r="E23" s="4">
        <v>81510.676609999995</v>
      </c>
      <c r="F23" s="4">
        <v>87378.911242000002</v>
      </c>
      <c r="G23" s="4">
        <v>90260.883564999996</v>
      </c>
      <c r="H23" s="4">
        <v>92682.871461000002</v>
      </c>
      <c r="I23" s="4">
        <v>93600.875500099995</v>
      </c>
      <c r="J23" s="4">
        <v>94676.853840099997</v>
      </c>
      <c r="K23" s="4">
        <v>95410.594865599996</v>
      </c>
      <c r="L23" s="4">
        <v>95868.750931999995</v>
      </c>
      <c r="M23" s="4">
        <v>96325.02158249999</v>
      </c>
      <c r="N23" s="4" t="s">
        <v>0</v>
      </c>
      <c r="O23" s="4"/>
      <c r="AD23" s="11"/>
      <c r="AF23" s="12"/>
    </row>
    <row r="24" spans="2:32" x14ac:dyDescent="0.75">
      <c r="B24" s="7">
        <v>2011</v>
      </c>
      <c r="C24" s="4">
        <v>37774.740230000003</v>
      </c>
      <c r="D24" s="4">
        <v>77900.131010000012</v>
      </c>
      <c r="E24" s="4">
        <v>90851.307410000009</v>
      </c>
      <c r="F24" s="4">
        <v>96885.06287400001</v>
      </c>
      <c r="G24" s="4">
        <v>99894.718730000008</v>
      </c>
      <c r="H24" s="4">
        <v>101159.11499700001</v>
      </c>
      <c r="I24" s="4">
        <v>102409.06751400001</v>
      </c>
      <c r="J24" s="4">
        <v>103543.77365700001</v>
      </c>
      <c r="K24" s="4">
        <v>104448.14482240002</v>
      </c>
      <c r="L24" s="4">
        <v>105007.48487610002</v>
      </c>
      <c r="M24" s="4" t="s">
        <v>0</v>
      </c>
      <c r="N24" s="4" t="s">
        <v>0</v>
      </c>
      <c r="O24" s="4"/>
      <c r="W24" s="12"/>
      <c r="Z24" s="12"/>
      <c r="AB24" s="13"/>
      <c r="AD24" s="11"/>
      <c r="AF24" s="12"/>
    </row>
    <row r="25" spans="2:32" x14ac:dyDescent="0.75">
      <c r="B25" s="7">
        <v>2012</v>
      </c>
      <c r="C25" s="4">
        <v>40417.57213</v>
      </c>
      <c r="D25" s="4">
        <v>84916.51436999999</v>
      </c>
      <c r="E25" s="4">
        <v>100286.93799999999</v>
      </c>
      <c r="F25" s="4">
        <v>105880.79154599999</v>
      </c>
      <c r="G25" s="4">
        <v>108496.307886</v>
      </c>
      <c r="H25" s="4">
        <v>110480.61967799999</v>
      </c>
      <c r="I25" s="4">
        <v>112617.42437699999</v>
      </c>
      <c r="J25" s="4">
        <v>113801.77980499998</v>
      </c>
      <c r="K25" s="4">
        <v>114674.41313589999</v>
      </c>
      <c r="L25" s="4" t="s">
        <v>0</v>
      </c>
      <c r="M25" s="4" t="s">
        <v>0</v>
      </c>
      <c r="N25" s="4" t="s">
        <v>0</v>
      </c>
      <c r="O25" s="4"/>
      <c r="W25" s="12"/>
      <c r="Z25" s="12"/>
      <c r="AB25" s="13"/>
      <c r="AD25" s="11"/>
      <c r="AF25" s="12"/>
    </row>
    <row r="26" spans="2:32" x14ac:dyDescent="0.75">
      <c r="B26" s="7">
        <v>2013</v>
      </c>
      <c r="C26" s="4">
        <v>44116.085709999999</v>
      </c>
      <c r="D26" s="4">
        <v>89606.275280000002</v>
      </c>
      <c r="E26" s="4">
        <v>104945.70165</v>
      </c>
      <c r="F26" s="4">
        <v>110423.77840700001</v>
      </c>
      <c r="G26" s="4">
        <v>112964.41806500001</v>
      </c>
      <c r="H26" s="4">
        <v>115870.78669200001</v>
      </c>
      <c r="I26" s="4">
        <v>117165.12471500001</v>
      </c>
      <c r="J26" s="4">
        <v>118289.46107000002</v>
      </c>
      <c r="K26" s="4" t="s">
        <v>0</v>
      </c>
      <c r="L26" s="4" t="s">
        <v>0</v>
      </c>
      <c r="M26" s="4" t="s">
        <v>0</v>
      </c>
      <c r="N26" s="4" t="s">
        <v>0</v>
      </c>
      <c r="O26" s="4"/>
      <c r="W26" s="12"/>
      <c r="Z26" s="12"/>
      <c r="AB26" s="13"/>
      <c r="AD26" s="11"/>
      <c r="AF26" s="12"/>
    </row>
    <row r="27" spans="2:32" x14ac:dyDescent="0.75">
      <c r="B27" s="7">
        <v>2014</v>
      </c>
      <c r="C27" s="4">
        <v>50294.259669999999</v>
      </c>
      <c r="D27" s="4">
        <v>98334.581229999996</v>
      </c>
      <c r="E27" s="4">
        <v>116177.48298999999</v>
      </c>
      <c r="F27" s="4">
        <v>123212.68218399999</v>
      </c>
      <c r="G27" s="4">
        <v>127146.28824699999</v>
      </c>
      <c r="H27" s="4">
        <v>129871.97118299999</v>
      </c>
      <c r="I27" s="4">
        <v>132138.57105614999</v>
      </c>
      <c r="J27" s="4" t="s">
        <v>0</v>
      </c>
      <c r="K27" s="4" t="s">
        <v>0</v>
      </c>
      <c r="L27" s="4" t="s">
        <v>0</v>
      </c>
      <c r="M27" s="4" t="s">
        <v>0</v>
      </c>
      <c r="N27" s="4" t="s">
        <v>0</v>
      </c>
      <c r="O27" s="4"/>
      <c r="W27" s="12"/>
      <c r="Z27" s="12"/>
      <c r="AB27" s="13"/>
      <c r="AD27" s="11"/>
      <c r="AF27" s="12"/>
    </row>
    <row r="28" spans="2:32" x14ac:dyDescent="0.75">
      <c r="B28" s="7">
        <v>2015</v>
      </c>
      <c r="C28" s="4">
        <v>49619.804179999999</v>
      </c>
      <c r="D28" s="4">
        <v>99611.161829999997</v>
      </c>
      <c r="E28" s="4">
        <v>119181.36549</v>
      </c>
      <c r="F28" s="4">
        <v>129228.43264</v>
      </c>
      <c r="G28" s="4">
        <v>134978.322697</v>
      </c>
      <c r="H28" s="4">
        <v>138291.0141644</v>
      </c>
      <c r="I28" s="4" t="s">
        <v>0</v>
      </c>
      <c r="J28" s="4" t="s">
        <v>0</v>
      </c>
      <c r="K28" s="4" t="s">
        <v>0</v>
      </c>
      <c r="L28" s="4" t="s">
        <v>0</v>
      </c>
      <c r="M28" s="4" t="s">
        <v>0</v>
      </c>
      <c r="N28" s="4" t="s">
        <v>0</v>
      </c>
      <c r="O28" s="4"/>
      <c r="W28" s="12"/>
      <c r="Z28" s="12"/>
      <c r="AB28" s="13"/>
      <c r="AD28" s="11"/>
      <c r="AF28" s="12"/>
    </row>
    <row r="29" spans="2:32" x14ac:dyDescent="0.75">
      <c r="B29" s="7">
        <v>2016</v>
      </c>
      <c r="C29" s="4">
        <v>46409.720990000002</v>
      </c>
      <c r="D29" s="4">
        <v>96104.015979999996</v>
      </c>
      <c r="E29" s="4">
        <v>116984.68296000001</v>
      </c>
      <c r="F29" s="4">
        <v>125186.24217400001</v>
      </c>
      <c r="G29" s="4">
        <v>129900.41042400002</v>
      </c>
      <c r="H29" s="4" t="s">
        <v>0</v>
      </c>
      <c r="I29" s="4" t="s">
        <v>0</v>
      </c>
      <c r="J29" s="4" t="s">
        <v>0</v>
      </c>
      <c r="K29" s="4" t="s">
        <v>0</v>
      </c>
      <c r="L29" s="4" t="s">
        <v>0</v>
      </c>
      <c r="M29" s="4" t="s">
        <v>0</v>
      </c>
      <c r="N29" s="4" t="s">
        <v>0</v>
      </c>
      <c r="O29" s="4"/>
      <c r="W29" s="12"/>
      <c r="Z29" s="12"/>
      <c r="AB29" s="13"/>
      <c r="AD29" s="11"/>
      <c r="AF29" s="12"/>
    </row>
    <row r="30" spans="2:32" x14ac:dyDescent="0.75">
      <c r="B30" s="7">
        <v>2017</v>
      </c>
      <c r="C30" s="4">
        <v>48294.757790000003</v>
      </c>
      <c r="D30" s="4">
        <v>97648.34739000001</v>
      </c>
      <c r="E30" s="4">
        <v>115952.59353000001</v>
      </c>
      <c r="F30" s="4">
        <v>124786.08131000001</v>
      </c>
      <c r="G30" s="4" t="s">
        <v>0</v>
      </c>
      <c r="H30" s="4" t="s">
        <v>0</v>
      </c>
      <c r="I30" s="4" t="s">
        <v>0</v>
      </c>
      <c r="J30" s="4" t="s">
        <v>0</v>
      </c>
      <c r="K30" s="4" t="s">
        <v>0</v>
      </c>
      <c r="L30" s="4" t="s">
        <v>0</v>
      </c>
      <c r="M30" s="4" t="s">
        <v>0</v>
      </c>
      <c r="N30" s="4" t="s">
        <v>0</v>
      </c>
      <c r="O30" s="4"/>
      <c r="W30" s="12"/>
      <c r="Z30" s="12"/>
      <c r="AB30" s="13"/>
      <c r="AD30" s="11"/>
      <c r="AF30" s="12"/>
    </row>
    <row r="31" spans="2:32" x14ac:dyDescent="0.75">
      <c r="B31" s="7">
        <v>2018</v>
      </c>
      <c r="C31" s="4">
        <v>52590.220249999998</v>
      </c>
      <c r="D31" s="4">
        <v>103196.04024999999</v>
      </c>
      <c r="E31" s="4">
        <v>121799.75327999999</v>
      </c>
      <c r="F31" s="4" t="s">
        <v>0</v>
      </c>
      <c r="G31" s="4" t="s">
        <v>0</v>
      </c>
      <c r="H31" s="4" t="s">
        <v>0</v>
      </c>
      <c r="I31" s="4" t="s">
        <v>0</v>
      </c>
      <c r="J31" s="4" t="s">
        <v>0</v>
      </c>
      <c r="K31" s="4" t="s">
        <v>0</v>
      </c>
      <c r="L31" s="4" t="s">
        <v>0</v>
      </c>
      <c r="M31" s="4" t="s">
        <v>0</v>
      </c>
      <c r="N31" s="4" t="s">
        <v>0</v>
      </c>
      <c r="O31" s="4"/>
      <c r="W31" s="12"/>
      <c r="Z31" s="12"/>
      <c r="AB31" s="13"/>
      <c r="AD31" s="11"/>
      <c r="AF31" s="12"/>
    </row>
    <row r="32" spans="2:32" x14ac:dyDescent="0.75">
      <c r="B32" s="7">
        <v>2019</v>
      </c>
      <c r="C32" s="4">
        <v>58599</v>
      </c>
      <c r="D32" s="4">
        <v>112342</v>
      </c>
      <c r="E32" s="4" t="s">
        <v>0</v>
      </c>
      <c r="F32" s="4" t="s">
        <v>0</v>
      </c>
      <c r="G32" s="4" t="s">
        <v>0</v>
      </c>
      <c r="H32" s="4" t="s">
        <v>0</v>
      </c>
      <c r="I32" s="4" t="s">
        <v>0</v>
      </c>
      <c r="J32" s="4" t="s">
        <v>0</v>
      </c>
      <c r="K32" s="4" t="s">
        <v>0</v>
      </c>
      <c r="L32" s="4" t="s">
        <v>0</v>
      </c>
      <c r="M32" s="4" t="s">
        <v>0</v>
      </c>
      <c r="N32" s="4" t="s">
        <v>0</v>
      </c>
      <c r="O32" s="4"/>
      <c r="W32" s="12"/>
      <c r="Z32" s="12"/>
      <c r="AB32" s="13"/>
      <c r="AD32" s="11"/>
      <c r="AF32" s="12"/>
    </row>
    <row r="33" spans="2:32" x14ac:dyDescent="0.75">
      <c r="B33" s="7">
        <v>2020</v>
      </c>
      <c r="C33" s="8">
        <v>60361.276160000001</v>
      </c>
      <c r="D33" s="9" t="s">
        <v>0</v>
      </c>
      <c r="E33" s="9" t="s">
        <v>0</v>
      </c>
      <c r="F33" s="9" t="s">
        <v>0</v>
      </c>
      <c r="G33" s="9" t="s">
        <v>0</v>
      </c>
      <c r="H33" s="9" t="s">
        <v>0</v>
      </c>
      <c r="I33" s="9" t="s">
        <v>0</v>
      </c>
      <c r="J33" s="9" t="s">
        <v>0</v>
      </c>
      <c r="K33" s="9" t="s">
        <v>0</v>
      </c>
      <c r="L33" s="9" t="s">
        <v>0</v>
      </c>
      <c r="M33" s="9" t="s">
        <v>0</v>
      </c>
      <c r="N33" s="9" t="s">
        <v>0</v>
      </c>
      <c r="O33" s="4"/>
      <c r="W33" s="12"/>
      <c r="Z33" s="12"/>
      <c r="AB33" s="13"/>
      <c r="AD33" s="11"/>
      <c r="AF33" s="12"/>
    </row>
    <row r="34" spans="2:32" x14ac:dyDescent="0.75">
      <c r="W34" s="12"/>
      <c r="Z34" s="12"/>
      <c r="AB34" s="13"/>
      <c r="AD34" s="11"/>
      <c r="AF34" s="12"/>
    </row>
    <row r="35" spans="2:32" x14ac:dyDescent="0.75">
      <c r="AF35" s="12"/>
    </row>
    <row r="36" spans="2:32" x14ac:dyDescent="0.75">
      <c r="B36" s="1"/>
      <c r="C36" s="1"/>
      <c r="D36" s="1" t="s">
        <v>0</v>
      </c>
      <c r="E36" s="2" t="s">
        <v>9</v>
      </c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32" x14ac:dyDescent="0.75">
      <c r="B37" s="1"/>
      <c r="C37" s="14" t="s">
        <v>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32" x14ac:dyDescent="0.75">
      <c r="B38" s="5" t="s">
        <v>7</v>
      </c>
      <c r="C38" s="15">
        <v>0</v>
      </c>
      <c r="D38" s="15">
        <v>1</v>
      </c>
      <c r="E38" s="15">
        <v>2</v>
      </c>
      <c r="F38" s="15">
        <v>3</v>
      </c>
      <c r="G38" s="15">
        <v>4</v>
      </c>
      <c r="H38" s="15">
        <v>5</v>
      </c>
      <c r="I38" s="15">
        <v>6</v>
      </c>
      <c r="J38" s="15">
        <v>7</v>
      </c>
      <c r="K38" s="15">
        <v>8</v>
      </c>
      <c r="L38" s="15">
        <v>9</v>
      </c>
      <c r="M38" s="15">
        <v>10</v>
      </c>
      <c r="N38" s="15">
        <v>11</v>
      </c>
      <c r="O38" s="50"/>
    </row>
    <row r="39" spans="2:32" x14ac:dyDescent="0.75">
      <c r="B39" s="7">
        <v>2009</v>
      </c>
      <c r="C39" s="16">
        <f>IF(D22&lt;&gt;"",IF($B39+C$21 &lt;= LatestYear,D22/C22,""),"")</f>
        <v>2.0282974196169148</v>
      </c>
      <c r="D39" s="16">
        <f t="shared" ref="D39:M39" si="0">IF(E22&lt;&gt;"",IF($B39+D$21 &lt;= LatestYear,E22/D22,""),"")</f>
        <v>1.2160231996475825</v>
      </c>
      <c r="E39" s="16">
        <f t="shared" si="0"/>
        <v>1.073317866507391</v>
      </c>
      <c r="F39" s="16">
        <f t="shared" si="0"/>
        <v>1.0362118012321537</v>
      </c>
      <c r="G39" s="16">
        <f t="shared" si="0"/>
        <v>1.0302356584560437</v>
      </c>
      <c r="H39" s="16">
        <f t="shared" si="0"/>
        <v>1.0165919400082364</v>
      </c>
      <c r="I39" s="16">
        <f t="shared" si="0"/>
        <v>1.0151535009515595</v>
      </c>
      <c r="J39" s="16">
        <f t="shared" si="0"/>
        <v>1.0113475648940662</v>
      </c>
      <c r="K39" s="16">
        <f t="shared" si="0"/>
        <v>1.0102503829512732</v>
      </c>
      <c r="L39" s="16">
        <f t="shared" si="0"/>
        <v>1.0033252837701321</v>
      </c>
      <c r="M39" s="16">
        <f t="shared" si="0"/>
        <v>1.0085498376415254</v>
      </c>
      <c r="N39" s="16" t="str">
        <f t="shared" ref="N39:N50" si="1">IF(P22&lt;&gt;"",IF($B39+N$21 &lt;= LatestYear,P22/N22,""),"")</f>
        <v/>
      </c>
      <c r="O39" s="16"/>
    </row>
    <row r="40" spans="2:32" x14ac:dyDescent="0.75">
      <c r="B40" s="7">
        <v>2010</v>
      </c>
      <c r="C40" s="16">
        <f t="shared" ref="C40:M40" si="2">IF(D23&lt;&gt;"",IF($B40+C$21 &lt;= LatestYear,D23/C23,""),"")</f>
        <v>2.1296261508729835</v>
      </c>
      <c r="D40" s="16">
        <f t="shared" si="2"/>
        <v>1.1974652966940986</v>
      </c>
      <c r="E40" s="16">
        <f t="shared" si="2"/>
        <v>1.0719934476814301</v>
      </c>
      <c r="F40" s="16">
        <f t="shared" si="2"/>
        <v>1.0329824700495323</v>
      </c>
      <c r="G40" s="16">
        <f t="shared" si="2"/>
        <v>1.0268331950712166</v>
      </c>
      <c r="H40" s="16">
        <f t="shared" si="2"/>
        <v>1.009904786338933</v>
      </c>
      <c r="I40" s="16">
        <f t="shared" si="2"/>
        <v>1.0114953875618273</v>
      </c>
      <c r="J40" s="16">
        <f t="shared" si="2"/>
        <v>1.0077499515007038</v>
      </c>
      <c r="K40" s="16">
        <f t="shared" si="2"/>
        <v>1.0048019411999829</v>
      </c>
      <c r="L40" s="16">
        <f t="shared" si="2"/>
        <v>1.0047593261210175</v>
      </c>
      <c r="M40" s="16" t="str">
        <f t="shared" si="2"/>
        <v/>
      </c>
      <c r="N40" s="16" t="str">
        <f t="shared" si="1"/>
        <v/>
      </c>
      <c r="O40" s="16"/>
    </row>
    <row r="41" spans="2:32" x14ac:dyDescent="0.75">
      <c r="B41" s="7">
        <v>2011</v>
      </c>
      <c r="C41" s="16">
        <f t="shared" ref="C41:M41" si="3">IF(D24&lt;&gt;"",IF($B41+C$21 &lt;= LatestYear,D24/C24,""),"")</f>
        <v>2.0622281062870993</v>
      </c>
      <c r="D41" s="16">
        <f t="shared" si="3"/>
        <v>1.1662535894623522</v>
      </c>
      <c r="E41" s="16">
        <f t="shared" si="3"/>
        <v>1.0664135237676928</v>
      </c>
      <c r="F41" s="16">
        <f t="shared" si="3"/>
        <v>1.0310641885004925</v>
      </c>
      <c r="G41" s="16">
        <f t="shared" si="3"/>
        <v>1.0126572884240004</v>
      </c>
      <c r="H41" s="16">
        <f t="shared" si="3"/>
        <v>1.0123563014270842</v>
      </c>
      <c r="I41" s="16">
        <f t="shared" si="3"/>
        <v>1.0110801335325594</v>
      </c>
      <c r="J41" s="16">
        <f t="shared" si="3"/>
        <v>1.0087341916704313</v>
      </c>
      <c r="K41" s="16">
        <f t="shared" si="3"/>
        <v>1.0053551937629057</v>
      </c>
      <c r="L41" s="16" t="str">
        <f t="shared" si="3"/>
        <v/>
      </c>
      <c r="M41" s="16" t="str">
        <f t="shared" si="3"/>
        <v/>
      </c>
      <c r="N41" s="16" t="str">
        <f t="shared" si="1"/>
        <v/>
      </c>
      <c r="O41" s="16"/>
    </row>
    <row r="42" spans="2:32" x14ac:dyDescent="0.75">
      <c r="B42" s="7">
        <v>2012</v>
      </c>
      <c r="C42" s="16">
        <f t="shared" ref="C42:M42" si="4">IF(D25&lt;&gt;"",IF($B42+C$21 &lt;= LatestYear,D25/C25,""),"")</f>
        <v>2.1009800909582736</v>
      </c>
      <c r="D42" s="16">
        <f t="shared" si="4"/>
        <v>1.1810062947594349</v>
      </c>
      <c r="E42" s="16">
        <f t="shared" si="4"/>
        <v>1.0557784857884482</v>
      </c>
      <c r="F42" s="16">
        <f t="shared" si="4"/>
        <v>1.0247024630417849</v>
      </c>
      <c r="G42" s="16">
        <f t="shared" si="4"/>
        <v>1.0182892103027594</v>
      </c>
      <c r="H42" s="16">
        <f t="shared" si="4"/>
        <v>1.0193409912546454</v>
      </c>
      <c r="I42" s="16">
        <f t="shared" si="4"/>
        <v>1.0105166268412891</v>
      </c>
      <c r="J42" s="16">
        <f t="shared" si="4"/>
        <v>1.0076680112771106</v>
      </c>
      <c r="K42" s="16" t="str">
        <f t="shared" si="4"/>
        <v/>
      </c>
      <c r="L42" s="16" t="str">
        <f t="shared" si="4"/>
        <v/>
      </c>
      <c r="M42" s="16" t="str">
        <f t="shared" si="4"/>
        <v/>
      </c>
      <c r="N42" s="16" t="str">
        <f t="shared" si="1"/>
        <v/>
      </c>
      <c r="O42" s="16"/>
    </row>
    <row r="43" spans="2:32" x14ac:dyDescent="0.75">
      <c r="B43" s="7">
        <v>2013</v>
      </c>
      <c r="C43" s="16">
        <f t="shared" ref="C43:M43" si="5">IF(D26&lt;&gt;"",IF($B43+C$21 &lt;= LatestYear,D26/C26,""),"")</f>
        <v>2.0311474564863432</v>
      </c>
      <c r="D43" s="16">
        <f t="shared" si="5"/>
        <v>1.1711869656680589</v>
      </c>
      <c r="E43" s="16">
        <f t="shared" si="5"/>
        <v>1.0521991531894246</v>
      </c>
      <c r="F43" s="16">
        <f t="shared" si="5"/>
        <v>1.0230080848043046</v>
      </c>
      <c r="G43" s="16">
        <f t="shared" si="5"/>
        <v>1.0257281777464446</v>
      </c>
      <c r="H43" s="16">
        <f t="shared" si="5"/>
        <v>1.0111705293452484</v>
      </c>
      <c r="I43" s="16">
        <f t="shared" si="5"/>
        <v>1.0095961691479005</v>
      </c>
      <c r="J43" s="16" t="str">
        <f t="shared" si="5"/>
        <v/>
      </c>
      <c r="K43" s="16" t="str">
        <f t="shared" si="5"/>
        <v/>
      </c>
      <c r="L43" s="16" t="str">
        <f t="shared" si="5"/>
        <v/>
      </c>
      <c r="M43" s="16" t="str">
        <f t="shared" si="5"/>
        <v/>
      </c>
      <c r="N43" s="16" t="str">
        <f t="shared" si="1"/>
        <v/>
      </c>
      <c r="O43" s="16"/>
    </row>
    <row r="44" spans="2:32" x14ac:dyDescent="0.75">
      <c r="B44" s="7">
        <v>2014</v>
      </c>
      <c r="C44" s="16">
        <f t="shared" ref="C44:M44" si="6">IF(D27&lt;&gt;"",IF($B44+C$21 &lt;= LatestYear,D27/C27,""),"")</f>
        <v>1.955184982843192</v>
      </c>
      <c r="D44" s="16">
        <f t="shared" si="6"/>
        <v>1.1814509355388039</v>
      </c>
      <c r="E44" s="16">
        <f t="shared" si="6"/>
        <v>1.0605556172585144</v>
      </c>
      <c r="F44" s="16">
        <f t="shared" si="6"/>
        <v>1.0319253342535448</v>
      </c>
      <c r="G44" s="16">
        <f t="shared" si="6"/>
        <v>1.021437377162792</v>
      </c>
      <c r="H44" s="16">
        <f t="shared" si="6"/>
        <v>1.017452571578791</v>
      </c>
      <c r="I44" s="16" t="str">
        <f t="shared" si="6"/>
        <v/>
      </c>
      <c r="J44" s="16" t="str">
        <f t="shared" si="6"/>
        <v/>
      </c>
      <c r="K44" s="16" t="str">
        <f t="shared" si="6"/>
        <v/>
      </c>
      <c r="L44" s="16" t="str">
        <f t="shared" si="6"/>
        <v/>
      </c>
      <c r="M44" s="16" t="str">
        <f t="shared" si="6"/>
        <v/>
      </c>
      <c r="N44" s="16" t="str">
        <f t="shared" si="1"/>
        <v/>
      </c>
      <c r="O44" s="16"/>
    </row>
    <row r="45" spans="2:32" x14ac:dyDescent="0.75">
      <c r="B45" s="7">
        <v>2015</v>
      </c>
      <c r="C45" s="16">
        <f t="shared" ref="C45:M45" si="7">IF(D28&lt;&gt;"",IF($B45+C$21 &lt;= LatestYear,D28/C28,""),"")</f>
        <v>2.0074880075836687</v>
      </c>
      <c r="D45" s="16">
        <f t="shared" si="7"/>
        <v>1.1964659712874268</v>
      </c>
      <c r="E45" s="16">
        <f t="shared" si="7"/>
        <v>1.0843006547935803</v>
      </c>
      <c r="F45" s="16">
        <f t="shared" si="7"/>
        <v>1.0444940013550876</v>
      </c>
      <c r="G45" s="16">
        <f t="shared" si="7"/>
        <v>1.0245423961507978</v>
      </c>
      <c r="H45" s="16" t="str">
        <f t="shared" si="7"/>
        <v/>
      </c>
      <c r="I45" s="16" t="str">
        <f t="shared" si="7"/>
        <v/>
      </c>
      <c r="J45" s="16" t="str">
        <f t="shared" si="7"/>
        <v/>
      </c>
      <c r="K45" s="16" t="str">
        <f t="shared" si="7"/>
        <v/>
      </c>
      <c r="L45" s="16" t="str">
        <f t="shared" si="7"/>
        <v/>
      </c>
      <c r="M45" s="16" t="str">
        <f t="shared" si="7"/>
        <v/>
      </c>
      <c r="N45" s="16" t="str">
        <f t="shared" si="1"/>
        <v/>
      </c>
      <c r="O45" s="16"/>
    </row>
    <row r="46" spans="2:32" x14ac:dyDescent="0.75">
      <c r="B46" s="7">
        <v>2016</v>
      </c>
      <c r="C46" s="16">
        <f t="shared" ref="C46:M46" si="8">IF(D29&lt;&gt;"",IF($B46+C$21 &lt;= LatestYear,D29/C29,""),"")</f>
        <v>2.0707734054403759</v>
      </c>
      <c r="D46" s="16">
        <f t="shared" si="8"/>
        <v>1.217271534046459</v>
      </c>
      <c r="E46" s="16">
        <f t="shared" si="8"/>
        <v>1.0701079748773976</v>
      </c>
      <c r="F46" s="16">
        <f t="shared" si="8"/>
        <v>1.037657239071428</v>
      </c>
      <c r="G46" s="16" t="str">
        <f t="shared" si="8"/>
        <v/>
      </c>
      <c r="H46" s="16" t="str">
        <f t="shared" si="8"/>
        <v/>
      </c>
      <c r="I46" s="16" t="str">
        <f t="shared" si="8"/>
        <v/>
      </c>
      <c r="J46" s="16" t="str">
        <f t="shared" si="8"/>
        <v/>
      </c>
      <c r="K46" s="16" t="str">
        <f t="shared" si="8"/>
        <v/>
      </c>
      <c r="L46" s="16" t="str">
        <f t="shared" si="8"/>
        <v/>
      </c>
      <c r="M46" s="16" t="str">
        <f t="shared" si="8"/>
        <v/>
      </c>
      <c r="N46" s="16" t="str">
        <f t="shared" si="1"/>
        <v/>
      </c>
      <c r="O46" s="16"/>
    </row>
    <row r="47" spans="2:32" x14ac:dyDescent="0.75">
      <c r="B47" s="7">
        <v>2017</v>
      </c>
      <c r="C47" s="16">
        <f t="shared" ref="C47:M47" si="9">IF(D30&lt;&gt;"",IF($B47+C$21 &lt;= LatestYear,D30/C30,""),"")</f>
        <v>2.0219243631908066</v>
      </c>
      <c r="D47" s="16">
        <f t="shared" si="9"/>
        <v>1.1874506494912223</v>
      </c>
      <c r="E47" s="16">
        <f t="shared" si="9"/>
        <v>1.0761818904698714</v>
      </c>
      <c r="F47" s="16" t="str">
        <f t="shared" si="9"/>
        <v/>
      </c>
      <c r="G47" s="16" t="str">
        <f t="shared" si="9"/>
        <v/>
      </c>
      <c r="H47" s="16" t="str">
        <f t="shared" si="9"/>
        <v/>
      </c>
      <c r="I47" s="16" t="str">
        <f t="shared" si="9"/>
        <v/>
      </c>
      <c r="J47" s="16" t="str">
        <f t="shared" si="9"/>
        <v/>
      </c>
      <c r="K47" s="16" t="str">
        <f t="shared" si="9"/>
        <v/>
      </c>
      <c r="L47" s="16" t="str">
        <f t="shared" si="9"/>
        <v/>
      </c>
      <c r="M47" s="16" t="str">
        <f t="shared" si="9"/>
        <v/>
      </c>
      <c r="N47" s="16" t="str">
        <f t="shared" si="1"/>
        <v/>
      </c>
      <c r="O47" s="16"/>
    </row>
    <row r="48" spans="2:32" x14ac:dyDescent="0.75">
      <c r="B48" s="7">
        <v>2018</v>
      </c>
      <c r="C48" s="16">
        <f t="shared" ref="C48:M48" si="10">IF(D31&lt;&gt;"",IF($B48+C$21 &lt;= LatestYear,D31/C31,""),"")</f>
        <v>1.9622667438819101</v>
      </c>
      <c r="D48" s="16">
        <f t="shared" si="10"/>
        <v>1.1802754542221885</v>
      </c>
      <c r="E48" s="16" t="str">
        <f t="shared" si="10"/>
        <v/>
      </c>
      <c r="F48" s="16" t="str">
        <f t="shared" si="10"/>
        <v/>
      </c>
      <c r="G48" s="16" t="str">
        <f t="shared" si="10"/>
        <v/>
      </c>
      <c r="H48" s="16" t="str">
        <f t="shared" si="10"/>
        <v/>
      </c>
      <c r="I48" s="16" t="str">
        <f t="shared" si="10"/>
        <v/>
      </c>
      <c r="J48" s="16" t="str">
        <f t="shared" si="10"/>
        <v/>
      </c>
      <c r="K48" s="16" t="str">
        <f t="shared" si="10"/>
        <v/>
      </c>
      <c r="L48" s="16" t="str">
        <f t="shared" si="10"/>
        <v/>
      </c>
      <c r="M48" s="16" t="str">
        <f t="shared" si="10"/>
        <v/>
      </c>
      <c r="N48" s="16" t="str">
        <f t="shared" si="1"/>
        <v/>
      </c>
      <c r="O48" s="16"/>
    </row>
    <row r="49" spans="2:15" x14ac:dyDescent="0.75">
      <c r="B49" s="7">
        <v>2019</v>
      </c>
      <c r="C49" s="16">
        <f t="shared" ref="C49:M49" si="11">IF(D32&lt;&gt;"",IF($B49+C$21 &lt;= LatestYear,D32/C32,""),"")</f>
        <v>1.9171316916670933</v>
      </c>
      <c r="D49" s="16" t="str">
        <f t="shared" si="11"/>
        <v/>
      </c>
      <c r="E49" s="16" t="str">
        <f t="shared" si="11"/>
        <v/>
      </c>
      <c r="F49" s="16" t="str">
        <f t="shared" si="11"/>
        <v/>
      </c>
      <c r="G49" s="16" t="str">
        <f t="shared" si="11"/>
        <v/>
      </c>
      <c r="H49" s="16" t="str">
        <f t="shared" si="11"/>
        <v/>
      </c>
      <c r="I49" s="16" t="str">
        <f t="shared" si="11"/>
        <v/>
      </c>
      <c r="J49" s="16" t="str">
        <f t="shared" si="11"/>
        <v/>
      </c>
      <c r="K49" s="16" t="str">
        <f t="shared" si="11"/>
        <v/>
      </c>
      <c r="L49" s="16" t="str">
        <f t="shared" si="11"/>
        <v/>
      </c>
      <c r="M49" s="16" t="str">
        <f t="shared" si="11"/>
        <v/>
      </c>
      <c r="N49" s="16" t="str">
        <f t="shared" si="1"/>
        <v/>
      </c>
      <c r="O49" s="16"/>
    </row>
    <row r="50" spans="2:15" x14ac:dyDescent="0.75">
      <c r="B50" s="7">
        <v>2020</v>
      </c>
      <c r="C50" s="16" t="str">
        <f t="shared" ref="C50:M50" si="12">IF(D33&lt;&gt;"",IF($B50+C$21 &lt;= LatestYear,D33/C33,""),"")</f>
        <v/>
      </c>
      <c r="D50" s="16" t="str">
        <f t="shared" si="12"/>
        <v/>
      </c>
      <c r="E50" s="16" t="str">
        <f t="shared" si="12"/>
        <v/>
      </c>
      <c r="F50" s="16" t="str">
        <f t="shared" si="12"/>
        <v/>
      </c>
      <c r="G50" s="16" t="str">
        <f t="shared" si="12"/>
        <v/>
      </c>
      <c r="H50" s="16" t="str">
        <f t="shared" si="12"/>
        <v/>
      </c>
      <c r="I50" s="16" t="str">
        <f t="shared" si="12"/>
        <v/>
      </c>
      <c r="J50" s="16" t="str">
        <f t="shared" si="12"/>
        <v/>
      </c>
      <c r="K50" s="16" t="str">
        <f t="shared" si="12"/>
        <v/>
      </c>
      <c r="L50" s="16" t="str">
        <f t="shared" si="12"/>
        <v/>
      </c>
      <c r="M50" s="16" t="str">
        <f t="shared" si="12"/>
        <v/>
      </c>
      <c r="N50" s="16" t="str">
        <f t="shared" si="1"/>
        <v/>
      </c>
      <c r="O50" s="16"/>
    </row>
    <row r="54" spans="2:15" x14ac:dyDescent="0.75">
      <c r="B54" s="19" t="s">
        <v>10</v>
      </c>
      <c r="C54" s="18">
        <f>SUM(D22:D32)/SUM(C22:C32)</f>
        <v>2.0171433188244361</v>
      </c>
      <c r="D54" s="18">
        <f>SUM(E22:E31)/SUM(D22:D31)</f>
        <v>1.188719647365996</v>
      </c>
      <c r="E54" s="18">
        <f>SUM(F22:F30)/SUM(E22:E30)</f>
        <v>1.0679386190747573</v>
      </c>
      <c r="F54" s="18">
        <f>SUM(G22:G29)/SUM(F22:F29)</f>
        <v>1.0330080258939325</v>
      </c>
      <c r="G54" s="18">
        <f>SUM(H22:H28)/SUM(G22:G28)</f>
        <v>1.0225796785638588</v>
      </c>
      <c r="H54" s="18">
        <f>SUM(I22:I27)/SUM(H22:H27)</f>
        <v>1.0145918797043163</v>
      </c>
      <c r="I54" s="18">
        <f>SUM(J22:J26)/SUM(I22:I26)</f>
        <v>1.0113450250708893</v>
      </c>
      <c r="J54" s="18">
        <f>SUM(K22:K25)/SUM(J22:J25)</f>
        <v>1.0087400099976809</v>
      </c>
      <c r="K54" s="18">
        <f>SUM(L22:L24)/SUM(K22:K24)</f>
        <v>1.0066166186595176</v>
      </c>
      <c r="L54" s="18">
        <f>SUM(M22:M23)/SUM(L22:L23)</f>
        <v>1.0040863784742426</v>
      </c>
      <c r="M54" s="18">
        <f>SUM(N22:N22)/SUM(M22:M22)</f>
        <v>1.0085498376415254</v>
      </c>
      <c r="N54" s="18">
        <v>1</v>
      </c>
      <c r="O54" s="18"/>
    </row>
    <row r="55" spans="2:15" x14ac:dyDescent="0.75">
      <c r="B55" s="19" t="s">
        <v>11</v>
      </c>
      <c r="C55" s="18">
        <f>PRODUCT(C54:$N$54)</f>
        <v>2.8540780733960247</v>
      </c>
      <c r="D55" s="18">
        <f>PRODUCT(D54:$N$54)</f>
        <v>1.4149109023444812</v>
      </c>
      <c r="E55" s="18">
        <f>PRODUCT(E54:$N$54)</f>
        <v>1.1902814136871442</v>
      </c>
      <c r="F55" s="18">
        <f>PRODUCT(F54:$N$54)</f>
        <v>1.1145597625436401</v>
      </c>
      <c r="G55" s="18">
        <f>PRODUCT(G54:$N$54)</f>
        <v>1.078945888710918</v>
      </c>
      <c r="H55" s="18">
        <f>PRODUCT(H54:$N$54)</f>
        <v>1.0551215825315654</v>
      </c>
      <c r="I55" s="18">
        <f>PRODUCT(I54:$N$54)</f>
        <v>1.0399468038705972</v>
      </c>
      <c r="J55" s="18">
        <f>PRODUCT(J54:$N$54)</f>
        <v>1.0282809309292871</v>
      </c>
      <c r="K55" s="18">
        <f>PRODUCT(K54:$N$54)</f>
        <v>1.0193716128416985</v>
      </c>
      <c r="L55" s="18">
        <f>PRODUCT(L54:$N$54)</f>
        <v>1.0126711539882647</v>
      </c>
      <c r="M55" s="18">
        <f>PRODUCT(M54:$N$54)</f>
        <v>1.0085498376415254</v>
      </c>
      <c r="N55" s="18">
        <f>PRODUCT(N54:$N$54)</f>
        <v>1</v>
      </c>
      <c r="O55" s="18"/>
    </row>
    <row r="59" spans="2:15" x14ac:dyDescent="0.75">
      <c r="B59" s="1"/>
      <c r="C59" s="1"/>
      <c r="D59" s="1" t="s">
        <v>0</v>
      </c>
      <c r="E59" s="2" t="s">
        <v>12</v>
      </c>
      <c r="F59" s="1"/>
      <c r="G59" s="1"/>
      <c r="H59" s="1"/>
      <c r="I59" s="1"/>
      <c r="K59" s="1"/>
      <c r="L59" s="1"/>
      <c r="M59" s="1"/>
      <c r="N59" s="1"/>
      <c r="O59" s="1"/>
    </row>
    <row r="60" spans="2:15" x14ac:dyDescent="0.75">
      <c r="B60" s="1"/>
      <c r="C60" s="14" t="s">
        <v>6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2:15" x14ac:dyDescent="0.75">
      <c r="B61" s="5" t="s">
        <v>7</v>
      </c>
      <c r="C61" s="15">
        <v>0</v>
      </c>
      <c r="D61" s="15">
        <v>1</v>
      </c>
      <c r="E61" s="15">
        <v>2</v>
      </c>
      <c r="F61" s="15">
        <v>3</v>
      </c>
      <c r="G61" s="15">
        <v>4</v>
      </c>
      <c r="H61" s="15">
        <v>5</v>
      </c>
      <c r="I61" s="15">
        <v>6</v>
      </c>
      <c r="J61" s="15">
        <v>7</v>
      </c>
      <c r="K61" s="15">
        <v>8</v>
      </c>
      <c r="L61" s="15">
        <v>9</v>
      </c>
      <c r="M61" s="15">
        <v>10</v>
      </c>
      <c r="N61" s="15">
        <v>11</v>
      </c>
      <c r="O61" s="50"/>
    </row>
    <row r="62" spans="2:15" x14ac:dyDescent="0.75">
      <c r="B62" s="7">
        <v>2009</v>
      </c>
      <c r="C62" s="17">
        <f t="shared" ref="C62:M62" si="13">IF(C$61+$B62&gt;LatestYear,"",IF(C$61+$B62=LatestYear,C22,D62/C$54))</f>
        <v>30053.352071142905</v>
      </c>
      <c r="D62" s="17">
        <f t="shared" si="13"/>
        <v>60621.918338584437</v>
      </c>
      <c r="E62" s="17">
        <f t="shared" si="13"/>
        <v>72062.4653900923</v>
      </c>
      <c r="F62" s="17">
        <f t="shared" si="13"/>
        <v>76958.28977581767</v>
      </c>
      <c r="G62" s="17">
        <f t="shared" si="13"/>
        <v>79498.530997490612</v>
      </c>
      <c r="H62" s="17">
        <f t="shared" si="13"/>
        <v>81293.58227371292</v>
      </c>
      <c r="I62" s="17">
        <f t="shared" si="13"/>
        <v>82479.80844698388</v>
      </c>
      <c r="J62" s="17">
        <f t="shared" si="13"/>
        <v>83415.543941657059</v>
      </c>
      <c r="K62" s="17">
        <f t="shared" si="13"/>
        <v>84144.596629669133</v>
      </c>
      <c r="L62" s="17">
        <f t="shared" si="13"/>
        <v>84701.349337826585</v>
      </c>
      <c r="M62" s="17">
        <f t="shared" si="13"/>
        <v>85047.471108499987</v>
      </c>
      <c r="N62" s="17">
        <f t="shared" ref="N62:N73" si="14">IF(N$61+$B62&gt;LatestYear,"",IF(N$61+$B62=LatestYear,N22,P62/N$54))</f>
        <v>85774.613178299987</v>
      </c>
      <c r="O62" s="17"/>
    </row>
    <row r="63" spans="2:15" x14ac:dyDescent="0.75">
      <c r="B63" s="7">
        <v>2010</v>
      </c>
      <c r="C63" s="17">
        <f t="shared" ref="C63:M63" si="15">IF(C$61+$B63&gt;LatestYear,"",IF(C$61+$B63=LatestYear,C23,D63/C$54))</f>
        <v>34038.516949976482</v>
      </c>
      <c r="D63" s="17">
        <f t="shared" si="15"/>
        <v>68660.567048337383</v>
      </c>
      <c r="E63" s="17">
        <f t="shared" si="15"/>
        <v>81618.165049648931</v>
      </c>
      <c r="F63" s="17">
        <f t="shared" si="15"/>
        <v>87163.190474537696</v>
      </c>
      <c r="G63" s="17">
        <f t="shared" si="15"/>
        <v>90040.275322719011</v>
      </c>
      <c r="H63" s="17">
        <f t="shared" si="15"/>
        <v>92073.355797307348</v>
      </c>
      <c r="I63" s="17">
        <f t="shared" si="15"/>
        <v>93416.879129074368</v>
      </c>
      <c r="J63" s="17">
        <f t="shared" si="15"/>
        <v>94476.695964837956</v>
      </c>
      <c r="K63" s="17">
        <f t="shared" si="15"/>
        <v>95302.423232118497</v>
      </c>
      <c r="L63" s="17">
        <f t="shared" si="15"/>
        <v>95933.003023973375</v>
      </c>
      <c r="M63" s="17">
        <f t="shared" si="15"/>
        <v>96325.02158249999</v>
      </c>
      <c r="N63" s="17" t="str">
        <f t="shared" si="14"/>
        <v/>
      </c>
      <c r="O63" s="17"/>
    </row>
    <row r="64" spans="2:15" x14ac:dyDescent="0.75">
      <c r="B64" s="7">
        <v>2011</v>
      </c>
      <c r="C64" s="17">
        <f t="shared" ref="C64:M64" si="16">IF(C$61+$B64&gt;LatestYear,"",IF(C$61+$B64=LatestYear,C24,D64/C$54))</f>
        <v>37258.283814344089</v>
      </c>
      <c r="D64" s="17">
        <f t="shared" si="16"/>
        <v>75155.298266968806</v>
      </c>
      <c r="E64" s="17">
        <f t="shared" si="16"/>
        <v>89338.579653597408</v>
      </c>
      <c r="F64" s="17">
        <f t="shared" si="16"/>
        <v>95408.119385363025</v>
      </c>
      <c r="G64" s="17">
        <f t="shared" si="16"/>
        <v>98557.353060526482</v>
      </c>
      <c r="H64" s="17">
        <f t="shared" si="16"/>
        <v>100782.74641273792</v>
      </c>
      <c r="I64" s="17">
        <f t="shared" si="16"/>
        <v>102253.3561246632</v>
      </c>
      <c r="J64" s="17">
        <f t="shared" si="16"/>
        <v>103413.42301348007</v>
      </c>
      <c r="K64" s="17">
        <f t="shared" si="16"/>
        <v>104317.25736451229</v>
      </c>
      <c r="L64" s="17">
        <f t="shared" si="16"/>
        <v>105007.48487610002</v>
      </c>
      <c r="M64" s="17" t="str">
        <f t="shared" si="16"/>
        <v/>
      </c>
      <c r="N64" s="17" t="str">
        <f t="shared" si="14"/>
        <v/>
      </c>
      <c r="O64" s="17"/>
    </row>
    <row r="65" spans="2:15" x14ac:dyDescent="0.75">
      <c r="B65" s="7">
        <v>2012</v>
      </c>
      <c r="C65" s="17">
        <f t="shared" ref="C65:M65" si="17">IF(C$61+$B65&gt;LatestYear,"",IF(C$61+$B65=LatestYear,C25,D65/C$54))</f>
        <v>40957.478549605701</v>
      </c>
      <c r="D65" s="17">
        <f t="shared" si="17"/>
        <v>82617.104212232298</v>
      </c>
      <c r="E65" s="17">
        <f t="shared" si="17"/>
        <v>98208.574985564512</v>
      </c>
      <c r="F65" s="17">
        <f t="shared" si="17"/>
        <v>104880.72995138352</v>
      </c>
      <c r="G65" s="17">
        <f t="shared" si="17"/>
        <v>108342.63580139332</v>
      </c>
      <c r="H65" s="17">
        <f t="shared" si="17"/>
        <v>110788.97769255</v>
      </c>
      <c r="I65" s="17">
        <f t="shared" si="17"/>
        <v>112405.59712760388</v>
      </c>
      <c r="J65" s="17">
        <f t="shared" si="17"/>
        <v>113680.84144512482</v>
      </c>
      <c r="K65" s="17">
        <f t="shared" si="17"/>
        <v>114674.41313589999</v>
      </c>
      <c r="L65" s="17" t="str">
        <f t="shared" si="17"/>
        <v/>
      </c>
      <c r="M65" s="17" t="str">
        <f t="shared" si="17"/>
        <v/>
      </c>
      <c r="N65" s="17" t="str">
        <f t="shared" si="14"/>
        <v/>
      </c>
      <c r="O65" s="17"/>
    </row>
    <row r="66" spans="2:15" x14ac:dyDescent="0.75">
      <c r="B66" s="7">
        <v>2013</v>
      </c>
      <c r="C66" s="17">
        <f t="shared" ref="C66:M66" si="18">IF(C$61+$B66&gt;LatestYear,"",IF(C$61+$B66=LatestYear,C26,D66/C$54))</f>
        <v>42617.894122094527</v>
      </c>
      <c r="D66" s="17">
        <f t="shared" si="18"/>
        <v>85966.400390750176</v>
      </c>
      <c r="E66" s="17">
        <f t="shared" si="18"/>
        <v>102189.94915781656</v>
      </c>
      <c r="F66" s="17">
        <f t="shared" si="18"/>
        <v>109132.59318691827</v>
      </c>
      <c r="G66" s="17">
        <f t="shared" si="18"/>
        <v>112734.84464870406</v>
      </c>
      <c r="H66" s="17">
        <f t="shared" si="18"/>
        <v>115280.36120381836</v>
      </c>
      <c r="I66" s="17">
        <f t="shared" si="18"/>
        <v>116962.51836677462</v>
      </c>
      <c r="J66" s="17">
        <f t="shared" si="18"/>
        <v>118289.46107000002</v>
      </c>
      <c r="K66" s="17" t="str">
        <f t="shared" si="18"/>
        <v/>
      </c>
      <c r="L66" s="17" t="str">
        <f t="shared" si="18"/>
        <v/>
      </c>
      <c r="M66" s="17" t="str">
        <f t="shared" si="18"/>
        <v/>
      </c>
      <c r="N66" s="17" t="str">
        <f t="shared" si="14"/>
        <v/>
      </c>
      <c r="O66" s="17"/>
    </row>
    <row r="67" spans="2:15" x14ac:dyDescent="0.75">
      <c r="B67" s="7">
        <v>2014</v>
      </c>
      <c r="C67" s="17">
        <f t="shared" ref="C67:M67" si="19">IF(C$61+$B67&gt;LatestYear,"",IF(C$61+$B67=LatestYear,C27,D67/C$54))</f>
        <v>48147.626345189798</v>
      </c>
      <c r="D67" s="17">
        <f t="shared" si="19"/>
        <v>97120.662799455007</v>
      </c>
      <c r="E67" s="17">
        <f t="shared" si="19"/>
        <v>115449.24003491996</v>
      </c>
      <c r="F67" s="17">
        <f t="shared" si="19"/>
        <v>123292.70197612261</v>
      </c>
      <c r="G67" s="17">
        <f t="shared" si="19"/>
        <v>127362.35067548337</v>
      </c>
      <c r="H67" s="17">
        <f t="shared" si="19"/>
        <v>130238.15161487325</v>
      </c>
      <c r="I67" s="17">
        <f t="shared" si="19"/>
        <v>132138.57105614999</v>
      </c>
      <c r="J67" s="17" t="str">
        <f t="shared" si="19"/>
        <v/>
      </c>
      <c r="K67" s="17" t="str">
        <f t="shared" si="19"/>
        <v/>
      </c>
      <c r="L67" s="17" t="str">
        <f t="shared" si="19"/>
        <v/>
      </c>
      <c r="M67" s="17" t="str">
        <f t="shared" si="19"/>
        <v/>
      </c>
      <c r="N67" s="17" t="str">
        <f t="shared" si="14"/>
        <v/>
      </c>
      <c r="O67" s="17"/>
    </row>
    <row r="68" spans="2:15" x14ac:dyDescent="0.75">
      <c r="B68" s="7">
        <v>2015</v>
      </c>
      <c r="C68" s="17">
        <f t="shared" ref="C68:M68" si="20">IF(C$61+$B68&gt;LatestYear,"",IF(C$61+$B68=LatestYear,C28,D68/C$54))</f>
        <v>51124.681933250744</v>
      </c>
      <c r="D68" s="17">
        <f t="shared" si="20"/>
        <v>103125.8105886811</v>
      </c>
      <c r="E68" s="17">
        <f t="shared" si="20"/>
        <v>122587.67719730949</v>
      </c>
      <c r="F68" s="17">
        <f t="shared" si="20"/>
        <v>130916.11470167681</v>
      </c>
      <c r="G68" s="17">
        <f t="shared" si="20"/>
        <v>135237.39720568279</v>
      </c>
      <c r="H68" s="17">
        <f t="shared" si="20"/>
        <v>138291.0141644</v>
      </c>
      <c r="I68" s="17" t="str">
        <f t="shared" si="20"/>
        <v/>
      </c>
      <c r="J68" s="17" t="str">
        <f t="shared" si="20"/>
        <v/>
      </c>
      <c r="K68" s="17" t="str">
        <f t="shared" si="20"/>
        <v/>
      </c>
      <c r="L68" s="17" t="str">
        <f t="shared" si="20"/>
        <v/>
      </c>
      <c r="M68" s="17" t="str">
        <f t="shared" si="20"/>
        <v/>
      </c>
      <c r="N68" s="17" t="str">
        <f t="shared" si="14"/>
        <v/>
      </c>
      <c r="O68" s="17"/>
    </row>
    <row r="69" spans="2:15" x14ac:dyDescent="0.75">
      <c r="B69" s="7">
        <v>2016</v>
      </c>
      <c r="C69" s="17">
        <f t="shared" ref="C69:M69" si="21">IF(C$61+$B69&gt;LatestYear,"",IF(C$61+$B69=LatestYear,C29,D69/C$54))</f>
        <v>49107.105749937225</v>
      </c>
      <c r="D69" s="17">
        <f t="shared" si="21"/>
        <v>99056.070270290918</v>
      </c>
      <c r="E69" s="17">
        <f t="shared" si="21"/>
        <v>117749.89692116155</v>
      </c>
      <c r="F69" s="17">
        <f t="shared" si="21"/>
        <v>125749.66231418028</v>
      </c>
      <c r="G69" s="17">
        <f t="shared" si="21"/>
        <v>129900.41042400002</v>
      </c>
      <c r="H69" s="17" t="str">
        <f t="shared" si="21"/>
        <v/>
      </c>
      <c r="I69" s="17" t="str">
        <f t="shared" si="21"/>
        <v/>
      </c>
      <c r="J69" s="17" t="str">
        <f t="shared" si="21"/>
        <v/>
      </c>
      <c r="K69" s="17" t="str">
        <f t="shared" si="21"/>
        <v/>
      </c>
      <c r="L69" s="17" t="str">
        <f t="shared" si="21"/>
        <v/>
      </c>
      <c r="M69" s="17" t="str">
        <f t="shared" si="21"/>
        <v/>
      </c>
      <c r="N69" s="17" t="str">
        <f t="shared" si="14"/>
        <v/>
      </c>
      <c r="O69" s="17"/>
    </row>
    <row r="70" spans="2:15" x14ac:dyDescent="0.75">
      <c r="B70" s="7">
        <v>2017</v>
      </c>
      <c r="C70" s="17">
        <f t="shared" ref="C70:M70" si="22">IF(C$61+$B70&gt;LatestYear,"",IF(C$61+$B70=LatestYear,C30,D70/C$54))</f>
        <v>48730.813095149111</v>
      </c>
      <c r="D70" s="17">
        <f t="shared" si="22"/>
        <v>98297.034055762371</v>
      </c>
      <c r="E70" s="17">
        <f t="shared" si="22"/>
        <v>116847.61565988915</v>
      </c>
      <c r="F70" s="17">
        <f t="shared" si="22"/>
        <v>124786.08131000001</v>
      </c>
      <c r="G70" s="17" t="str">
        <f t="shared" si="22"/>
        <v/>
      </c>
      <c r="H70" s="17" t="str">
        <f t="shared" si="22"/>
        <v/>
      </c>
      <c r="I70" s="17" t="str">
        <f t="shared" si="22"/>
        <v/>
      </c>
      <c r="J70" s="17" t="str">
        <f t="shared" si="22"/>
        <v/>
      </c>
      <c r="K70" s="17" t="str">
        <f t="shared" si="22"/>
        <v/>
      </c>
      <c r="L70" s="17" t="str">
        <f t="shared" si="22"/>
        <v/>
      </c>
      <c r="M70" s="17" t="str">
        <f t="shared" si="22"/>
        <v/>
      </c>
      <c r="N70" s="17" t="str">
        <f t="shared" si="14"/>
        <v/>
      </c>
      <c r="O70" s="17"/>
    </row>
    <row r="71" spans="2:15" x14ac:dyDescent="0.75">
      <c r="B71" s="7">
        <v>2018</v>
      </c>
      <c r="C71" s="17">
        <f t="shared" ref="C71:M71" si="23">IF(C$61+$B71&gt;LatestYear,"",IF(C$61+$B71=LatestYear,C31,D71/C$54))</f>
        <v>50796.081534083278</v>
      </c>
      <c r="D71" s="17">
        <f t="shared" si="23"/>
        <v>102462.97648893739</v>
      </c>
      <c r="E71" s="17">
        <f t="shared" si="23"/>
        <v>121799.75327999999</v>
      </c>
      <c r="F71" s="17" t="str">
        <f t="shared" si="23"/>
        <v/>
      </c>
      <c r="G71" s="17" t="str">
        <f t="shared" si="23"/>
        <v/>
      </c>
      <c r="H71" s="17" t="str">
        <f t="shared" si="23"/>
        <v/>
      </c>
      <c r="I71" s="17" t="str">
        <f t="shared" si="23"/>
        <v/>
      </c>
      <c r="J71" s="17" t="str">
        <f t="shared" si="23"/>
        <v/>
      </c>
      <c r="K71" s="17" t="str">
        <f t="shared" si="23"/>
        <v/>
      </c>
      <c r="L71" s="17" t="str">
        <f t="shared" si="23"/>
        <v/>
      </c>
      <c r="M71" s="17" t="str">
        <f t="shared" si="23"/>
        <v/>
      </c>
      <c r="N71" s="17" t="str">
        <f t="shared" si="14"/>
        <v/>
      </c>
      <c r="O71" s="17"/>
    </row>
    <row r="72" spans="2:15" x14ac:dyDescent="0.75">
      <c r="B72" s="7">
        <v>2019</v>
      </c>
      <c r="C72" s="17">
        <f t="shared" ref="C72:M72" si="24">IF(C$61+$B72&gt;LatestYear,"",IF(C$61+$B72=LatestYear,C32,D72/C$54))</f>
        <v>55693.61331522611</v>
      </c>
      <c r="D72" s="17">
        <f t="shared" si="24"/>
        <v>112342</v>
      </c>
      <c r="E72" s="17" t="str">
        <f t="shared" si="24"/>
        <v/>
      </c>
      <c r="F72" s="17" t="str">
        <f t="shared" si="24"/>
        <v/>
      </c>
      <c r="G72" s="17" t="str">
        <f t="shared" si="24"/>
        <v/>
      </c>
      <c r="H72" s="17" t="str">
        <f t="shared" si="24"/>
        <v/>
      </c>
      <c r="I72" s="17" t="str">
        <f t="shared" si="24"/>
        <v/>
      </c>
      <c r="J72" s="17" t="str">
        <f t="shared" si="24"/>
        <v/>
      </c>
      <c r="K72" s="17" t="str">
        <f t="shared" si="24"/>
        <v/>
      </c>
      <c r="L72" s="17" t="str">
        <f t="shared" si="24"/>
        <v/>
      </c>
      <c r="M72" s="17" t="str">
        <f t="shared" si="24"/>
        <v/>
      </c>
      <c r="N72" s="17" t="str">
        <f t="shared" si="14"/>
        <v/>
      </c>
      <c r="O72" s="17"/>
    </row>
    <row r="73" spans="2:15" x14ac:dyDescent="0.75">
      <c r="B73" s="7">
        <v>2020</v>
      </c>
      <c r="C73" s="17">
        <f t="shared" ref="C73:M73" si="25">IF(C$61+$B73&gt;LatestYear,"",IF(C$61+$B73=LatestYear,C33,D73/C$54))</f>
        <v>60361.276160000001</v>
      </c>
      <c r="D73" s="17" t="str">
        <f t="shared" si="25"/>
        <v/>
      </c>
      <c r="E73" s="17" t="str">
        <f t="shared" si="25"/>
        <v/>
      </c>
      <c r="F73" s="17" t="str">
        <f t="shared" si="25"/>
        <v/>
      </c>
      <c r="G73" s="17" t="str">
        <f t="shared" si="25"/>
        <v/>
      </c>
      <c r="H73" s="17" t="str">
        <f t="shared" si="25"/>
        <v/>
      </c>
      <c r="I73" s="17" t="str">
        <f t="shared" si="25"/>
        <v/>
      </c>
      <c r="J73" s="17" t="str">
        <f t="shared" si="25"/>
        <v/>
      </c>
      <c r="K73" s="17" t="str">
        <f t="shared" si="25"/>
        <v/>
      </c>
      <c r="L73" s="17" t="str">
        <f t="shared" si="25"/>
        <v/>
      </c>
      <c r="M73" s="17" t="str">
        <f t="shared" si="25"/>
        <v/>
      </c>
      <c r="N73" s="17" t="str">
        <f t="shared" si="14"/>
        <v/>
      </c>
      <c r="O73" s="17"/>
    </row>
    <row r="78" spans="2:15" x14ac:dyDescent="0.75">
      <c r="B78" s="1"/>
      <c r="C78" s="1"/>
      <c r="D78" s="1" t="s">
        <v>0</v>
      </c>
      <c r="E78" s="2" t="s">
        <v>43</v>
      </c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2:15" x14ac:dyDescent="0.75">
      <c r="B79" s="1"/>
      <c r="C79" s="14" t="s">
        <v>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2:15" x14ac:dyDescent="0.75">
      <c r="B80" s="5" t="s">
        <v>7</v>
      </c>
      <c r="C80" s="15">
        <v>0</v>
      </c>
      <c r="D80" s="15">
        <v>1</v>
      </c>
      <c r="E80" s="15">
        <v>2</v>
      </c>
      <c r="F80" s="15">
        <v>3</v>
      </c>
      <c r="G80" s="15">
        <v>4</v>
      </c>
      <c r="H80" s="15">
        <v>5</v>
      </c>
      <c r="I80" s="15">
        <v>6</v>
      </c>
      <c r="J80" s="15">
        <v>7</v>
      </c>
      <c r="K80" s="15">
        <v>8</v>
      </c>
      <c r="L80" s="15">
        <v>9</v>
      </c>
      <c r="M80" s="15">
        <v>10</v>
      </c>
      <c r="N80" s="15">
        <v>11</v>
      </c>
      <c r="O80" s="50"/>
    </row>
    <row r="81" spans="2:15" x14ac:dyDescent="0.75">
      <c r="B81" s="7">
        <v>2009</v>
      </c>
      <c r="C81" s="17">
        <f>IF(C$80+$B81&gt;LatestYear,"",IF(C$80=0,C62,C62-B62))</f>
        <v>30053.352071142905</v>
      </c>
      <c r="D81" s="17">
        <f t="shared" ref="D81:N81" si="26">IF(D$80+$B81&gt;LatestYear,"",IF(D$80=0,D62,D62-C62))</f>
        <v>30568.566267441533</v>
      </c>
      <c r="E81" s="17">
        <f t="shared" si="26"/>
        <v>11440.547051507863</v>
      </c>
      <c r="F81" s="17">
        <f t="shared" si="26"/>
        <v>4895.8243857253692</v>
      </c>
      <c r="G81" s="17">
        <f t="shared" si="26"/>
        <v>2540.2412216729426</v>
      </c>
      <c r="H81" s="17">
        <f t="shared" si="26"/>
        <v>1795.0512762223079</v>
      </c>
      <c r="I81" s="17">
        <f t="shared" si="26"/>
        <v>1186.2261732709594</v>
      </c>
      <c r="J81" s="17">
        <f t="shared" si="26"/>
        <v>935.73549467317935</v>
      </c>
      <c r="K81" s="17">
        <f t="shared" si="26"/>
        <v>729.05268801207421</v>
      </c>
      <c r="L81" s="17">
        <f t="shared" si="26"/>
        <v>556.75270815745171</v>
      </c>
      <c r="M81" s="17">
        <f t="shared" si="26"/>
        <v>346.12177067340235</v>
      </c>
      <c r="N81" s="17">
        <f>IF(N$80+$B81&gt;LatestYear,"",IF(N$80=0,N62,N62-M62))</f>
        <v>727.14206980000017</v>
      </c>
      <c r="O81" s="17"/>
    </row>
    <row r="82" spans="2:15" x14ac:dyDescent="0.75">
      <c r="B82" s="7">
        <v>2010</v>
      </c>
      <c r="C82" s="17">
        <f t="shared" ref="C82:N92" si="27">IF(C$80+$B82&gt;LatestYear,"",IF(C$80=0,C63,C63-B63))</f>
        <v>34038.516949976482</v>
      </c>
      <c r="D82" s="17">
        <f t="shared" si="27"/>
        <v>34622.050098360902</v>
      </c>
      <c r="E82" s="17">
        <f t="shared" si="27"/>
        <v>12957.598001311548</v>
      </c>
      <c r="F82" s="17">
        <f t="shared" si="27"/>
        <v>5545.025424888765</v>
      </c>
      <c r="G82" s="17">
        <f t="shared" si="27"/>
        <v>2877.0848481813155</v>
      </c>
      <c r="H82" s="17">
        <f t="shared" si="27"/>
        <v>2033.0804745883361</v>
      </c>
      <c r="I82" s="17">
        <f t="shared" si="27"/>
        <v>1343.5233317670209</v>
      </c>
      <c r="J82" s="17">
        <f t="shared" si="27"/>
        <v>1059.8168357635877</v>
      </c>
      <c r="K82" s="17">
        <f t="shared" si="27"/>
        <v>825.72726728054113</v>
      </c>
      <c r="L82" s="17">
        <f t="shared" si="27"/>
        <v>630.57979185487784</v>
      </c>
      <c r="M82" s="17">
        <f t="shared" si="27"/>
        <v>392.01855852661538</v>
      </c>
      <c r="N82" s="17" t="str">
        <f t="shared" si="27"/>
        <v/>
      </c>
      <c r="O82" s="17"/>
    </row>
    <row r="83" spans="2:15" x14ac:dyDescent="0.75">
      <c r="B83" s="7">
        <v>2011</v>
      </c>
      <c r="C83" s="17">
        <f t="shared" si="27"/>
        <v>37258.283814344089</v>
      </c>
      <c r="D83" s="17">
        <f t="shared" si="27"/>
        <v>37897.014452624717</v>
      </c>
      <c r="E83" s="17">
        <f t="shared" si="27"/>
        <v>14183.281386628601</v>
      </c>
      <c r="F83" s="17">
        <f t="shared" si="27"/>
        <v>6069.539731765617</v>
      </c>
      <c r="G83" s="17">
        <f t="shared" si="27"/>
        <v>3149.2336751634575</v>
      </c>
      <c r="H83" s="17">
        <f t="shared" si="27"/>
        <v>2225.3933522114385</v>
      </c>
      <c r="I83" s="17">
        <f t="shared" si="27"/>
        <v>1470.6097119252809</v>
      </c>
      <c r="J83" s="17">
        <f t="shared" si="27"/>
        <v>1160.066888816873</v>
      </c>
      <c r="K83" s="17">
        <f t="shared" si="27"/>
        <v>903.83435103221564</v>
      </c>
      <c r="L83" s="17">
        <f t="shared" si="27"/>
        <v>690.22751158772735</v>
      </c>
      <c r="M83" s="17" t="str">
        <f t="shared" si="27"/>
        <v/>
      </c>
      <c r="N83" s="17" t="str">
        <f t="shared" si="27"/>
        <v/>
      </c>
      <c r="O83" s="17"/>
    </row>
    <row r="84" spans="2:15" x14ac:dyDescent="0.75">
      <c r="B84" s="7">
        <v>2012</v>
      </c>
      <c r="C84" s="17">
        <f t="shared" si="27"/>
        <v>40957.478549605701</v>
      </c>
      <c r="D84" s="17">
        <f t="shared" si="27"/>
        <v>41659.625662626597</v>
      </c>
      <c r="E84" s="17">
        <f t="shared" si="27"/>
        <v>15591.470773332214</v>
      </c>
      <c r="F84" s="17">
        <f t="shared" si="27"/>
        <v>6672.1549658190052</v>
      </c>
      <c r="G84" s="17">
        <f t="shared" si="27"/>
        <v>3461.9058500098035</v>
      </c>
      <c r="H84" s="17">
        <f t="shared" si="27"/>
        <v>2446.3418911566841</v>
      </c>
      <c r="I84" s="17">
        <f t="shared" si="27"/>
        <v>1616.6194350538717</v>
      </c>
      <c r="J84" s="17">
        <f t="shared" si="27"/>
        <v>1275.2443175209482</v>
      </c>
      <c r="K84" s="17">
        <f t="shared" si="27"/>
        <v>993.57169077516301</v>
      </c>
      <c r="L84" s="17" t="str">
        <f t="shared" si="27"/>
        <v/>
      </c>
      <c r="M84" s="17" t="str">
        <f t="shared" si="27"/>
        <v/>
      </c>
      <c r="N84" s="17" t="str">
        <f t="shared" si="27"/>
        <v/>
      </c>
      <c r="O84" s="17"/>
    </row>
    <row r="85" spans="2:15" x14ac:dyDescent="0.75">
      <c r="B85" s="7">
        <v>2013</v>
      </c>
      <c r="C85" s="17">
        <f t="shared" si="27"/>
        <v>42617.894122094527</v>
      </c>
      <c r="D85" s="17">
        <f t="shared" si="27"/>
        <v>43348.506268655648</v>
      </c>
      <c r="E85" s="17">
        <f t="shared" si="27"/>
        <v>16223.548767066386</v>
      </c>
      <c r="F85" s="17">
        <f t="shared" si="27"/>
        <v>6942.6440291017061</v>
      </c>
      <c r="G85" s="17">
        <f t="shared" si="27"/>
        <v>3602.251461785796</v>
      </c>
      <c r="H85" s="17">
        <f t="shared" si="27"/>
        <v>2545.5165551143</v>
      </c>
      <c r="I85" s="17">
        <f t="shared" si="27"/>
        <v>1682.1571629562532</v>
      </c>
      <c r="J85" s="17">
        <f t="shared" si="27"/>
        <v>1326.9427032254025</v>
      </c>
      <c r="K85" s="17" t="str">
        <f t="shared" si="27"/>
        <v/>
      </c>
      <c r="L85" s="17" t="str">
        <f t="shared" si="27"/>
        <v/>
      </c>
      <c r="M85" s="17" t="str">
        <f t="shared" si="27"/>
        <v/>
      </c>
      <c r="N85" s="17" t="str">
        <f t="shared" si="27"/>
        <v/>
      </c>
      <c r="O85" s="17"/>
    </row>
    <row r="86" spans="2:15" x14ac:dyDescent="0.75">
      <c r="B86" s="7">
        <v>2014</v>
      </c>
      <c r="C86" s="17">
        <f t="shared" si="27"/>
        <v>48147.626345189798</v>
      </c>
      <c r="D86" s="17">
        <f t="shared" si="27"/>
        <v>48973.03645426521</v>
      </c>
      <c r="E86" s="17">
        <f t="shared" si="27"/>
        <v>18328.577235464953</v>
      </c>
      <c r="F86" s="17">
        <f t="shared" si="27"/>
        <v>7843.4619412026514</v>
      </c>
      <c r="G86" s="17">
        <f t="shared" si="27"/>
        <v>4069.6486993607541</v>
      </c>
      <c r="H86" s="17">
        <f t="shared" si="27"/>
        <v>2875.8009393898828</v>
      </c>
      <c r="I86" s="17">
        <f t="shared" si="27"/>
        <v>1900.4194412767392</v>
      </c>
      <c r="J86" s="17" t="str">
        <f t="shared" si="27"/>
        <v/>
      </c>
      <c r="K86" s="17" t="str">
        <f t="shared" si="27"/>
        <v/>
      </c>
      <c r="L86" s="17" t="str">
        <f t="shared" si="27"/>
        <v/>
      </c>
      <c r="M86" s="17" t="str">
        <f t="shared" si="27"/>
        <v/>
      </c>
      <c r="N86" s="17" t="str">
        <f t="shared" si="27"/>
        <v/>
      </c>
      <c r="O86" s="17"/>
    </row>
    <row r="87" spans="2:15" x14ac:dyDescent="0.75">
      <c r="B87" s="7">
        <v>2015</v>
      </c>
      <c r="C87" s="17">
        <f t="shared" si="27"/>
        <v>51124.681933250744</v>
      </c>
      <c r="D87" s="17">
        <f t="shared" si="27"/>
        <v>52001.128655430352</v>
      </c>
      <c r="E87" s="17">
        <f t="shared" si="27"/>
        <v>19461.866608628392</v>
      </c>
      <c r="F87" s="17">
        <f t="shared" si="27"/>
        <v>8328.4375043673208</v>
      </c>
      <c r="G87" s="17">
        <f t="shared" si="27"/>
        <v>4321.2825040059834</v>
      </c>
      <c r="H87" s="17">
        <f t="shared" si="27"/>
        <v>3053.6169587172044</v>
      </c>
      <c r="I87" s="17" t="str">
        <f t="shared" si="27"/>
        <v/>
      </c>
      <c r="J87" s="17" t="str">
        <f t="shared" si="27"/>
        <v/>
      </c>
      <c r="K87" s="17" t="str">
        <f t="shared" si="27"/>
        <v/>
      </c>
      <c r="L87" s="17" t="str">
        <f t="shared" si="27"/>
        <v/>
      </c>
      <c r="M87" s="17" t="str">
        <f t="shared" si="27"/>
        <v/>
      </c>
      <c r="N87" s="17" t="str">
        <f t="shared" si="27"/>
        <v/>
      </c>
      <c r="O87" s="17"/>
    </row>
    <row r="88" spans="2:15" x14ac:dyDescent="0.75">
      <c r="B88" s="7">
        <v>2016</v>
      </c>
      <c r="C88" s="17">
        <f t="shared" si="27"/>
        <v>49107.105749937225</v>
      </c>
      <c r="D88" s="17">
        <f t="shared" si="27"/>
        <v>49948.964520353693</v>
      </c>
      <c r="E88" s="17">
        <f t="shared" si="27"/>
        <v>18693.826650870629</v>
      </c>
      <c r="F88" s="17">
        <f t="shared" si="27"/>
        <v>7999.7653930187371</v>
      </c>
      <c r="G88" s="17">
        <f t="shared" si="27"/>
        <v>4150.7481098197313</v>
      </c>
      <c r="H88" s="17" t="str">
        <f t="shared" si="27"/>
        <v/>
      </c>
      <c r="I88" s="17" t="str">
        <f t="shared" si="27"/>
        <v/>
      </c>
      <c r="J88" s="17" t="str">
        <f t="shared" si="27"/>
        <v/>
      </c>
      <c r="K88" s="17" t="str">
        <f t="shared" si="27"/>
        <v/>
      </c>
      <c r="L88" s="17" t="str">
        <f t="shared" si="27"/>
        <v/>
      </c>
      <c r="M88" s="17" t="str">
        <f t="shared" si="27"/>
        <v/>
      </c>
      <c r="N88" s="17" t="str">
        <f t="shared" si="27"/>
        <v/>
      </c>
      <c r="O88" s="17"/>
    </row>
    <row r="89" spans="2:15" x14ac:dyDescent="0.75">
      <c r="B89" s="7">
        <v>2017</v>
      </c>
      <c r="C89" s="17">
        <f t="shared" si="27"/>
        <v>48730.813095149111</v>
      </c>
      <c r="D89" s="17">
        <f t="shared" si="27"/>
        <v>49566.22096061326</v>
      </c>
      <c r="E89" s="17">
        <f t="shared" si="27"/>
        <v>18550.581604126783</v>
      </c>
      <c r="F89" s="17">
        <f t="shared" si="27"/>
        <v>7938.4656501108548</v>
      </c>
      <c r="G89" s="17" t="str">
        <f t="shared" si="27"/>
        <v/>
      </c>
      <c r="H89" s="17" t="str">
        <f t="shared" si="27"/>
        <v/>
      </c>
      <c r="I89" s="17" t="str">
        <f t="shared" si="27"/>
        <v/>
      </c>
      <c r="J89" s="17" t="str">
        <f t="shared" si="27"/>
        <v/>
      </c>
      <c r="K89" s="17" t="str">
        <f t="shared" si="27"/>
        <v/>
      </c>
      <c r="L89" s="17" t="str">
        <f t="shared" si="27"/>
        <v/>
      </c>
      <c r="M89" s="17" t="str">
        <f t="shared" si="27"/>
        <v/>
      </c>
      <c r="N89" s="17" t="str">
        <f t="shared" si="27"/>
        <v/>
      </c>
      <c r="O89" s="17"/>
    </row>
    <row r="90" spans="2:15" x14ac:dyDescent="0.75">
      <c r="B90" s="7">
        <v>2018</v>
      </c>
      <c r="C90" s="17">
        <f t="shared" si="27"/>
        <v>50796.081534083278</v>
      </c>
      <c r="D90" s="17">
        <f t="shared" si="27"/>
        <v>51666.894954854113</v>
      </c>
      <c r="E90" s="17">
        <f t="shared" si="27"/>
        <v>19336.776791062599</v>
      </c>
      <c r="F90" s="17" t="str">
        <f t="shared" si="27"/>
        <v/>
      </c>
      <c r="G90" s="17" t="str">
        <f t="shared" si="27"/>
        <v/>
      </c>
      <c r="H90" s="17" t="str">
        <f t="shared" si="27"/>
        <v/>
      </c>
      <c r="I90" s="17" t="str">
        <f t="shared" si="27"/>
        <v/>
      </c>
      <c r="J90" s="17" t="str">
        <f t="shared" si="27"/>
        <v/>
      </c>
      <c r="K90" s="17" t="str">
        <f t="shared" si="27"/>
        <v/>
      </c>
      <c r="L90" s="17" t="str">
        <f t="shared" si="27"/>
        <v/>
      </c>
      <c r="M90" s="17" t="str">
        <f t="shared" si="27"/>
        <v/>
      </c>
      <c r="N90" s="17" t="str">
        <f t="shared" si="27"/>
        <v/>
      </c>
      <c r="O90" s="17"/>
    </row>
    <row r="91" spans="2:15" x14ac:dyDescent="0.75">
      <c r="B91" s="7">
        <v>2019</v>
      </c>
      <c r="C91" s="17">
        <f t="shared" si="27"/>
        <v>55693.61331522611</v>
      </c>
      <c r="D91" s="17">
        <f t="shared" si="27"/>
        <v>56648.38668477389</v>
      </c>
      <c r="E91" s="17" t="str">
        <f t="shared" si="27"/>
        <v/>
      </c>
      <c r="F91" s="17" t="str">
        <f t="shared" si="27"/>
        <v/>
      </c>
      <c r="G91" s="17" t="str">
        <f t="shared" si="27"/>
        <v/>
      </c>
      <c r="H91" s="17" t="str">
        <f t="shared" si="27"/>
        <v/>
      </c>
      <c r="I91" s="17" t="str">
        <f t="shared" si="27"/>
        <v/>
      </c>
      <c r="J91" s="17" t="str">
        <f t="shared" si="27"/>
        <v/>
      </c>
      <c r="K91" s="17" t="str">
        <f t="shared" si="27"/>
        <v/>
      </c>
      <c r="L91" s="17" t="str">
        <f t="shared" si="27"/>
        <v/>
      </c>
      <c r="M91" s="17" t="str">
        <f t="shared" si="27"/>
        <v/>
      </c>
      <c r="N91" s="17" t="str">
        <f t="shared" si="27"/>
        <v/>
      </c>
      <c r="O91" s="17"/>
    </row>
    <row r="92" spans="2:15" x14ac:dyDescent="0.75">
      <c r="B92" s="7">
        <v>2020</v>
      </c>
      <c r="C92" s="17">
        <f t="shared" si="27"/>
        <v>60361.276160000001</v>
      </c>
      <c r="D92" s="17" t="str">
        <f t="shared" si="27"/>
        <v/>
      </c>
      <c r="E92" s="17" t="str">
        <f t="shared" si="27"/>
        <v/>
      </c>
      <c r="F92" s="17" t="str">
        <f t="shared" si="27"/>
        <v/>
      </c>
      <c r="G92" s="17" t="str">
        <f t="shared" si="27"/>
        <v/>
      </c>
      <c r="H92" s="17" t="str">
        <f t="shared" si="27"/>
        <v/>
      </c>
      <c r="I92" s="17" t="str">
        <f t="shared" si="27"/>
        <v/>
      </c>
      <c r="J92" s="17" t="str">
        <f t="shared" si="27"/>
        <v/>
      </c>
      <c r="K92" s="17" t="str">
        <f t="shared" si="27"/>
        <v/>
      </c>
      <c r="L92" s="17" t="str">
        <f t="shared" si="27"/>
        <v/>
      </c>
      <c r="M92" s="17" t="str">
        <f t="shared" si="27"/>
        <v/>
      </c>
      <c r="N92" s="17" t="str">
        <f t="shared" si="27"/>
        <v/>
      </c>
      <c r="O92" s="17"/>
    </row>
    <row r="94" spans="2:15" x14ac:dyDescent="0.75">
      <c r="B94" s="10"/>
    </row>
    <row r="95" spans="2:15" x14ac:dyDescent="0.75">
      <c r="B95" s="10"/>
    </row>
    <row r="96" spans="2:15" x14ac:dyDescent="0.75">
      <c r="B96" s="10"/>
    </row>
    <row r="97" spans="2:22" x14ac:dyDescent="0.75">
      <c r="B97" s="1"/>
      <c r="C97" s="1"/>
      <c r="D97" s="1" t="s">
        <v>0</v>
      </c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2:22" x14ac:dyDescent="0.75">
      <c r="B98" s="1"/>
      <c r="C98" s="1"/>
      <c r="D98" s="1"/>
      <c r="E98" s="2" t="s">
        <v>22</v>
      </c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2:22" x14ac:dyDescent="0.75">
      <c r="B99" s="4"/>
      <c r="C99" s="5" t="s">
        <v>6</v>
      </c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</row>
    <row r="100" spans="2:22" x14ac:dyDescent="0.75">
      <c r="B100" s="5" t="s">
        <v>7</v>
      </c>
      <c r="C100" s="6">
        <v>0</v>
      </c>
      <c r="D100" s="6">
        <v>1</v>
      </c>
      <c r="E100" s="6">
        <v>2</v>
      </c>
      <c r="F100" s="6">
        <v>3</v>
      </c>
      <c r="G100" s="6">
        <v>4</v>
      </c>
      <c r="H100" s="6">
        <v>5</v>
      </c>
      <c r="I100" s="6">
        <v>6</v>
      </c>
      <c r="J100" s="6">
        <v>7</v>
      </c>
      <c r="K100" s="6">
        <v>8</v>
      </c>
      <c r="L100" s="6">
        <v>9</v>
      </c>
      <c r="M100" s="6">
        <v>10</v>
      </c>
      <c r="N100" s="6">
        <v>11</v>
      </c>
      <c r="O100" s="26"/>
      <c r="R100" s="23" t="s">
        <v>14</v>
      </c>
      <c r="S100" s="23" t="s">
        <v>21</v>
      </c>
    </row>
    <row r="101" spans="2:22" x14ac:dyDescent="0.75">
      <c r="B101" s="7">
        <v>2009</v>
      </c>
      <c r="C101" s="21">
        <f>IF($B101+C$100&gt;LatestYear,"",(C5-C81)/C81^0.5)</f>
        <v>-9.2704364089535911</v>
      </c>
      <c r="D101" s="21">
        <f t="shared" ref="D101:N101" si="28">IF($B101+D$100&gt;LatestYear,"",(D5-D81)/D81^0.5)</f>
        <v>-7.5347905801124204</v>
      </c>
      <c r="E101" s="21">
        <f t="shared" si="28"/>
        <v>9.5683622082534114</v>
      </c>
      <c r="F101" s="21">
        <f t="shared" si="28"/>
        <v>3.5480964385963061</v>
      </c>
      <c r="G101" s="21">
        <f t="shared" si="28"/>
        <v>3.7044368338245532</v>
      </c>
      <c r="H101" s="21">
        <f t="shared" si="28"/>
        <v>13.319264073471036</v>
      </c>
      <c r="I101" s="21">
        <f t="shared" si="28"/>
        <v>4.2863799795947433</v>
      </c>
      <c r="J101" s="21">
        <f t="shared" si="28"/>
        <v>9.8952768265483684</v>
      </c>
      <c r="K101" s="21">
        <f t="shared" si="28"/>
        <v>7.8659300965817343</v>
      </c>
      <c r="L101" s="21">
        <f t="shared" si="28"/>
        <v>12.854561142105027</v>
      </c>
      <c r="M101" s="21">
        <f t="shared" si="28"/>
        <v>-3.4536061893100634</v>
      </c>
      <c r="N101" s="21">
        <f t="shared" si="28"/>
        <v>-8.4319989944379641E-15</v>
      </c>
      <c r="O101" s="21"/>
      <c r="R101" s="22">
        <f>R103/(R103-(2*nCol-1))</f>
        <v>1.4181818181818182</v>
      </c>
      <c r="S101" s="22">
        <f>SUMSQ(C101:N112)/(R103-(2*nCol-1))</f>
        <v>111.94654300787799</v>
      </c>
    </row>
    <row r="102" spans="2:22" x14ac:dyDescent="0.75">
      <c r="B102" s="7">
        <v>2010</v>
      </c>
      <c r="C102" s="21">
        <f t="shared" ref="C102:N112" si="29">IF($B102+C$100&gt;LatestYear,"",(C6-C82)/C82^0.5)</f>
        <v>-11.249438996775705</v>
      </c>
      <c r="D102" s="21">
        <f t="shared" si="29"/>
        <v>7.9768098039038433</v>
      </c>
      <c r="E102" s="21">
        <f t="shared" si="29"/>
        <v>4.2495736239849142</v>
      </c>
      <c r="F102" s="21">
        <f t="shared" si="29"/>
        <v>4.3404219683108636</v>
      </c>
      <c r="G102" s="21">
        <f t="shared" si="29"/>
        <v>9.1118843279797995E-2</v>
      </c>
      <c r="H102" s="21">
        <f t="shared" si="29"/>
        <v>8.62519546754271</v>
      </c>
      <c r="I102" s="21">
        <f t="shared" si="29"/>
        <v>-11.609049125237693</v>
      </c>
      <c r="J102" s="21">
        <f t="shared" si="29"/>
        <v>0.49643955000479734</v>
      </c>
      <c r="K102" s="21">
        <f t="shared" si="29"/>
        <v>-3.2011392207938445</v>
      </c>
      <c r="L102" s="21">
        <f t="shared" si="29"/>
        <v>-6.8663668054214453</v>
      </c>
      <c r="M102" s="21">
        <f t="shared" si="29"/>
        <v>3.2451438931790744</v>
      </c>
      <c r="N102" s="21" t="str">
        <f t="shared" si="29"/>
        <v/>
      </c>
      <c r="O102" s="21"/>
      <c r="R102" s="24" t="s">
        <v>13</v>
      </c>
      <c r="S102" s="24" t="s">
        <v>27</v>
      </c>
    </row>
    <row r="103" spans="2:22" x14ac:dyDescent="0.75">
      <c r="B103" s="7">
        <v>2011</v>
      </c>
      <c r="C103" s="21">
        <f t="shared" si="29"/>
        <v>2.6756065687145569</v>
      </c>
      <c r="D103" s="21">
        <f t="shared" si="29"/>
        <v>11.446851203587164</v>
      </c>
      <c r="E103" s="21">
        <f t="shared" si="29"/>
        <v>-10.345687492368713</v>
      </c>
      <c r="F103" s="21">
        <f t="shared" si="29"/>
        <v>-0.45931883598439038</v>
      </c>
      <c r="G103" s="21">
        <f t="shared" si="29"/>
        <v>-2.4872186470543829</v>
      </c>
      <c r="H103" s="21">
        <f t="shared" si="29"/>
        <v>-20.371296844476369</v>
      </c>
      <c r="I103" s="21">
        <f t="shared" si="29"/>
        <v>-5.7539936477062872</v>
      </c>
      <c r="J103" s="21">
        <f t="shared" si="29"/>
        <v>-0.74459566886591966</v>
      </c>
      <c r="K103" s="21">
        <f t="shared" si="29"/>
        <v>1.7855816314897802E-2</v>
      </c>
      <c r="L103" s="21">
        <f t="shared" si="29"/>
        <v>-4.9819790853013739</v>
      </c>
      <c r="M103" s="21" t="str">
        <f t="shared" si="29"/>
        <v/>
      </c>
      <c r="N103" s="21" t="str">
        <f t="shared" si="29"/>
        <v/>
      </c>
      <c r="O103" s="21"/>
      <c r="R103" s="25">
        <f>nCol*(nCol+1)/2</f>
        <v>78</v>
      </c>
      <c r="S103" s="25">
        <f>COUNTA(B101:B112)</f>
        <v>12</v>
      </c>
    </row>
    <row r="104" spans="2:22" x14ac:dyDescent="0.75">
      <c r="B104" s="7">
        <v>2012</v>
      </c>
      <c r="C104" s="21">
        <f t="shared" si="29"/>
        <v>-2.6677915038811237</v>
      </c>
      <c r="D104" s="21">
        <f t="shared" si="29"/>
        <v>13.910929078133455</v>
      </c>
      <c r="E104" s="21">
        <f t="shared" si="29"/>
        <v>-1.7702775599177134</v>
      </c>
      <c r="F104" s="21">
        <f t="shared" si="29"/>
        <v>-13.201008623926244</v>
      </c>
      <c r="G104" s="21">
        <f t="shared" si="29"/>
        <v>-14.385092068823608</v>
      </c>
      <c r="H104" s="21">
        <f t="shared" si="29"/>
        <v>-9.3413940556967052</v>
      </c>
      <c r="I104" s="21">
        <f t="shared" si="29"/>
        <v>12.937612740645509</v>
      </c>
      <c r="J104" s="21">
        <f t="shared" si="29"/>
        <v>-2.5451541955522994</v>
      </c>
      <c r="K104" s="21">
        <f t="shared" si="29"/>
        <v>-3.8367585544404146</v>
      </c>
      <c r="L104" s="21" t="str">
        <f t="shared" si="29"/>
        <v/>
      </c>
      <c r="M104" s="21" t="str">
        <f t="shared" si="29"/>
        <v/>
      </c>
      <c r="N104" s="21" t="str">
        <f t="shared" si="29"/>
        <v/>
      </c>
      <c r="O104" s="21"/>
    </row>
    <row r="105" spans="2:22" x14ac:dyDescent="0.75">
      <c r="B105" s="7">
        <v>2013</v>
      </c>
      <c r="C105" s="21">
        <f t="shared" si="29"/>
        <v>7.2572379207509945</v>
      </c>
      <c r="D105" s="21">
        <f t="shared" si="29"/>
        <v>10.286513066181858</v>
      </c>
      <c r="E105" s="21">
        <f t="shared" si="29"/>
        <v>-6.9412783969738561</v>
      </c>
      <c r="F105" s="21">
        <f t="shared" si="29"/>
        <v>-17.577085928894991</v>
      </c>
      <c r="G105" s="21">
        <f t="shared" si="29"/>
        <v>-17.687999836551409</v>
      </c>
      <c r="H105" s="21">
        <f t="shared" si="29"/>
        <v>7.1522261842311305</v>
      </c>
      <c r="I105" s="21">
        <f t="shared" si="29"/>
        <v>-9.4557494098317925</v>
      </c>
      <c r="J105" s="21">
        <f t="shared" si="29"/>
        <v>-5.5619485041116974</v>
      </c>
      <c r="K105" s="21" t="str">
        <f t="shared" si="29"/>
        <v/>
      </c>
      <c r="L105" s="21" t="str">
        <f t="shared" si="29"/>
        <v/>
      </c>
      <c r="M105" s="21" t="str">
        <f t="shared" si="29"/>
        <v/>
      </c>
      <c r="N105" s="21" t="str">
        <f t="shared" si="29"/>
        <v/>
      </c>
      <c r="O105" s="21"/>
      <c r="R105" s="3" t="s">
        <v>46</v>
      </c>
      <c r="S105" s="52">
        <f>AVERAGE(C101:N112)</f>
        <v>5.7633820936629056E-3</v>
      </c>
    </row>
    <row r="106" spans="2:22" x14ac:dyDescent="0.75">
      <c r="B106" s="7">
        <v>2014</v>
      </c>
      <c r="C106" s="21">
        <f t="shared" si="29"/>
        <v>9.7829633475928688</v>
      </c>
      <c r="D106" s="21">
        <f t="shared" si="29"/>
        <v>-4.2147361852234342</v>
      </c>
      <c r="E106" s="21">
        <f t="shared" si="29"/>
        <v>-3.5874164647116031</v>
      </c>
      <c r="F106" s="21">
        <f>IF($B106+F$100&gt;LatestYear,"",(F10-F86)/F86^0.5)</f>
        <v>-9.1263824816954209</v>
      </c>
      <c r="G106" s="21">
        <f t="shared" si="29"/>
        <v>-2.1325370180567629</v>
      </c>
      <c r="H106" s="21">
        <f t="shared" si="29"/>
        <v>-2.799325297765991</v>
      </c>
      <c r="I106" s="21">
        <f t="shared" si="29"/>
        <v>8.3998281348788915</v>
      </c>
      <c r="J106" s="21" t="str">
        <f t="shared" si="29"/>
        <v/>
      </c>
      <c r="K106" s="21" t="str">
        <f t="shared" si="29"/>
        <v/>
      </c>
      <c r="L106" s="21" t="str">
        <f t="shared" si="29"/>
        <v/>
      </c>
      <c r="M106" s="21" t="str">
        <f t="shared" si="29"/>
        <v/>
      </c>
      <c r="N106" s="21" t="str">
        <f t="shared" si="29"/>
        <v/>
      </c>
      <c r="O106" s="21"/>
    </row>
    <row r="107" spans="2:22" x14ac:dyDescent="0.75">
      <c r="B107" s="7">
        <v>2015</v>
      </c>
      <c r="C107" s="21">
        <f t="shared" si="29"/>
        <v>-6.6555800682591038</v>
      </c>
      <c r="D107" s="21">
        <f t="shared" si="29"/>
        <v>-8.8133332406244591</v>
      </c>
      <c r="E107" s="21">
        <f t="shared" si="29"/>
        <v>0.77657743186683292</v>
      </c>
      <c r="F107" s="21">
        <f t="shared" si="29"/>
        <v>18.832177258080137</v>
      </c>
      <c r="G107" s="21">
        <f t="shared" si="29"/>
        <v>21.732346072999103</v>
      </c>
      <c r="H107" s="21">
        <f t="shared" si="29"/>
        <v>4.6883216960535847</v>
      </c>
      <c r="I107" s="21" t="str">
        <f t="shared" si="29"/>
        <v/>
      </c>
      <c r="J107" s="21" t="str">
        <f t="shared" si="29"/>
        <v/>
      </c>
      <c r="K107" s="21" t="str">
        <f t="shared" si="29"/>
        <v/>
      </c>
      <c r="L107" s="21" t="str">
        <f t="shared" si="29"/>
        <v/>
      </c>
      <c r="M107" s="21" t="str">
        <f t="shared" si="29"/>
        <v/>
      </c>
      <c r="N107" s="21" t="str">
        <f t="shared" si="29"/>
        <v/>
      </c>
      <c r="O107" s="21"/>
      <c r="Q107" s="53"/>
      <c r="R107" s="53" t="s">
        <v>47</v>
      </c>
      <c r="S107" s="53"/>
      <c r="T107" s="53"/>
      <c r="U107" s="53"/>
      <c r="V107" s="53"/>
    </row>
    <row r="108" spans="2:22" x14ac:dyDescent="0.75">
      <c r="B108" s="7">
        <v>2016</v>
      </c>
      <c r="C108" s="21">
        <f t="shared" si="29"/>
        <v>-12.172246260173813</v>
      </c>
      <c r="D108" s="21">
        <f t="shared" si="29"/>
        <v>-1.1394984603162004</v>
      </c>
      <c r="E108" s="21">
        <f t="shared" si="29"/>
        <v>15.994400585259624</v>
      </c>
      <c r="F108" s="21">
        <f t="shared" si="29"/>
        <v>2.2561565878905836</v>
      </c>
      <c r="G108" s="21">
        <f t="shared" si="29"/>
        <v>8.7451885590915079</v>
      </c>
      <c r="H108" s="21" t="str">
        <f t="shared" si="29"/>
        <v/>
      </c>
      <c r="I108" s="21" t="str">
        <f t="shared" si="29"/>
        <v/>
      </c>
      <c r="J108" s="21" t="str">
        <f t="shared" si="29"/>
        <v/>
      </c>
      <c r="K108" s="21" t="str">
        <f t="shared" si="29"/>
        <v/>
      </c>
      <c r="L108" s="21" t="str">
        <f t="shared" si="29"/>
        <v/>
      </c>
      <c r="M108" s="21" t="str">
        <f t="shared" si="29"/>
        <v/>
      </c>
      <c r="N108" s="21" t="str">
        <f t="shared" si="29"/>
        <v/>
      </c>
      <c r="O108" s="21"/>
      <c r="Q108" s="53"/>
      <c r="R108" s="53"/>
      <c r="S108" s="53"/>
      <c r="T108" s="53"/>
      <c r="U108" s="53"/>
      <c r="V108" s="53"/>
    </row>
    <row r="109" spans="2:22" x14ac:dyDescent="0.75">
      <c r="B109" s="7">
        <v>2017</v>
      </c>
      <c r="C109" s="21">
        <f t="shared" si="29"/>
        <v>-1.9753303916382403</v>
      </c>
      <c r="D109" s="21">
        <f t="shared" si="29"/>
        <v>-0.95506826357346408</v>
      </c>
      <c r="E109" s="21">
        <f t="shared" si="29"/>
        <v>-1.8086235237565731</v>
      </c>
      <c r="F109" s="21">
        <f t="shared" si="29"/>
        <v>10.045359613230818</v>
      </c>
      <c r="G109" s="21" t="str">
        <f t="shared" si="29"/>
        <v/>
      </c>
      <c r="H109" s="21" t="str">
        <f t="shared" si="29"/>
        <v/>
      </c>
      <c r="I109" s="21" t="str">
        <f t="shared" si="29"/>
        <v/>
      </c>
      <c r="J109" s="21" t="str">
        <f t="shared" si="29"/>
        <v/>
      </c>
      <c r="K109" s="21" t="str">
        <f t="shared" si="29"/>
        <v/>
      </c>
      <c r="L109" s="21" t="str">
        <f t="shared" si="29"/>
        <v/>
      </c>
      <c r="M109" s="21" t="str">
        <f t="shared" si="29"/>
        <v/>
      </c>
      <c r="N109" s="21" t="str">
        <f t="shared" si="29"/>
        <v/>
      </c>
      <c r="O109" s="21"/>
    </row>
    <row r="110" spans="2:22" x14ac:dyDescent="0.75">
      <c r="B110" s="7">
        <v>2018</v>
      </c>
      <c r="C110" s="21">
        <f t="shared" si="29"/>
        <v>7.9605103653453426</v>
      </c>
      <c r="D110" s="21">
        <f t="shared" si="29"/>
        <v>-4.6680971155851285</v>
      </c>
      <c r="E110" s="21">
        <f t="shared" si="29"/>
        <v>-5.2716881172022569</v>
      </c>
      <c r="F110" s="21" t="str">
        <f t="shared" si="29"/>
        <v/>
      </c>
      <c r="G110" s="21" t="str">
        <f t="shared" si="29"/>
        <v/>
      </c>
      <c r="H110" s="21" t="str">
        <f t="shared" si="29"/>
        <v/>
      </c>
      <c r="I110" s="21" t="str">
        <f t="shared" si="29"/>
        <v/>
      </c>
      <c r="J110" s="21" t="str">
        <f t="shared" si="29"/>
        <v/>
      </c>
      <c r="K110" s="21" t="str">
        <f t="shared" si="29"/>
        <v/>
      </c>
      <c r="L110" s="21" t="str">
        <f t="shared" si="29"/>
        <v/>
      </c>
      <c r="M110" s="21" t="str">
        <f t="shared" si="29"/>
        <v/>
      </c>
      <c r="N110" s="21" t="str">
        <f t="shared" si="29"/>
        <v/>
      </c>
      <c r="O110" s="21"/>
    </row>
    <row r="111" spans="2:22" x14ac:dyDescent="0.75">
      <c r="B111" s="7">
        <v>2019</v>
      </c>
      <c r="C111" s="21">
        <f t="shared" si="29"/>
        <v>12.31122431179686</v>
      </c>
      <c r="D111" s="21">
        <f t="shared" si="29"/>
        <v>-12.207034412974684</v>
      </c>
      <c r="E111" s="21" t="str">
        <f t="shared" si="29"/>
        <v/>
      </c>
      <c r="F111" s="21" t="str">
        <f t="shared" si="29"/>
        <v/>
      </c>
      <c r="G111" s="21" t="str">
        <f t="shared" si="29"/>
        <v/>
      </c>
      <c r="H111" s="21" t="str">
        <f t="shared" si="29"/>
        <v/>
      </c>
      <c r="I111" s="21" t="str">
        <f t="shared" si="29"/>
        <v/>
      </c>
      <c r="J111" s="21" t="str">
        <f t="shared" si="29"/>
        <v/>
      </c>
      <c r="K111" s="21" t="str">
        <f t="shared" si="29"/>
        <v/>
      </c>
      <c r="L111" s="21" t="str">
        <f t="shared" si="29"/>
        <v/>
      </c>
      <c r="M111" s="21" t="str">
        <f t="shared" si="29"/>
        <v/>
      </c>
      <c r="N111" s="21" t="str">
        <f t="shared" si="29"/>
        <v/>
      </c>
      <c r="O111" s="21"/>
    </row>
    <row r="112" spans="2:22" x14ac:dyDescent="0.75">
      <c r="B112" s="7">
        <v>2020</v>
      </c>
      <c r="C112" s="21">
        <f t="shared" si="29"/>
        <v>0</v>
      </c>
      <c r="D112" s="21" t="str">
        <f t="shared" si="29"/>
        <v/>
      </c>
      <c r="E112" s="21" t="str">
        <f t="shared" si="29"/>
        <v/>
      </c>
      <c r="F112" s="21" t="str">
        <f t="shared" si="29"/>
        <v/>
      </c>
      <c r="G112" s="21" t="str">
        <f t="shared" si="29"/>
        <v/>
      </c>
      <c r="H112" s="21" t="str">
        <f t="shared" si="29"/>
        <v/>
      </c>
      <c r="I112" s="21" t="str">
        <f t="shared" si="29"/>
        <v/>
      </c>
      <c r="J112" s="21" t="str">
        <f t="shared" si="29"/>
        <v/>
      </c>
      <c r="K112" s="21" t="str">
        <f t="shared" si="29"/>
        <v/>
      </c>
      <c r="L112" s="21" t="str">
        <f t="shared" si="29"/>
        <v/>
      </c>
      <c r="M112" s="21" t="str">
        <f t="shared" si="29"/>
        <v/>
      </c>
      <c r="N112" s="21" t="str">
        <f t="shared" si="29"/>
        <v/>
      </c>
      <c r="O112" s="21"/>
    </row>
    <row r="114" spans="2:15" x14ac:dyDescent="0.75">
      <c r="B114" s="10"/>
    </row>
    <row r="116" spans="2:15" x14ac:dyDescent="0.75">
      <c r="B116" s="1"/>
      <c r="C116" s="1"/>
      <c r="D116" s="1" t="s">
        <v>0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2:15" x14ac:dyDescent="0.75">
      <c r="B117" s="1"/>
      <c r="C117" s="1"/>
      <c r="D117" s="1"/>
      <c r="E117" s="2" t="s">
        <v>23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2:15" x14ac:dyDescent="0.75">
      <c r="B118" s="4"/>
      <c r="C118" s="5" t="s">
        <v>6</v>
      </c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</row>
    <row r="119" spans="2:15" x14ac:dyDescent="0.75">
      <c r="B119" s="5" t="s">
        <v>7</v>
      </c>
      <c r="C119" s="6">
        <v>0</v>
      </c>
      <c r="D119" s="6">
        <v>1</v>
      </c>
      <c r="E119" s="6">
        <v>2</v>
      </c>
      <c r="F119" s="6">
        <v>3</v>
      </c>
      <c r="G119" s="6">
        <v>4</v>
      </c>
      <c r="H119" s="6">
        <v>5</v>
      </c>
      <c r="I119" s="6">
        <v>6</v>
      </c>
      <c r="J119" s="6">
        <v>7</v>
      </c>
      <c r="K119" s="6">
        <v>8</v>
      </c>
      <c r="L119" s="6">
        <v>9</v>
      </c>
      <c r="M119" s="6">
        <v>10</v>
      </c>
      <c r="N119" s="6">
        <v>11</v>
      </c>
      <c r="O119" s="26"/>
    </row>
    <row r="120" spans="2:15" x14ac:dyDescent="0.75">
      <c r="B120" s="7">
        <v>2009</v>
      </c>
      <c r="C120" s="21">
        <f ca="1">IF($B120+C$119&gt;LatestYear,"",LARGE($C$101:$N$112,1+INT(RAND()*COUNT($C$101:$N$112))))</f>
        <v>9.5683622082534114</v>
      </c>
      <c r="D120" s="21">
        <f t="shared" ref="D120:N120" ca="1" si="30">IF($B120+D$119&gt;LatestYear,"",LARGE($C$101:$N$112,1+INT(RAND()*COUNT($C$101:$N$112))))</f>
        <v>8.7451885590915079</v>
      </c>
      <c r="E120" s="21">
        <f t="shared" ca="1" si="30"/>
        <v>-0.45931883598439038</v>
      </c>
      <c r="F120" s="21">
        <f t="shared" ca="1" si="30"/>
        <v>-5.5619485041116974</v>
      </c>
      <c r="G120" s="21">
        <f t="shared" ca="1" si="30"/>
        <v>-9.2704364089535911</v>
      </c>
      <c r="H120" s="21">
        <f t="shared" ca="1" si="30"/>
        <v>18.832177258080137</v>
      </c>
      <c r="I120" s="21">
        <f t="shared" ca="1" si="30"/>
        <v>-11.609049125237693</v>
      </c>
      <c r="J120" s="21">
        <f t="shared" ca="1" si="30"/>
        <v>11.446851203587164</v>
      </c>
      <c r="K120" s="21">
        <f t="shared" ca="1" si="30"/>
        <v>-6.9412783969738561</v>
      </c>
      <c r="L120" s="21">
        <f t="shared" ca="1" si="30"/>
        <v>-6.8663668054214453</v>
      </c>
      <c r="M120" s="21">
        <f t="shared" ca="1" si="30"/>
        <v>-1.9753303916382403</v>
      </c>
      <c r="N120" s="21">
        <f t="shared" ca="1" si="30"/>
        <v>-5.2716881172022569</v>
      </c>
      <c r="O120" s="21"/>
    </row>
    <row r="121" spans="2:15" x14ac:dyDescent="0.75">
      <c r="B121" s="7">
        <v>2010</v>
      </c>
      <c r="C121" s="21">
        <f t="shared" ref="C121:N131" ca="1" si="31">IF($B121+C$119&gt;LatestYear,"",LARGE($C$101:$N$112,1+INT(RAND()*COUNT($C$101:$N$112))))</f>
        <v>-5.7539936477062872</v>
      </c>
      <c r="D121" s="21">
        <f t="shared" ca="1" si="31"/>
        <v>-4.2147361852234342</v>
      </c>
      <c r="E121" s="21">
        <f t="shared" ca="1" si="31"/>
        <v>-9.2704364089535911</v>
      </c>
      <c r="F121" s="21">
        <f t="shared" ca="1" si="31"/>
        <v>18.832177258080137</v>
      </c>
      <c r="G121" s="21">
        <f t="shared" ca="1" si="31"/>
        <v>-6.9412783969738561</v>
      </c>
      <c r="H121" s="21">
        <f t="shared" ca="1" si="31"/>
        <v>-1.8086235237565731</v>
      </c>
      <c r="I121" s="21">
        <f t="shared" ca="1" si="31"/>
        <v>10.045359613230818</v>
      </c>
      <c r="J121" s="21">
        <f t="shared" ca="1" si="31"/>
        <v>10.286513066181858</v>
      </c>
      <c r="K121" s="21">
        <f t="shared" ca="1" si="31"/>
        <v>-3.8367585544404146</v>
      </c>
      <c r="L121" s="21">
        <f t="shared" ca="1" si="31"/>
        <v>-5.2716881172022569</v>
      </c>
      <c r="M121" s="21">
        <f t="shared" ca="1" si="31"/>
        <v>-2.6677915038811237</v>
      </c>
      <c r="N121" s="21" t="str">
        <f t="shared" ca="1" si="31"/>
        <v/>
      </c>
      <c r="O121" s="21"/>
    </row>
    <row r="122" spans="2:15" x14ac:dyDescent="0.75">
      <c r="B122" s="7">
        <v>2011</v>
      </c>
      <c r="C122" s="21">
        <f t="shared" ca="1" si="31"/>
        <v>0.49643955000479734</v>
      </c>
      <c r="D122" s="21">
        <f t="shared" ca="1" si="31"/>
        <v>4.2863799795947433</v>
      </c>
      <c r="E122" s="21">
        <f t="shared" ca="1" si="31"/>
        <v>8.7451885590915079</v>
      </c>
      <c r="F122" s="21">
        <f t="shared" ca="1" si="31"/>
        <v>-14.385092068823608</v>
      </c>
      <c r="G122" s="21">
        <f t="shared" ca="1" si="31"/>
        <v>7.9768098039038433</v>
      </c>
      <c r="H122" s="21">
        <f t="shared" ca="1" si="31"/>
        <v>-6.9412783969738561</v>
      </c>
      <c r="I122" s="21">
        <f t="shared" ca="1" si="31"/>
        <v>-17.687999836551409</v>
      </c>
      <c r="J122" s="21">
        <f t="shared" ca="1" si="31"/>
        <v>-5.5619485041116974</v>
      </c>
      <c r="K122" s="21">
        <f t="shared" ca="1" si="31"/>
        <v>-12.172246260173813</v>
      </c>
      <c r="L122" s="21">
        <f t="shared" ca="1" si="31"/>
        <v>15.994400585259624</v>
      </c>
      <c r="M122" s="21" t="str">
        <f t="shared" ca="1" si="31"/>
        <v/>
      </c>
      <c r="N122" s="21" t="str">
        <f t="shared" ca="1" si="31"/>
        <v/>
      </c>
      <c r="O122" s="21"/>
    </row>
    <row r="123" spans="2:15" x14ac:dyDescent="0.75">
      <c r="B123" s="7">
        <v>2012</v>
      </c>
      <c r="C123" s="21">
        <f t="shared" ca="1" si="31"/>
        <v>-6.9412783969738561</v>
      </c>
      <c r="D123" s="21">
        <f t="shared" ca="1" si="31"/>
        <v>-9.2704364089535911</v>
      </c>
      <c r="E123" s="21">
        <f t="shared" ca="1" si="31"/>
        <v>-20.371296844476369</v>
      </c>
      <c r="F123" s="21">
        <f t="shared" ca="1" si="31"/>
        <v>-6.8663668054214453</v>
      </c>
      <c r="G123" s="21">
        <f t="shared" ca="1" si="31"/>
        <v>12.937612740645509</v>
      </c>
      <c r="H123" s="21">
        <f t="shared" ca="1" si="31"/>
        <v>9.5683622082534114</v>
      </c>
      <c r="I123" s="21">
        <f t="shared" ca="1" si="31"/>
        <v>-13.201008623926244</v>
      </c>
      <c r="J123" s="21">
        <f t="shared" ca="1" si="31"/>
        <v>-1.1394984603162004</v>
      </c>
      <c r="K123" s="21">
        <f t="shared" ca="1" si="31"/>
        <v>-2.1325370180567629</v>
      </c>
      <c r="L123" s="21" t="str">
        <f t="shared" ca="1" si="31"/>
        <v/>
      </c>
      <c r="M123" s="21" t="str">
        <f t="shared" ca="1" si="31"/>
        <v/>
      </c>
      <c r="N123" s="21" t="str">
        <f t="shared" ca="1" si="31"/>
        <v/>
      </c>
      <c r="O123" s="21"/>
    </row>
    <row r="124" spans="2:15" x14ac:dyDescent="0.75">
      <c r="B124" s="7">
        <v>2013</v>
      </c>
      <c r="C124" s="21">
        <f t="shared" ca="1" si="31"/>
        <v>0</v>
      </c>
      <c r="D124" s="21">
        <f t="shared" ca="1" si="31"/>
        <v>0.49643955000479734</v>
      </c>
      <c r="E124" s="21">
        <f t="shared" ca="1" si="31"/>
        <v>-1.8086235237565731</v>
      </c>
      <c r="F124" s="21">
        <f t="shared" ca="1" si="31"/>
        <v>-4.2147361852234342</v>
      </c>
      <c r="G124" s="21">
        <f t="shared" ca="1" si="31"/>
        <v>-4.6680971155851285</v>
      </c>
      <c r="H124" s="21">
        <f t="shared" ca="1" si="31"/>
        <v>4.6883216960535847</v>
      </c>
      <c r="I124" s="21">
        <f t="shared" ca="1" si="31"/>
        <v>-17.577085928894991</v>
      </c>
      <c r="J124" s="21">
        <f t="shared" ca="1" si="31"/>
        <v>-10.345687492368713</v>
      </c>
      <c r="K124" s="21" t="str">
        <f t="shared" ca="1" si="31"/>
        <v/>
      </c>
      <c r="L124" s="21" t="str">
        <f t="shared" ca="1" si="31"/>
        <v/>
      </c>
      <c r="M124" s="21" t="str">
        <f t="shared" ca="1" si="31"/>
        <v/>
      </c>
      <c r="N124" s="21" t="str">
        <f t="shared" ca="1" si="31"/>
        <v/>
      </c>
      <c r="O124" s="21"/>
    </row>
    <row r="125" spans="2:15" x14ac:dyDescent="0.75">
      <c r="B125" s="7">
        <v>2014</v>
      </c>
      <c r="C125" s="21">
        <f t="shared" ca="1" si="31"/>
        <v>-9.4557494098317925</v>
      </c>
      <c r="D125" s="21">
        <f t="shared" ca="1" si="31"/>
        <v>8.7451885590915079</v>
      </c>
      <c r="E125" s="21">
        <f t="shared" ca="1" si="31"/>
        <v>-8.4319989944379641E-15</v>
      </c>
      <c r="F125" s="21">
        <f t="shared" ca="1" si="31"/>
        <v>13.319264073471036</v>
      </c>
      <c r="G125" s="21">
        <f t="shared" ca="1" si="31"/>
        <v>-5.2716881172022569</v>
      </c>
      <c r="H125" s="21">
        <f t="shared" ca="1" si="31"/>
        <v>-17.687999836551409</v>
      </c>
      <c r="I125" s="21">
        <f t="shared" ca="1" si="31"/>
        <v>-6.9412783969738561</v>
      </c>
      <c r="J125" s="21" t="str">
        <f t="shared" ca="1" si="31"/>
        <v/>
      </c>
      <c r="K125" s="21" t="str">
        <f t="shared" ca="1" si="31"/>
        <v/>
      </c>
      <c r="L125" s="21" t="str">
        <f t="shared" ca="1" si="31"/>
        <v/>
      </c>
      <c r="M125" s="21" t="str">
        <f t="shared" ca="1" si="31"/>
        <v/>
      </c>
      <c r="N125" s="21" t="str">
        <f t="shared" ca="1" si="31"/>
        <v/>
      </c>
      <c r="O125" s="21"/>
    </row>
    <row r="126" spans="2:15" x14ac:dyDescent="0.75">
      <c r="B126" s="7">
        <v>2015</v>
      </c>
      <c r="C126" s="21">
        <f t="shared" ca="1" si="31"/>
        <v>21.732346072999103</v>
      </c>
      <c r="D126" s="21">
        <f t="shared" ca="1" si="31"/>
        <v>4.2495736239849142</v>
      </c>
      <c r="E126" s="21">
        <f t="shared" ca="1" si="31"/>
        <v>-11.249438996775705</v>
      </c>
      <c r="F126" s="21">
        <f t="shared" ca="1" si="31"/>
        <v>-6.9412783969738561</v>
      </c>
      <c r="G126" s="21">
        <f t="shared" ca="1" si="31"/>
        <v>-5.5619485041116974</v>
      </c>
      <c r="H126" s="21">
        <f t="shared" ca="1" si="31"/>
        <v>-12.172246260173813</v>
      </c>
      <c r="I126" s="21" t="str">
        <f t="shared" ca="1" si="31"/>
        <v/>
      </c>
      <c r="J126" s="21" t="str">
        <f t="shared" ca="1" si="31"/>
        <v/>
      </c>
      <c r="K126" s="21" t="str">
        <f t="shared" ca="1" si="31"/>
        <v/>
      </c>
      <c r="L126" s="21" t="str">
        <f t="shared" ca="1" si="31"/>
        <v/>
      </c>
      <c r="M126" s="21" t="str">
        <f t="shared" ca="1" si="31"/>
        <v/>
      </c>
      <c r="N126" s="21" t="str">
        <f t="shared" ca="1" si="31"/>
        <v/>
      </c>
      <c r="O126" s="21"/>
    </row>
    <row r="127" spans="2:15" x14ac:dyDescent="0.75">
      <c r="B127" s="7">
        <v>2016</v>
      </c>
      <c r="C127" s="21">
        <f t="shared" ca="1" si="31"/>
        <v>-2.4872186470543829</v>
      </c>
      <c r="D127" s="21">
        <f t="shared" ca="1" si="31"/>
        <v>13.910929078133455</v>
      </c>
      <c r="E127" s="21">
        <f t="shared" ca="1" si="31"/>
        <v>7.9768098039038433</v>
      </c>
      <c r="F127" s="21">
        <f t="shared" ca="1" si="31"/>
        <v>-4.2147361852234342</v>
      </c>
      <c r="G127" s="21">
        <f t="shared" ca="1" si="31"/>
        <v>8.3998281348788915</v>
      </c>
      <c r="H127" s="21" t="str">
        <f t="shared" ca="1" si="31"/>
        <v/>
      </c>
      <c r="I127" s="21" t="str">
        <f t="shared" ca="1" si="31"/>
        <v/>
      </c>
      <c r="J127" s="21" t="str">
        <f t="shared" ca="1" si="31"/>
        <v/>
      </c>
      <c r="K127" s="21" t="str">
        <f t="shared" ca="1" si="31"/>
        <v/>
      </c>
      <c r="L127" s="21" t="str">
        <f t="shared" ca="1" si="31"/>
        <v/>
      </c>
      <c r="M127" s="21" t="str">
        <f t="shared" ca="1" si="31"/>
        <v/>
      </c>
      <c r="N127" s="21" t="str">
        <f t="shared" ca="1" si="31"/>
        <v/>
      </c>
      <c r="O127" s="21"/>
    </row>
    <row r="128" spans="2:15" x14ac:dyDescent="0.75">
      <c r="B128" s="7">
        <v>2017</v>
      </c>
      <c r="C128" s="21">
        <f t="shared" ca="1" si="31"/>
        <v>-2.1325370180567629</v>
      </c>
      <c r="D128" s="21">
        <f t="shared" ca="1" si="31"/>
        <v>9.7829633475928688</v>
      </c>
      <c r="E128" s="21">
        <f t="shared" ca="1" si="31"/>
        <v>-0.45931883598439038</v>
      </c>
      <c r="F128" s="21">
        <f t="shared" ca="1" si="31"/>
        <v>7.8659300965817343</v>
      </c>
      <c r="G128" s="21" t="str">
        <f t="shared" ca="1" si="31"/>
        <v/>
      </c>
      <c r="H128" s="21" t="str">
        <f t="shared" ca="1" si="31"/>
        <v/>
      </c>
      <c r="I128" s="21" t="str">
        <f t="shared" ca="1" si="31"/>
        <v/>
      </c>
      <c r="J128" s="21" t="str">
        <f t="shared" ca="1" si="31"/>
        <v/>
      </c>
      <c r="K128" s="21" t="str">
        <f t="shared" ca="1" si="31"/>
        <v/>
      </c>
      <c r="L128" s="21" t="str">
        <f t="shared" ca="1" si="31"/>
        <v/>
      </c>
      <c r="M128" s="21" t="str">
        <f t="shared" ca="1" si="31"/>
        <v/>
      </c>
      <c r="N128" s="21" t="str">
        <f t="shared" ca="1" si="31"/>
        <v/>
      </c>
      <c r="O128" s="21"/>
    </row>
    <row r="129" spans="2:15" x14ac:dyDescent="0.75">
      <c r="B129" s="7">
        <v>2018</v>
      </c>
      <c r="C129" s="21">
        <f t="shared" ca="1" si="31"/>
        <v>-12.207034412974684</v>
      </c>
      <c r="D129" s="21">
        <f t="shared" ca="1" si="31"/>
        <v>8.7451885590915079</v>
      </c>
      <c r="E129" s="21">
        <f t="shared" ca="1" si="31"/>
        <v>-3.4536061893100634</v>
      </c>
      <c r="F129" s="21" t="str">
        <f t="shared" ca="1" si="31"/>
        <v/>
      </c>
      <c r="G129" s="21" t="str">
        <f t="shared" ca="1" si="31"/>
        <v/>
      </c>
      <c r="H129" s="21" t="str">
        <f t="shared" ca="1" si="31"/>
        <v/>
      </c>
      <c r="I129" s="21" t="str">
        <f t="shared" ca="1" si="31"/>
        <v/>
      </c>
      <c r="J129" s="21" t="str">
        <f t="shared" ca="1" si="31"/>
        <v/>
      </c>
      <c r="K129" s="21" t="str">
        <f t="shared" ca="1" si="31"/>
        <v/>
      </c>
      <c r="L129" s="21" t="str">
        <f t="shared" ca="1" si="31"/>
        <v/>
      </c>
      <c r="M129" s="21" t="str">
        <f t="shared" ca="1" si="31"/>
        <v/>
      </c>
      <c r="N129" s="21" t="str">
        <f t="shared" ca="1" si="31"/>
        <v/>
      </c>
      <c r="O129" s="21"/>
    </row>
    <row r="130" spans="2:15" x14ac:dyDescent="0.75">
      <c r="B130" s="7">
        <v>2019</v>
      </c>
      <c r="C130" s="21">
        <f t="shared" ca="1" si="31"/>
        <v>13.910929078133455</v>
      </c>
      <c r="D130" s="21">
        <f t="shared" ca="1" si="31"/>
        <v>8.7451885590915079</v>
      </c>
      <c r="E130" s="21" t="str">
        <f t="shared" ca="1" si="31"/>
        <v/>
      </c>
      <c r="F130" s="21" t="str">
        <f t="shared" ca="1" si="31"/>
        <v/>
      </c>
      <c r="G130" s="21" t="str">
        <f t="shared" ca="1" si="31"/>
        <v/>
      </c>
      <c r="H130" s="21" t="str">
        <f t="shared" ca="1" si="31"/>
        <v/>
      </c>
      <c r="I130" s="21" t="str">
        <f t="shared" ca="1" si="31"/>
        <v/>
      </c>
      <c r="J130" s="21" t="str">
        <f t="shared" ca="1" si="31"/>
        <v/>
      </c>
      <c r="K130" s="21" t="str">
        <f t="shared" ca="1" si="31"/>
        <v/>
      </c>
      <c r="L130" s="21" t="str">
        <f t="shared" ca="1" si="31"/>
        <v/>
      </c>
      <c r="M130" s="21" t="str">
        <f t="shared" ca="1" si="31"/>
        <v/>
      </c>
      <c r="N130" s="21" t="str">
        <f t="shared" ca="1" si="31"/>
        <v/>
      </c>
      <c r="O130" s="21"/>
    </row>
    <row r="131" spans="2:15" x14ac:dyDescent="0.75">
      <c r="B131" s="7">
        <v>2020</v>
      </c>
      <c r="C131" s="21">
        <f t="shared" ca="1" si="31"/>
        <v>2.6756065687145569</v>
      </c>
      <c r="D131" s="21" t="str">
        <f t="shared" ca="1" si="31"/>
        <v/>
      </c>
      <c r="E131" s="21" t="str">
        <f t="shared" ca="1" si="31"/>
        <v/>
      </c>
      <c r="F131" s="21" t="str">
        <f t="shared" ca="1" si="31"/>
        <v/>
      </c>
      <c r="G131" s="21" t="str">
        <f t="shared" ca="1" si="31"/>
        <v/>
      </c>
      <c r="H131" s="21" t="str">
        <f t="shared" ca="1" si="31"/>
        <v/>
      </c>
      <c r="I131" s="21" t="str">
        <f t="shared" ca="1" si="31"/>
        <v/>
      </c>
      <c r="J131" s="21" t="str">
        <f t="shared" ca="1" si="31"/>
        <v/>
      </c>
      <c r="K131" s="21" t="str">
        <f t="shared" ca="1" si="31"/>
        <v/>
      </c>
      <c r="L131" s="21" t="str">
        <f t="shared" ca="1" si="31"/>
        <v/>
      </c>
      <c r="M131" s="21" t="str">
        <f t="shared" ca="1" si="31"/>
        <v/>
      </c>
      <c r="N131" s="21" t="str">
        <f t="shared" ca="1" si="31"/>
        <v/>
      </c>
      <c r="O131" s="21"/>
    </row>
    <row r="133" spans="2:15" x14ac:dyDescent="0.75">
      <c r="B133" s="10"/>
    </row>
    <row r="134" spans="2:15" x14ac:dyDescent="0.75">
      <c r="B134" s="1"/>
      <c r="C134" s="1"/>
      <c r="D134" s="1" t="s">
        <v>0</v>
      </c>
      <c r="E134" s="2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2:15" x14ac:dyDescent="0.75">
      <c r="B135" s="1"/>
      <c r="C135" s="1"/>
      <c r="D135" s="1" t="s">
        <v>0</v>
      </c>
      <c r="E135" s="2" t="s">
        <v>50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2:15" x14ac:dyDescent="0.7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2:15" x14ac:dyDescent="0.75">
      <c r="B137" s="1"/>
      <c r="C137" s="14" t="s">
        <v>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2:15" x14ac:dyDescent="0.75">
      <c r="B138" s="5" t="s">
        <v>7</v>
      </c>
      <c r="C138" s="15">
        <v>0</v>
      </c>
      <c r="D138" s="15">
        <v>1</v>
      </c>
      <c r="E138" s="15">
        <v>2</v>
      </c>
      <c r="F138" s="15">
        <v>3</v>
      </c>
      <c r="G138" s="15">
        <v>4</v>
      </c>
      <c r="H138" s="15">
        <v>5</v>
      </c>
      <c r="I138" s="15">
        <v>6</v>
      </c>
      <c r="J138" s="15">
        <v>7</v>
      </c>
      <c r="K138" s="15">
        <v>8</v>
      </c>
      <c r="L138" s="15">
        <v>9</v>
      </c>
      <c r="M138" s="15">
        <v>10</v>
      </c>
      <c r="N138" s="15">
        <v>11</v>
      </c>
      <c r="O138" s="50"/>
    </row>
    <row r="139" spans="2:15" x14ac:dyDescent="0.75">
      <c r="B139" s="7">
        <v>2009</v>
      </c>
      <c r="C139" s="17">
        <f ca="1">+IF($B139+C$138&gt;LatestYear,"",C81+C81^0.5*C120)</f>
        <v>31712.114028823478</v>
      </c>
      <c r="D139" s="17">
        <f t="shared" ref="D139:N139" ca="1" si="32">+IF($B139+D$138&gt;LatestYear,"",D81+D81^0.5*D120)</f>
        <v>32097.563547567552</v>
      </c>
      <c r="E139" s="17">
        <f t="shared" ca="1" si="32"/>
        <v>11391.418082391039</v>
      </c>
      <c r="F139" s="17">
        <f t="shared" ca="1" si="32"/>
        <v>4506.6539154480661</v>
      </c>
      <c r="G139" s="17">
        <f t="shared" ca="1" si="32"/>
        <v>2073.0037568766106</v>
      </c>
      <c r="H139" s="17">
        <f t="shared" ca="1" si="32"/>
        <v>2592.9338184304684</v>
      </c>
      <c r="I139" s="17">
        <f t="shared" ca="1" si="32"/>
        <v>786.39154872608754</v>
      </c>
      <c r="J139" s="17">
        <f t="shared" ca="1" si="32"/>
        <v>1285.8923145112371</v>
      </c>
      <c r="K139" s="17">
        <f t="shared" ca="1" si="32"/>
        <v>541.63139878355514</v>
      </c>
      <c r="L139" s="17">
        <f t="shared" ca="1" si="32"/>
        <v>394.73660990306018</v>
      </c>
      <c r="M139" s="17">
        <f t="shared" ca="1" si="32"/>
        <v>309.3720363249264</v>
      </c>
      <c r="N139" s="17">
        <f t="shared" ca="1" si="32"/>
        <v>584.98798465490518</v>
      </c>
      <c r="O139" s="17"/>
    </row>
    <row r="140" spans="2:15" x14ac:dyDescent="0.75">
      <c r="B140" s="7">
        <v>2010</v>
      </c>
      <c r="C140" s="17">
        <f t="shared" ref="C140:N150" ca="1" si="33">+IF($B140+C$138&gt;LatestYear,"",C82+C82^0.5*C121)</f>
        <v>32976.932146597304</v>
      </c>
      <c r="D140" s="17">
        <f t="shared" ca="1" si="33"/>
        <v>33837.81407750144</v>
      </c>
      <c r="E140" s="17">
        <f t="shared" ca="1" si="33"/>
        <v>11902.330823784829</v>
      </c>
      <c r="F140" s="17">
        <f t="shared" ca="1" si="33"/>
        <v>6947.3621387385119</v>
      </c>
      <c r="G140" s="17">
        <f t="shared" ca="1" si="33"/>
        <v>2504.7653349658749</v>
      </c>
      <c r="H140" s="17">
        <f t="shared" ca="1" si="33"/>
        <v>1951.5301939511555</v>
      </c>
      <c r="I140" s="17">
        <f t="shared" ca="1" si="33"/>
        <v>1711.7269866137581</v>
      </c>
      <c r="J140" s="17">
        <f t="shared" ca="1" si="33"/>
        <v>1394.6925008781029</v>
      </c>
      <c r="K140" s="17">
        <f t="shared" ca="1" si="33"/>
        <v>715.47620486195842</v>
      </c>
      <c r="L140" s="17">
        <f t="shared" ca="1" si="33"/>
        <v>498.20059768096081</v>
      </c>
      <c r="M140" s="17">
        <f t="shared" ca="1" si="33"/>
        <v>339.19773124882624</v>
      </c>
      <c r="N140" s="17" t="str">
        <f t="shared" si="33"/>
        <v/>
      </c>
      <c r="O140" s="17"/>
    </row>
    <row r="141" spans="2:15" x14ac:dyDescent="0.75">
      <c r="B141" s="7">
        <v>2011</v>
      </c>
      <c r="C141" s="17">
        <f t="shared" ca="1" si="33"/>
        <v>37354.108586783819</v>
      </c>
      <c r="D141" s="17">
        <f t="shared" ca="1" si="33"/>
        <v>38731.45070996604</v>
      </c>
      <c r="E141" s="17">
        <f t="shared" ca="1" si="33"/>
        <v>15224.777221546483</v>
      </c>
      <c r="F141" s="17">
        <f t="shared" ca="1" si="33"/>
        <v>4948.8367557584806</v>
      </c>
      <c r="G141" s="17">
        <f t="shared" ca="1" si="33"/>
        <v>3596.8765543406344</v>
      </c>
      <c r="H141" s="17">
        <f t="shared" ca="1" si="33"/>
        <v>1897.9449645089292</v>
      </c>
      <c r="I141" s="17">
        <f t="shared" ca="1" si="33"/>
        <v>792.30092906311916</v>
      </c>
      <c r="J141" s="17">
        <f t="shared" ca="1" si="33"/>
        <v>970.62828722770234</v>
      </c>
      <c r="K141" s="17">
        <f t="shared" ca="1" si="33"/>
        <v>537.88991223223957</v>
      </c>
      <c r="L141" s="17">
        <f t="shared" ca="1" si="33"/>
        <v>1110.4353039526306</v>
      </c>
      <c r="M141" s="17" t="str">
        <f t="shared" si="33"/>
        <v/>
      </c>
      <c r="N141" s="17" t="str">
        <f t="shared" si="33"/>
        <v/>
      </c>
      <c r="O141" s="17"/>
    </row>
    <row r="142" spans="2:15" x14ac:dyDescent="0.75">
      <c r="B142" s="7">
        <v>2012</v>
      </c>
      <c r="C142" s="17">
        <f t="shared" ca="1" si="33"/>
        <v>39552.705814800727</v>
      </c>
      <c r="D142" s="17">
        <f t="shared" ca="1" si="33"/>
        <v>39767.465647462486</v>
      </c>
      <c r="E142" s="17">
        <f t="shared" ca="1" si="33"/>
        <v>13047.792270367194</v>
      </c>
      <c r="F142" s="17">
        <f t="shared" ca="1" si="33"/>
        <v>6111.2877407295082</v>
      </c>
      <c r="G142" s="17">
        <f t="shared" ca="1" si="33"/>
        <v>4223.1286253567696</v>
      </c>
      <c r="H142" s="17">
        <f t="shared" ca="1" si="33"/>
        <v>2919.5979505293635</v>
      </c>
      <c r="I142" s="17">
        <f t="shared" ca="1" si="33"/>
        <v>1085.8437585012307</v>
      </c>
      <c r="J142" s="17">
        <f t="shared" ca="1" si="33"/>
        <v>1234.5521858418711</v>
      </c>
      <c r="K142" s="17">
        <f t="shared" ca="1" si="33"/>
        <v>926.3520506343018</v>
      </c>
      <c r="L142" s="17" t="str">
        <f t="shared" si="33"/>
        <v/>
      </c>
      <c r="M142" s="17" t="str">
        <f t="shared" si="33"/>
        <v/>
      </c>
      <c r="N142" s="17" t="str">
        <f t="shared" si="33"/>
        <v/>
      </c>
      <c r="O142" s="17"/>
    </row>
    <row r="143" spans="2:15" x14ac:dyDescent="0.75">
      <c r="B143" s="7">
        <v>2013</v>
      </c>
      <c r="C143" s="17">
        <f t="shared" ca="1" si="33"/>
        <v>42617.894122094527</v>
      </c>
      <c r="D143" s="17">
        <f t="shared" ca="1" si="33"/>
        <v>43451.866492623827</v>
      </c>
      <c r="E143" s="17">
        <f t="shared" ca="1" si="33"/>
        <v>15993.181322661412</v>
      </c>
      <c r="F143" s="17">
        <f t="shared" ca="1" si="33"/>
        <v>6591.4615462719657</v>
      </c>
      <c r="G143" s="17">
        <f t="shared" ca="1" si="33"/>
        <v>3322.078064854682</v>
      </c>
      <c r="H143" s="17">
        <f t="shared" ca="1" si="33"/>
        <v>2782.0569768109167</v>
      </c>
      <c r="I143" s="17">
        <f t="shared" ca="1" si="33"/>
        <v>961.2486392179452</v>
      </c>
      <c r="J143" s="17">
        <f t="shared" ca="1" si="33"/>
        <v>950.07801971377091</v>
      </c>
      <c r="K143" s="17" t="str">
        <f t="shared" si="33"/>
        <v/>
      </c>
      <c r="L143" s="17" t="str">
        <f t="shared" si="33"/>
        <v/>
      </c>
      <c r="M143" s="17" t="str">
        <f t="shared" si="33"/>
        <v/>
      </c>
      <c r="N143" s="17" t="str">
        <f t="shared" si="33"/>
        <v/>
      </c>
      <c r="O143" s="17"/>
    </row>
    <row r="144" spans="2:15" x14ac:dyDescent="0.75">
      <c r="B144" s="7">
        <v>2014</v>
      </c>
      <c r="C144" s="17">
        <f t="shared" ca="1" si="33"/>
        <v>46072.792159166427</v>
      </c>
      <c r="D144" s="17">
        <f t="shared" ca="1" si="33"/>
        <v>50908.333769152778</v>
      </c>
      <c r="E144" s="17">
        <f t="shared" ca="1" si="33"/>
        <v>18328.577235464953</v>
      </c>
      <c r="F144" s="17">
        <f t="shared" ca="1" si="33"/>
        <v>9023.0602094467595</v>
      </c>
      <c r="G144" s="17">
        <f t="shared" ca="1" si="33"/>
        <v>3733.3476910015338</v>
      </c>
      <c r="H144" s="17">
        <f t="shared" ca="1" si="33"/>
        <v>1927.2555089810883</v>
      </c>
      <c r="I144" s="17">
        <f t="shared" ca="1" si="33"/>
        <v>1597.8227356843731</v>
      </c>
      <c r="J144" s="17" t="str">
        <f t="shared" si="33"/>
        <v/>
      </c>
      <c r="K144" s="17" t="str">
        <f t="shared" si="33"/>
        <v/>
      </c>
      <c r="L144" s="17" t="str">
        <f t="shared" si="33"/>
        <v/>
      </c>
      <c r="M144" s="17" t="str">
        <f t="shared" si="33"/>
        <v/>
      </c>
      <c r="N144" s="17" t="str">
        <f t="shared" si="33"/>
        <v/>
      </c>
      <c r="O144" s="17"/>
    </row>
    <row r="145" spans="2:15" x14ac:dyDescent="0.75">
      <c r="B145" s="7">
        <v>2015</v>
      </c>
      <c r="C145" s="17">
        <f t="shared" ca="1" si="33"/>
        <v>56038.532235671795</v>
      </c>
      <c r="D145" s="17">
        <f t="shared" ca="1" si="33"/>
        <v>52970.191054609684</v>
      </c>
      <c r="E145" s="17">
        <f t="shared" ca="1" si="33"/>
        <v>17892.504687350673</v>
      </c>
      <c r="F145" s="17">
        <f t="shared" ca="1" si="33"/>
        <v>7694.9745399875392</v>
      </c>
      <c r="G145" s="17">
        <f t="shared" ca="1" si="33"/>
        <v>3955.6596846542388</v>
      </c>
      <c r="H145" s="17">
        <f t="shared" ca="1" si="33"/>
        <v>2380.9842078385659</v>
      </c>
      <c r="I145" s="17" t="str">
        <f t="shared" si="33"/>
        <v/>
      </c>
      <c r="J145" s="17" t="str">
        <f t="shared" si="33"/>
        <v/>
      </c>
      <c r="K145" s="17" t="str">
        <f t="shared" si="33"/>
        <v/>
      </c>
      <c r="L145" s="17" t="str">
        <f t="shared" si="33"/>
        <v/>
      </c>
      <c r="M145" s="17" t="str">
        <f t="shared" si="33"/>
        <v/>
      </c>
      <c r="N145" s="17" t="str">
        <f t="shared" si="33"/>
        <v/>
      </c>
      <c r="O145" s="17"/>
    </row>
    <row r="146" spans="2:15" x14ac:dyDescent="0.75">
      <c r="B146" s="7">
        <v>2016</v>
      </c>
      <c r="C146" s="17">
        <f t="shared" ca="1" si="33"/>
        <v>48555.935035034163</v>
      </c>
      <c r="D146" s="17">
        <f t="shared" ca="1" si="33"/>
        <v>53057.954921383884</v>
      </c>
      <c r="E146" s="17">
        <f t="shared" ca="1" si="33"/>
        <v>19784.45891833102</v>
      </c>
      <c r="F146" s="17">
        <f t="shared" ca="1" si="33"/>
        <v>7622.7934559603154</v>
      </c>
      <c r="G146" s="17">
        <f t="shared" ca="1" si="33"/>
        <v>4691.9179557601692</v>
      </c>
      <c r="H146" s="17" t="str">
        <f t="shared" si="33"/>
        <v/>
      </c>
      <c r="I146" s="17" t="str">
        <f t="shared" si="33"/>
        <v/>
      </c>
      <c r="J146" s="17" t="str">
        <f t="shared" si="33"/>
        <v/>
      </c>
      <c r="K146" s="17" t="str">
        <f t="shared" si="33"/>
        <v/>
      </c>
      <c r="L146" s="17" t="str">
        <f t="shared" si="33"/>
        <v/>
      </c>
      <c r="M146" s="17" t="str">
        <f t="shared" si="33"/>
        <v/>
      </c>
      <c r="N146" s="17" t="str">
        <f t="shared" si="33"/>
        <v/>
      </c>
      <c r="O146" s="17"/>
    </row>
    <row r="147" spans="2:15" x14ac:dyDescent="0.75">
      <c r="B147" s="7">
        <v>2017</v>
      </c>
      <c r="C147" s="17">
        <f t="shared" ca="1" si="33"/>
        <v>48260.054337987836</v>
      </c>
      <c r="D147" s="17">
        <f t="shared" ca="1" si="33"/>
        <v>51744.248319249629</v>
      </c>
      <c r="E147" s="17">
        <f t="shared" ca="1" si="33"/>
        <v>18488.022139894347</v>
      </c>
      <c r="F147" s="17">
        <f t="shared" ca="1" si="33"/>
        <v>8639.3048215954714</v>
      </c>
      <c r="G147" s="17" t="str">
        <f t="shared" si="33"/>
        <v/>
      </c>
      <c r="H147" s="17" t="str">
        <f t="shared" si="33"/>
        <v/>
      </c>
      <c r="I147" s="17" t="str">
        <f t="shared" si="33"/>
        <v/>
      </c>
      <c r="J147" s="17" t="str">
        <f t="shared" si="33"/>
        <v/>
      </c>
      <c r="K147" s="17" t="str">
        <f t="shared" si="33"/>
        <v/>
      </c>
      <c r="L147" s="17" t="str">
        <f t="shared" si="33"/>
        <v/>
      </c>
      <c r="M147" s="17" t="str">
        <f t="shared" si="33"/>
        <v/>
      </c>
      <c r="N147" s="17" t="str">
        <f t="shared" si="33"/>
        <v/>
      </c>
      <c r="O147" s="17"/>
    </row>
    <row r="148" spans="2:15" x14ac:dyDescent="0.75">
      <c r="B148" s="7">
        <v>2018</v>
      </c>
      <c r="C148" s="17">
        <f t="shared" ca="1" si="33"/>
        <v>48044.861820559861</v>
      </c>
      <c r="D148" s="17">
        <f t="shared" ca="1" si="33"/>
        <v>53654.707188783097</v>
      </c>
      <c r="E148" s="17">
        <f t="shared" ca="1" si="33"/>
        <v>18856.529574975713</v>
      </c>
      <c r="F148" s="17" t="str">
        <f t="shared" si="33"/>
        <v/>
      </c>
      <c r="G148" s="17" t="str">
        <f t="shared" si="33"/>
        <v/>
      </c>
      <c r="H148" s="17" t="str">
        <f t="shared" si="33"/>
        <v/>
      </c>
      <c r="I148" s="17" t="str">
        <f t="shared" si="33"/>
        <v/>
      </c>
      <c r="J148" s="17" t="str">
        <f t="shared" si="33"/>
        <v/>
      </c>
      <c r="K148" s="17" t="str">
        <f t="shared" si="33"/>
        <v/>
      </c>
      <c r="L148" s="17" t="str">
        <f t="shared" si="33"/>
        <v/>
      </c>
      <c r="M148" s="17" t="str">
        <f t="shared" si="33"/>
        <v/>
      </c>
      <c r="N148" s="17" t="str">
        <f t="shared" si="33"/>
        <v/>
      </c>
      <c r="O148" s="17"/>
    </row>
    <row r="149" spans="2:15" x14ac:dyDescent="0.75">
      <c r="B149" s="7">
        <v>2019</v>
      </c>
      <c r="C149" s="17">
        <f t="shared" ca="1" si="33"/>
        <v>58976.522235804776</v>
      </c>
      <c r="D149" s="17">
        <f t="shared" ca="1" si="33"/>
        <v>58729.822153524226</v>
      </c>
      <c r="E149" s="17" t="str">
        <f t="shared" si="33"/>
        <v/>
      </c>
      <c r="F149" s="17" t="str">
        <f t="shared" si="33"/>
        <v/>
      </c>
      <c r="G149" s="17" t="str">
        <f t="shared" si="33"/>
        <v/>
      </c>
      <c r="H149" s="17" t="str">
        <f t="shared" si="33"/>
        <v/>
      </c>
      <c r="I149" s="17" t="str">
        <f t="shared" si="33"/>
        <v/>
      </c>
      <c r="J149" s="17" t="str">
        <f t="shared" si="33"/>
        <v/>
      </c>
      <c r="K149" s="17" t="str">
        <f t="shared" si="33"/>
        <v/>
      </c>
      <c r="L149" s="17" t="str">
        <f t="shared" si="33"/>
        <v/>
      </c>
      <c r="M149" s="17" t="str">
        <f t="shared" si="33"/>
        <v/>
      </c>
      <c r="N149" s="17" t="str">
        <f t="shared" si="33"/>
        <v/>
      </c>
      <c r="O149" s="17"/>
    </row>
    <row r="150" spans="2:15" x14ac:dyDescent="0.75">
      <c r="B150" s="7">
        <v>2020</v>
      </c>
      <c r="C150" s="17">
        <f t="shared" ca="1" si="33"/>
        <v>61018.633414376112</v>
      </c>
      <c r="D150" s="17" t="str">
        <f t="shared" si="33"/>
        <v/>
      </c>
      <c r="E150" s="17" t="str">
        <f t="shared" si="33"/>
        <v/>
      </c>
      <c r="F150" s="17" t="str">
        <f t="shared" si="33"/>
        <v/>
      </c>
      <c r="G150" s="17" t="str">
        <f t="shared" si="33"/>
        <v/>
      </c>
      <c r="H150" s="17" t="str">
        <f t="shared" si="33"/>
        <v/>
      </c>
      <c r="I150" s="17" t="str">
        <f t="shared" si="33"/>
        <v/>
      </c>
      <c r="J150" s="17" t="str">
        <f t="shared" si="33"/>
        <v/>
      </c>
      <c r="K150" s="17" t="str">
        <f t="shared" si="33"/>
        <v/>
      </c>
      <c r="L150" s="17" t="str">
        <f t="shared" si="33"/>
        <v/>
      </c>
      <c r="M150" s="17" t="str">
        <f t="shared" si="33"/>
        <v/>
      </c>
      <c r="N150" s="17" t="str">
        <f t="shared" si="33"/>
        <v/>
      </c>
      <c r="O150" s="17"/>
    </row>
    <row r="151" spans="2:15" x14ac:dyDescent="0.75">
      <c r="B151" s="26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</row>
    <row r="152" spans="2:15" x14ac:dyDescent="0.75">
      <c r="B152" s="26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</row>
    <row r="153" spans="2:15" x14ac:dyDescent="0.75">
      <c r="B153" s="26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2:15" x14ac:dyDescent="0.75">
      <c r="B154" s="1"/>
      <c r="C154" s="1"/>
      <c r="D154" s="1" t="s">
        <v>0</v>
      </c>
      <c r="E154" s="2" t="s">
        <v>15</v>
      </c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2:15" x14ac:dyDescent="0.75">
      <c r="B155" s="1"/>
      <c r="C155" s="14" t="s">
        <v>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2:15" x14ac:dyDescent="0.75">
      <c r="B156" s="5" t="s">
        <v>7</v>
      </c>
      <c r="C156" s="15">
        <v>0</v>
      </c>
      <c r="D156" s="15">
        <v>1</v>
      </c>
      <c r="E156" s="15">
        <v>2</v>
      </c>
      <c r="F156" s="15">
        <v>3</v>
      </c>
      <c r="G156" s="15">
        <v>4</v>
      </c>
      <c r="H156" s="15">
        <v>5</v>
      </c>
      <c r="I156" s="15">
        <v>6</v>
      </c>
      <c r="J156" s="15">
        <v>7</v>
      </c>
      <c r="K156" s="15">
        <v>8</v>
      </c>
      <c r="L156" s="15">
        <v>9</v>
      </c>
      <c r="M156" s="15">
        <v>10</v>
      </c>
      <c r="N156" s="15">
        <v>11</v>
      </c>
      <c r="O156" s="50"/>
    </row>
    <row r="157" spans="2:15" x14ac:dyDescent="0.75">
      <c r="B157" s="7">
        <v>2009</v>
      </c>
      <c r="C157" s="17">
        <f ca="1">IF($B157+C$156&lt;=LatestYear,SUM($C139:C139),"")</f>
        <v>31712.114028823478</v>
      </c>
      <c r="D157" s="17">
        <f ca="1">IF($B157+D$156&lt;=LatestYear,SUM($C139:D139),"")</f>
        <v>63809.677576391026</v>
      </c>
      <c r="E157" s="17">
        <f ca="1">IF($B157+E$156&lt;=LatestYear,SUM($C139:E139),"")</f>
        <v>75201.095658782069</v>
      </c>
      <c r="F157" s="17">
        <f ca="1">IF($B157+F$156&lt;=LatestYear,SUM($C139:F139),"")</f>
        <v>79707.74957423014</v>
      </c>
      <c r="G157" s="17">
        <f ca="1">IF($B157+G$156&lt;=LatestYear,SUM($C139:G139),"")</f>
        <v>81780.753331106753</v>
      </c>
      <c r="H157" s="17">
        <f ca="1">IF($B157+H$156&lt;=LatestYear,SUM($C139:H139),"")</f>
        <v>84373.687149537218</v>
      </c>
      <c r="I157" s="17">
        <f ca="1">IF($B157+I$156&lt;=LatestYear,SUM($C139:I139),"")</f>
        <v>85160.0786982633</v>
      </c>
      <c r="J157" s="17">
        <f ca="1">IF($B157+J$156&lt;=LatestYear,SUM($C139:J139),"")</f>
        <v>86445.971012774535</v>
      </c>
      <c r="K157" s="17">
        <f ca="1">IF($B157+K$156&lt;=LatestYear,SUM($C139:K139),"")</f>
        <v>86987.602411558095</v>
      </c>
      <c r="L157" s="17">
        <f ca="1">IF($B157+L$156&lt;=LatestYear,SUM($C139:L139),"")</f>
        <v>87382.339021461157</v>
      </c>
      <c r="M157" s="17">
        <f ca="1">IF($B157+M$156&lt;=LatestYear,SUM($C139:M139),"")</f>
        <v>87691.711057786088</v>
      </c>
      <c r="N157" s="17">
        <f ca="1">IF($B157+N$156&lt;=LatestYear,SUM($C139:N139),"")</f>
        <v>88276.699042440989</v>
      </c>
      <c r="O157" s="17"/>
    </row>
    <row r="158" spans="2:15" x14ac:dyDescent="0.75">
      <c r="B158" s="7">
        <v>2010</v>
      </c>
      <c r="C158" s="17">
        <f ca="1">IF($B158+C$156&lt;=LatestYear,SUM($C140:C140),"")</f>
        <v>32976.932146597304</v>
      </c>
      <c r="D158" s="17">
        <f ca="1">IF($B158+D$156&lt;=LatestYear,SUM($C140:D140),"")</f>
        <v>66814.746224098752</v>
      </c>
      <c r="E158" s="17">
        <f ca="1">IF($B158+E$156&lt;=LatestYear,SUM($C140:E140),"")</f>
        <v>78717.077047883577</v>
      </c>
      <c r="F158" s="17">
        <f ca="1">IF($B158+F$156&lt;=LatestYear,SUM($C140:F140),"")</f>
        <v>85664.439186622083</v>
      </c>
      <c r="G158" s="17">
        <f ca="1">IF($B158+G$156&lt;=LatestYear,SUM($C140:G140),"")</f>
        <v>88169.204521587963</v>
      </c>
      <c r="H158" s="17">
        <f ca="1">IF($B158+H$156&lt;=LatestYear,SUM($C140:H140),"")</f>
        <v>90120.734715539118</v>
      </c>
      <c r="I158" s="17">
        <f ca="1">IF($B158+I$156&lt;=LatestYear,SUM($C140:I140),"")</f>
        <v>91832.461702152883</v>
      </c>
      <c r="J158" s="17">
        <f ca="1">IF($B158+J$156&lt;=LatestYear,SUM($C140:J140),"")</f>
        <v>93227.154203030979</v>
      </c>
      <c r="K158" s="17">
        <f ca="1">IF($B158+K$156&lt;=LatestYear,SUM($C140:K140),"")</f>
        <v>93942.630407892939</v>
      </c>
      <c r="L158" s="17">
        <f ca="1">IF($B158+L$156&lt;=LatestYear,SUM($C140:L140),"")</f>
        <v>94440.831005573898</v>
      </c>
      <c r="M158" s="17">
        <f ca="1">IF($B158+M$156&lt;=LatestYear,SUM($C140:M140),"")</f>
        <v>94780.028736822729</v>
      </c>
      <c r="N158" s="17" t="str">
        <f>IF($B158+N$156&lt;=LatestYear,SUM($C140:N140),"")</f>
        <v/>
      </c>
      <c r="O158" s="17"/>
    </row>
    <row r="159" spans="2:15" x14ac:dyDescent="0.75">
      <c r="B159" s="7">
        <v>2011</v>
      </c>
      <c r="C159" s="17">
        <f ca="1">IF($B159+C$156&lt;=LatestYear,SUM($C141:C141),"")</f>
        <v>37354.108586783819</v>
      </c>
      <c r="D159" s="17">
        <f ca="1">IF($B159+D$156&lt;=LatestYear,SUM($C141:D141),"")</f>
        <v>76085.559296749852</v>
      </c>
      <c r="E159" s="17">
        <f ca="1">IF($B159+E$156&lt;=LatestYear,SUM($C141:E141),"")</f>
        <v>91310.336518296332</v>
      </c>
      <c r="F159" s="17">
        <f ca="1">IF($B159+F$156&lt;=LatestYear,SUM($C141:F141),"")</f>
        <v>96259.173274054818</v>
      </c>
      <c r="G159" s="17">
        <f ca="1">IF($B159+G$156&lt;=LatestYear,SUM($C141:G141),"")</f>
        <v>99856.049828395451</v>
      </c>
      <c r="H159" s="17">
        <f ca="1">IF($B159+H$156&lt;=LatestYear,SUM($C141:H141),"")</f>
        <v>101753.99479290438</v>
      </c>
      <c r="I159" s="17">
        <f ca="1">IF($B159+I$156&lt;=LatestYear,SUM($C141:I141),"")</f>
        <v>102546.2957219675</v>
      </c>
      <c r="J159" s="17">
        <f ca="1">IF($B159+J$156&lt;=LatestYear,SUM($C141:J141),"")</f>
        <v>103516.92400919521</v>
      </c>
      <c r="K159" s="17">
        <f ca="1">IF($B159+K$156&lt;=LatestYear,SUM($C141:K141),"")</f>
        <v>104054.81392142744</v>
      </c>
      <c r="L159" s="17">
        <f ca="1">IF($B159+L$156&lt;=LatestYear,SUM($C141:L141),"")</f>
        <v>105165.24922538007</v>
      </c>
      <c r="M159" s="17" t="str">
        <f>IF($B159+M$156&lt;=LatestYear,SUM($C141:M141),"")</f>
        <v/>
      </c>
      <c r="N159" s="17" t="str">
        <f>IF($B159+N$156&lt;=LatestYear,SUM($C141:N141),"")</f>
        <v/>
      </c>
      <c r="O159" s="17"/>
    </row>
    <row r="160" spans="2:15" x14ac:dyDescent="0.75">
      <c r="B160" s="7">
        <v>2012</v>
      </c>
      <c r="C160" s="17">
        <f ca="1">IF($B160+C$156&lt;=LatestYear,SUM($C142:C142),"")</f>
        <v>39552.705814800727</v>
      </c>
      <c r="D160" s="17">
        <f ca="1">IF($B160+D$156&lt;=LatestYear,SUM($C142:D142),"")</f>
        <v>79320.171462263213</v>
      </c>
      <c r="E160" s="17">
        <f ca="1">IF($B160+E$156&lt;=LatestYear,SUM($C142:E142),"")</f>
        <v>92367.963732630407</v>
      </c>
      <c r="F160" s="17">
        <f ca="1">IF($B160+F$156&lt;=LatestYear,SUM($C142:F142),"")</f>
        <v>98479.251473359909</v>
      </c>
      <c r="G160" s="17">
        <f ca="1">IF($B160+G$156&lt;=LatestYear,SUM($C142:G142),"")</f>
        <v>102702.38009871668</v>
      </c>
      <c r="H160" s="17">
        <f ca="1">IF($B160+H$156&lt;=LatestYear,SUM($C142:H142),"")</f>
        <v>105621.97804924604</v>
      </c>
      <c r="I160" s="17">
        <f ca="1">IF($B160+I$156&lt;=LatestYear,SUM($C142:I142),"")</f>
        <v>106707.82180774727</v>
      </c>
      <c r="J160" s="17">
        <f ca="1">IF($B160+J$156&lt;=LatestYear,SUM($C142:J142),"")</f>
        <v>107942.37399358914</v>
      </c>
      <c r="K160" s="17">
        <f ca="1">IF($B160+K$156&lt;=LatestYear,SUM($C142:K142),"")</f>
        <v>108868.72604422344</v>
      </c>
      <c r="L160" s="17" t="str">
        <f>IF($B160+L$156&lt;=LatestYear,SUM($C142:L142),"")</f>
        <v/>
      </c>
      <c r="M160" s="17" t="str">
        <f>IF($B160+M$156&lt;=LatestYear,SUM($C142:M142),"")</f>
        <v/>
      </c>
      <c r="N160" s="17" t="str">
        <f>IF($B160+N$156&lt;=LatestYear,SUM($C142:N142),"")</f>
        <v/>
      </c>
      <c r="O160" s="17"/>
    </row>
    <row r="161" spans="2:20" x14ac:dyDescent="0.75">
      <c r="B161" s="7">
        <v>2013</v>
      </c>
      <c r="C161" s="17">
        <f ca="1">IF($B161+C$156&lt;=LatestYear,SUM($C143:C143),"")</f>
        <v>42617.894122094527</v>
      </c>
      <c r="D161" s="17">
        <f ca="1">IF($B161+D$156&lt;=LatestYear,SUM($C143:D143),"")</f>
        <v>86069.760614718354</v>
      </c>
      <c r="E161" s="17">
        <f ca="1">IF($B161+E$156&lt;=LatestYear,SUM($C143:E143),"")</f>
        <v>102062.94193737977</v>
      </c>
      <c r="F161" s="17">
        <f ca="1">IF($B161+F$156&lt;=LatestYear,SUM($C143:F143),"")</f>
        <v>108654.40348365174</v>
      </c>
      <c r="G161" s="17">
        <f ca="1">IF($B161+G$156&lt;=LatestYear,SUM($C143:G143),"")</f>
        <v>111976.48154850642</v>
      </c>
      <c r="H161" s="17">
        <f ca="1">IF($B161+H$156&lt;=LatestYear,SUM($C143:H143),"")</f>
        <v>114758.53852531733</v>
      </c>
      <c r="I161" s="17">
        <f ca="1">IF($B161+I$156&lt;=LatestYear,SUM($C143:I143),"")</f>
        <v>115719.78716453527</v>
      </c>
      <c r="J161" s="17">
        <f ca="1">IF($B161+J$156&lt;=LatestYear,SUM($C143:J143),"")</f>
        <v>116669.86518424904</v>
      </c>
      <c r="K161" s="17" t="str">
        <f>IF($B161+K$156&lt;=LatestYear,SUM($C143:K143),"")</f>
        <v/>
      </c>
      <c r="L161" s="17" t="str">
        <f>IF($B161+L$156&lt;=LatestYear,SUM($C143:L143),"")</f>
        <v/>
      </c>
      <c r="M161" s="17" t="str">
        <f>IF($B161+M$156&lt;=LatestYear,SUM($C143:M143),"")</f>
        <v/>
      </c>
      <c r="N161" s="17" t="str">
        <f>IF($B161+N$156&lt;=LatestYear,SUM($C143:N143),"")</f>
        <v/>
      </c>
      <c r="O161" s="17"/>
    </row>
    <row r="162" spans="2:20" x14ac:dyDescent="0.75">
      <c r="B162" s="7">
        <v>2014</v>
      </c>
      <c r="C162" s="17">
        <f ca="1">IF($B162+C$156&lt;=LatestYear,SUM($C144:C144),"")</f>
        <v>46072.792159166427</v>
      </c>
      <c r="D162" s="17">
        <f ca="1">IF($B162+D$156&lt;=LatestYear,SUM($C144:D144),"")</f>
        <v>96981.125928319205</v>
      </c>
      <c r="E162" s="17">
        <f ca="1">IF($B162+E$156&lt;=LatestYear,SUM($C144:E144),"")</f>
        <v>115309.70316378416</v>
      </c>
      <c r="F162" s="17">
        <f ca="1">IF($B162+F$156&lt;=LatestYear,SUM($C144:F144),"")</f>
        <v>124332.76337323092</v>
      </c>
      <c r="G162" s="17">
        <f ca="1">IF($B162+G$156&lt;=LatestYear,SUM($C144:G144),"")</f>
        <v>128066.11106423245</v>
      </c>
      <c r="H162" s="17">
        <f ca="1">IF($B162+H$156&lt;=LatestYear,SUM($C144:H144),"")</f>
        <v>129993.36657321354</v>
      </c>
      <c r="I162" s="17">
        <f ca="1">IF($B162+I$156&lt;=LatestYear,SUM($C144:I144),"")</f>
        <v>131591.18930889791</v>
      </c>
      <c r="J162" s="17" t="str">
        <f>IF($B162+J$156&lt;=LatestYear,SUM($C144:J144),"")</f>
        <v/>
      </c>
      <c r="K162" s="17" t="str">
        <f>IF($B162+K$156&lt;=LatestYear,SUM($C144:K144),"")</f>
        <v/>
      </c>
      <c r="L162" s="17" t="str">
        <f>IF($B162+L$156&lt;=LatestYear,SUM($C144:L144),"")</f>
        <v/>
      </c>
      <c r="M162" s="17" t="str">
        <f>IF($B162+M$156&lt;=LatestYear,SUM($C144:M144),"")</f>
        <v/>
      </c>
      <c r="N162" s="17" t="str">
        <f>IF($B162+N$156&lt;=LatestYear,SUM($C144:N144),"")</f>
        <v/>
      </c>
      <c r="O162" s="17"/>
    </row>
    <row r="163" spans="2:20" x14ac:dyDescent="0.75">
      <c r="B163" s="7">
        <v>2015</v>
      </c>
      <c r="C163" s="17">
        <f ca="1">IF($B163+C$156&lt;=LatestYear,SUM($C145:C145),"")</f>
        <v>56038.532235671795</v>
      </c>
      <c r="D163" s="17">
        <f ca="1">IF($B163+D$156&lt;=LatestYear,SUM($C145:D145),"")</f>
        <v>109008.72329028149</v>
      </c>
      <c r="E163" s="17">
        <f ca="1">IF($B163+E$156&lt;=LatestYear,SUM($C145:E145),"")</f>
        <v>126901.22797763217</v>
      </c>
      <c r="F163" s="17">
        <f ca="1">IF($B163+F$156&lt;=LatestYear,SUM($C145:F145),"")</f>
        <v>134596.20251761971</v>
      </c>
      <c r="G163" s="17">
        <f ca="1">IF($B163+G$156&lt;=LatestYear,SUM($C145:G145),"")</f>
        <v>138551.86220227394</v>
      </c>
      <c r="H163" s="17">
        <f ca="1">IF($B163+H$156&lt;=LatestYear,SUM($C145:H145),"")</f>
        <v>140932.84641011251</v>
      </c>
      <c r="I163" s="17" t="str">
        <f>IF($B163+I$156&lt;=LatestYear,SUM($C145:I145),"")</f>
        <v/>
      </c>
      <c r="J163" s="17" t="str">
        <f>IF($B163+J$156&lt;=LatestYear,SUM($C145:J145),"")</f>
        <v/>
      </c>
      <c r="K163" s="17" t="str">
        <f>IF($B163+K$156&lt;=LatestYear,SUM($C145:K145),"")</f>
        <v/>
      </c>
      <c r="L163" s="17" t="str">
        <f>IF($B163+L$156&lt;=LatestYear,SUM($C145:L145),"")</f>
        <v/>
      </c>
      <c r="M163" s="17" t="str">
        <f>IF($B163+M$156&lt;=LatestYear,SUM($C145:M145),"")</f>
        <v/>
      </c>
      <c r="N163" s="17" t="str">
        <f>IF($B163+N$156&lt;=LatestYear,SUM($C145:N145),"")</f>
        <v/>
      </c>
      <c r="O163" s="17"/>
    </row>
    <row r="164" spans="2:20" x14ac:dyDescent="0.75">
      <c r="B164" s="7">
        <v>2016</v>
      </c>
      <c r="C164" s="17">
        <f ca="1">IF($B164+C$156&lt;=LatestYear,SUM($C146:C146),"")</f>
        <v>48555.935035034163</v>
      </c>
      <c r="D164" s="17">
        <f ca="1">IF($B164+D$156&lt;=LatestYear,SUM($C146:D146),"")</f>
        <v>101613.88995641805</v>
      </c>
      <c r="E164" s="17">
        <f ca="1">IF($B164+E$156&lt;=LatestYear,SUM($C146:E146),"")</f>
        <v>121398.34887474906</v>
      </c>
      <c r="F164" s="17">
        <f ca="1">IF($B164+F$156&lt;=LatestYear,SUM($C146:F146),"")</f>
        <v>129021.14233070938</v>
      </c>
      <c r="G164" s="17">
        <f ca="1">IF($B164+G$156&lt;=LatestYear,SUM($C146:G146),"")</f>
        <v>133713.06028646955</v>
      </c>
      <c r="H164" s="17" t="str">
        <f>IF($B164+H$156&lt;=LatestYear,SUM($C146:H146),"")</f>
        <v/>
      </c>
      <c r="I164" s="17" t="str">
        <f>IF($B164+I$156&lt;=LatestYear,SUM($C146:I146),"")</f>
        <v/>
      </c>
      <c r="J164" s="17" t="str">
        <f>IF($B164+J$156&lt;=LatestYear,SUM($C146:J146),"")</f>
        <v/>
      </c>
      <c r="K164" s="17" t="str">
        <f>IF($B164+K$156&lt;=LatestYear,SUM($C146:K146),"")</f>
        <v/>
      </c>
      <c r="L164" s="17" t="str">
        <f>IF($B164+L$156&lt;=LatestYear,SUM($C146:L146),"")</f>
        <v/>
      </c>
      <c r="M164" s="17" t="str">
        <f>IF($B164+M$156&lt;=LatestYear,SUM($C146:M146),"")</f>
        <v/>
      </c>
      <c r="N164" s="17" t="str">
        <f>IF($B164+N$156&lt;=LatestYear,SUM($C146:N146),"")</f>
        <v/>
      </c>
      <c r="O164" s="17"/>
    </row>
    <row r="165" spans="2:20" x14ac:dyDescent="0.75">
      <c r="B165" s="7">
        <v>2017</v>
      </c>
      <c r="C165" s="17">
        <f ca="1">IF($B165+C$156&lt;=LatestYear,SUM($C147:C147),"")</f>
        <v>48260.054337987836</v>
      </c>
      <c r="D165" s="17">
        <f ca="1">IF($B165+D$156&lt;=LatestYear,SUM($C147:D147),"")</f>
        <v>100004.30265723747</v>
      </c>
      <c r="E165" s="17">
        <f ca="1">IF($B165+E$156&lt;=LatestYear,SUM($C147:E147),"")</f>
        <v>118492.32479713182</v>
      </c>
      <c r="F165" s="17">
        <f ca="1">IF($B165+F$156&lt;=LatestYear,SUM($C147:F147),"")</f>
        <v>127131.6296187273</v>
      </c>
      <c r="G165" s="17" t="str">
        <f>IF($B165+G$156&lt;=LatestYear,SUM($C147:G147),"")</f>
        <v/>
      </c>
      <c r="H165" s="17" t="str">
        <f>IF($B165+H$156&lt;=LatestYear,SUM($C147:H147),"")</f>
        <v/>
      </c>
      <c r="I165" s="17" t="str">
        <f>IF($B165+I$156&lt;=LatestYear,SUM($C147:I147),"")</f>
        <v/>
      </c>
      <c r="J165" s="17" t="str">
        <f>IF($B165+J$156&lt;=LatestYear,SUM($C147:J147),"")</f>
        <v/>
      </c>
      <c r="K165" s="17" t="str">
        <f>IF($B165+K$156&lt;=LatestYear,SUM($C147:K147),"")</f>
        <v/>
      </c>
      <c r="L165" s="17" t="str">
        <f>IF($B165+L$156&lt;=LatestYear,SUM($C147:L147),"")</f>
        <v/>
      </c>
      <c r="M165" s="17" t="str">
        <f>IF($B165+M$156&lt;=LatestYear,SUM($C147:M147),"")</f>
        <v/>
      </c>
      <c r="N165" s="17" t="str">
        <f>IF($B165+N$156&lt;=LatestYear,SUM($C147:N147),"")</f>
        <v/>
      </c>
      <c r="O165" s="17"/>
    </row>
    <row r="166" spans="2:20" x14ac:dyDescent="0.75">
      <c r="B166" s="7">
        <v>2018</v>
      </c>
      <c r="C166" s="17">
        <f ca="1">IF($B166+C$156&lt;=LatestYear,SUM($C148:C148),"")</f>
        <v>48044.861820559861</v>
      </c>
      <c r="D166" s="17">
        <f ca="1">IF($B166+D$156&lt;=LatestYear,SUM($C148:D148),"")</f>
        <v>101699.56900934296</v>
      </c>
      <c r="E166" s="17">
        <f ca="1">IF($B166+E$156&lt;=LatestYear,SUM($C148:E148),"")</f>
        <v>120556.09858431868</v>
      </c>
      <c r="F166" s="17" t="str">
        <f>IF($B166+F$156&lt;=LatestYear,SUM($C148:F148),"")</f>
        <v/>
      </c>
      <c r="G166" s="17" t="str">
        <f>IF($B166+G$156&lt;=LatestYear,SUM($C148:G148),"")</f>
        <v/>
      </c>
      <c r="H166" s="17" t="str">
        <f>IF($B166+H$156&lt;=LatestYear,SUM($C148:H148),"")</f>
        <v/>
      </c>
      <c r="I166" s="17" t="str">
        <f>IF($B166+I$156&lt;=LatestYear,SUM($C148:I148),"")</f>
        <v/>
      </c>
      <c r="J166" s="17" t="str">
        <f>IF($B166+J$156&lt;=LatestYear,SUM($C148:J148),"")</f>
        <v/>
      </c>
      <c r="K166" s="17" t="str">
        <f>IF($B166+K$156&lt;=LatestYear,SUM($C148:K148),"")</f>
        <v/>
      </c>
      <c r="L166" s="17" t="str">
        <f>IF($B166+L$156&lt;=LatestYear,SUM($C148:L148),"")</f>
        <v/>
      </c>
      <c r="M166" s="17" t="str">
        <f>IF($B166+M$156&lt;=LatestYear,SUM($C148:M148),"")</f>
        <v/>
      </c>
      <c r="N166" s="17" t="str">
        <f>IF($B166+N$156&lt;=LatestYear,SUM($C148:N148),"")</f>
        <v/>
      </c>
      <c r="O166" s="17"/>
    </row>
    <row r="167" spans="2:20" x14ac:dyDescent="0.75">
      <c r="B167" s="7">
        <v>2019</v>
      </c>
      <c r="C167" s="17">
        <f ca="1">IF($B167+C$156&lt;=LatestYear,SUM($C149:C149),"")</f>
        <v>58976.522235804776</v>
      </c>
      <c r="D167" s="17">
        <f ca="1">IF($B167+D$156&lt;=LatestYear,SUM($C149:D149),"")</f>
        <v>117706.344389329</v>
      </c>
      <c r="E167" s="17" t="str">
        <f>IF($B167+E$156&lt;=LatestYear,SUM($C149:E149),"")</f>
        <v/>
      </c>
      <c r="F167" s="17" t="str">
        <f>IF($B167+F$156&lt;=LatestYear,SUM($C149:F149),"")</f>
        <v/>
      </c>
      <c r="G167" s="17" t="str">
        <f>IF($B167+G$156&lt;=LatestYear,SUM($C149:G149),"")</f>
        <v/>
      </c>
      <c r="H167" s="17" t="str">
        <f>IF($B167+H$156&lt;=LatestYear,SUM($C149:H149),"")</f>
        <v/>
      </c>
      <c r="I167" s="17" t="str">
        <f>IF($B167+I$156&lt;=LatestYear,SUM($C149:I149),"")</f>
        <v/>
      </c>
      <c r="J167" s="17" t="str">
        <f>IF($B167+J$156&lt;=LatestYear,SUM($C149:J149),"")</f>
        <v/>
      </c>
      <c r="K167" s="17" t="str">
        <f>IF($B167+K$156&lt;=LatestYear,SUM($C149:K149),"")</f>
        <v/>
      </c>
      <c r="L167" s="17" t="str">
        <f>IF($B167+L$156&lt;=LatestYear,SUM($C149:L149),"")</f>
        <v/>
      </c>
      <c r="M167" s="17" t="str">
        <f>IF($B167+M$156&lt;=LatestYear,SUM($C149:M149),"")</f>
        <v/>
      </c>
      <c r="N167" s="17" t="str">
        <f>IF($B167+N$156&lt;=LatestYear,SUM($C149:N149),"")</f>
        <v/>
      </c>
      <c r="O167" s="17"/>
    </row>
    <row r="168" spans="2:20" x14ac:dyDescent="0.75">
      <c r="B168" s="7">
        <v>2020</v>
      </c>
      <c r="C168" s="17">
        <f ca="1">IF($B168+C$156&lt;=LatestYear,SUM($C150:C150),"")</f>
        <v>61018.633414376112</v>
      </c>
      <c r="D168" s="17" t="str">
        <f>IF($B168+D$156&lt;=LatestYear,SUM($C150:D150),"")</f>
        <v/>
      </c>
      <c r="E168" s="17" t="str">
        <f>IF($B168+E$156&lt;=LatestYear,SUM($C150:E150),"")</f>
        <v/>
      </c>
      <c r="F168" s="17" t="str">
        <f>IF($B168+F$156&lt;=LatestYear,SUM($C150:F150),"")</f>
        <v/>
      </c>
      <c r="G168" s="17" t="str">
        <f>IF($B168+G$156&lt;=LatestYear,SUM($C150:G150),"")</f>
        <v/>
      </c>
      <c r="H168" s="17" t="str">
        <f>IF($B168+H$156&lt;=LatestYear,SUM($C150:H150),"")</f>
        <v/>
      </c>
      <c r="I168" s="17" t="str">
        <f>IF($B168+I$156&lt;=LatestYear,SUM($C150:I150),"")</f>
        <v/>
      </c>
      <c r="J168" s="17" t="str">
        <f>IF($B168+J$156&lt;=LatestYear,SUM($C150:J150),"")</f>
        <v/>
      </c>
      <c r="K168" s="17" t="str">
        <f>IF($B168+K$156&lt;=LatestYear,SUM($C150:K150),"")</f>
        <v/>
      </c>
      <c r="L168" s="17" t="str">
        <f>IF($B168+L$156&lt;=LatestYear,SUM($C150:L150),"")</f>
        <v/>
      </c>
      <c r="M168" s="17" t="str">
        <f>IF($B168+M$156&lt;=LatestYear,SUM($C150:M150),"")</f>
        <v/>
      </c>
      <c r="N168" s="17" t="str">
        <f>IF($B168+N$156&lt;=LatestYear,SUM($C150:N150),"")</f>
        <v/>
      </c>
      <c r="O168" s="17"/>
    </row>
    <row r="169" spans="2:20" x14ac:dyDescent="0.75">
      <c r="B169" s="26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</row>
    <row r="170" spans="2:20" x14ac:dyDescent="0.75">
      <c r="Q170" s="55" t="s">
        <v>49</v>
      </c>
      <c r="R170" s="55"/>
      <c r="S170" s="55"/>
      <c r="T170" s="55"/>
    </row>
    <row r="171" spans="2:20" x14ac:dyDescent="0.75">
      <c r="B171" s="1"/>
      <c r="C171" s="1"/>
      <c r="D171" s="1" t="s">
        <v>0</v>
      </c>
      <c r="E171" s="2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2:20" x14ac:dyDescent="0.75">
      <c r="B172" s="1"/>
      <c r="C172" s="1"/>
      <c r="D172" s="1" t="s">
        <v>0</v>
      </c>
      <c r="E172" s="2" t="s">
        <v>9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2:20" x14ac:dyDescent="0.75">
      <c r="B173" s="1"/>
      <c r="C173" s="14" t="s">
        <v>6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Q173" s="28" t="s">
        <v>16</v>
      </c>
      <c r="R173" s="28" t="s">
        <v>17</v>
      </c>
      <c r="S173" s="28" t="s">
        <v>20</v>
      </c>
      <c r="T173" s="28" t="s">
        <v>18</v>
      </c>
    </row>
    <row r="174" spans="2:20" x14ac:dyDescent="0.75">
      <c r="B174" s="5" t="s">
        <v>7</v>
      </c>
      <c r="C174" s="15">
        <v>0</v>
      </c>
      <c r="D174" s="15">
        <v>1</v>
      </c>
      <c r="E174" s="15">
        <v>2</v>
      </c>
      <c r="F174" s="15">
        <v>3</v>
      </c>
      <c r="G174" s="15">
        <v>4</v>
      </c>
      <c r="H174" s="15">
        <v>5</v>
      </c>
      <c r="I174" s="15">
        <v>6</v>
      </c>
      <c r="J174" s="15">
        <v>7</v>
      </c>
      <c r="K174" s="15">
        <v>8</v>
      </c>
      <c r="L174" s="15">
        <v>9</v>
      </c>
      <c r="M174" s="15">
        <v>10</v>
      </c>
      <c r="N174" s="15">
        <v>11</v>
      </c>
      <c r="O174" s="50"/>
      <c r="P174" s="5" t="s">
        <v>7</v>
      </c>
      <c r="Q174" s="29" t="s">
        <v>44</v>
      </c>
      <c r="R174" s="28" t="s">
        <v>10</v>
      </c>
      <c r="S174" s="28" t="s">
        <v>19</v>
      </c>
      <c r="T174" s="28" t="s">
        <v>1</v>
      </c>
    </row>
    <row r="175" spans="2:20" x14ac:dyDescent="0.75">
      <c r="B175" s="7">
        <v>2009</v>
      </c>
      <c r="C175" s="16">
        <f ca="1">+IF($B175+C$21&lt;LatestYear,D157/C157,"")</f>
        <v>2.0121546459625406</v>
      </c>
      <c r="D175" s="16">
        <f t="shared" ref="D175:M175" ca="1" si="34">+IF($B175+D$21&lt;LatestYear,E157/D157,"")</f>
        <v>1.1785217934811467</v>
      </c>
      <c r="E175" s="16">
        <f t="shared" ca="1" si="34"/>
        <v>1.0599280353027911</v>
      </c>
      <c r="F175" s="16">
        <f t="shared" ca="1" si="34"/>
        <v>1.026007555952211</v>
      </c>
      <c r="G175" s="16">
        <f t="shared" ca="1" si="34"/>
        <v>1.0317059175027701</v>
      </c>
      <c r="H175" s="16">
        <f t="shared" ca="1" si="34"/>
        <v>1.0093203411548477</v>
      </c>
      <c r="I175" s="16">
        <f t="shared" ca="1" si="34"/>
        <v>1.0150997079167501</v>
      </c>
      <c r="J175" s="16">
        <f t="shared" ca="1" si="34"/>
        <v>1.006265548208181</v>
      </c>
      <c r="K175" s="16">
        <f t="shared" ca="1" si="34"/>
        <v>1.004537849060783</v>
      </c>
      <c r="L175" s="16">
        <f t="shared" ca="1" si="34"/>
        <v>1.0035404412354876</v>
      </c>
      <c r="M175" s="16">
        <f t="shared" ca="1" si="34"/>
        <v>1.0066709610018831</v>
      </c>
      <c r="N175" s="16" t="str">
        <f t="shared" ref="N175:N186" si="35">+IF($B175+N$21&lt;LatestYear,P157/N157,"")</f>
        <v/>
      </c>
      <c r="O175" s="16"/>
      <c r="P175" s="7">
        <v>2009</v>
      </c>
      <c r="Q175" s="32">
        <f ca="1">OFFSET(N157,0,LatestYear-B157-COUNTA($B$157:$B$168)+1)</f>
        <v>88276.699042440989</v>
      </c>
      <c r="R175" s="35">
        <f ca="1">IFERROR(OFFSET(B$191,0,LatestYear-B157+1),"")</f>
        <v>1</v>
      </c>
      <c r="S175" s="30">
        <f ca="1">+Q175*R175</f>
        <v>88276.699042440989</v>
      </c>
      <c r="T175" s="31">
        <f ca="1">+S175-Q175</f>
        <v>0</v>
      </c>
    </row>
    <row r="176" spans="2:20" x14ac:dyDescent="0.75">
      <c r="B176" s="7">
        <v>2010</v>
      </c>
      <c r="C176" s="16">
        <f t="shared" ref="C176:M186" ca="1" si="36">+IF($B176+C$21&lt;LatestYear,D158/C158,"")</f>
        <v>2.0261055797148484</v>
      </c>
      <c r="D176" s="16">
        <f t="shared" ca="1" si="36"/>
        <v>1.1781392805693527</v>
      </c>
      <c r="E176" s="16">
        <f t="shared" ca="1" si="36"/>
        <v>1.0882573692937356</v>
      </c>
      <c r="F176" s="16">
        <f t="shared" ca="1" si="36"/>
        <v>1.0292392661266268</v>
      </c>
      <c r="G176" s="16">
        <f t="shared" ca="1" si="36"/>
        <v>1.0221339208461764</v>
      </c>
      <c r="H176" s="16">
        <f t="shared" ca="1" si="36"/>
        <v>1.0189937087399112</v>
      </c>
      <c r="I176" s="16">
        <f t="shared" ca="1" si="36"/>
        <v>1.0151873583156423</v>
      </c>
      <c r="J176" s="16">
        <f t="shared" ca="1" si="36"/>
        <v>1.0076745473030722</v>
      </c>
      <c r="K176" s="16">
        <f t="shared" ca="1" si="36"/>
        <v>1.0053032430060538</v>
      </c>
      <c r="L176" s="16">
        <f t="shared" ca="1" si="36"/>
        <v>1.0035916428057352</v>
      </c>
      <c r="M176" s="16" t="str">
        <f t="shared" si="36"/>
        <v/>
      </c>
      <c r="N176" s="16" t="str">
        <f t="shared" si="35"/>
        <v/>
      </c>
      <c r="O176" s="16"/>
      <c r="P176" s="7">
        <v>2010</v>
      </c>
      <c r="Q176" s="32">
        <f t="shared" ref="Q176:Q186" ca="1" si="37">OFFSET(N158,0,LatestYear-B158-COUNTA($B$157:$B$168)+1)</f>
        <v>94780.028736822729</v>
      </c>
      <c r="R176" s="35">
        <f t="shared" ref="R176:R186" ca="1" si="38">IFERROR(OFFSET(B$191,0,LatestYear-B158+1),"")</f>
        <v>1.0066709610018831</v>
      </c>
      <c r="S176" s="30">
        <f t="shared" ref="S176:S186" ca="1" si="39">+Q176*R176</f>
        <v>95412.302612283442</v>
      </c>
      <c r="T176" s="31">
        <f t="shared" ref="T176:T186" ca="1" si="40">+S176-Q176</f>
        <v>632.27387546071259</v>
      </c>
    </row>
    <row r="177" spans="2:20" x14ac:dyDescent="0.75">
      <c r="B177" s="7">
        <v>2011</v>
      </c>
      <c r="C177" s="16">
        <f t="shared" ca="1" si="36"/>
        <v>2.0368725737352897</v>
      </c>
      <c r="D177" s="16">
        <f t="shared" ca="1" si="36"/>
        <v>1.2001007466103601</v>
      </c>
      <c r="E177" s="16">
        <f t="shared" ca="1" si="36"/>
        <v>1.0541979905502468</v>
      </c>
      <c r="F177" s="16">
        <f t="shared" ca="1" si="36"/>
        <v>1.0373665847316198</v>
      </c>
      <c r="G177" s="16">
        <f t="shared" ca="1" si="36"/>
        <v>1.0190068099806731</v>
      </c>
      <c r="H177" s="16">
        <f t="shared" ca="1" si="36"/>
        <v>1.0077864356153845</v>
      </c>
      <c r="I177" s="16">
        <f t="shared" ca="1" si="36"/>
        <v>1.0094652691293633</v>
      </c>
      <c r="J177" s="16">
        <f t="shared" ca="1" si="36"/>
        <v>1.005196154323369</v>
      </c>
      <c r="K177" s="16">
        <f t="shared" ca="1" si="36"/>
        <v>1.0106716379771832</v>
      </c>
      <c r="L177" s="16" t="str">
        <f t="shared" si="36"/>
        <v/>
      </c>
      <c r="M177" s="16" t="str">
        <f t="shared" si="36"/>
        <v/>
      </c>
      <c r="N177" s="16" t="str">
        <f t="shared" si="35"/>
        <v/>
      </c>
      <c r="O177" s="16"/>
      <c r="P177" s="7">
        <v>2011</v>
      </c>
      <c r="Q177" s="32">
        <f t="shared" ca="1" si="37"/>
        <v>105165.24922538007</v>
      </c>
      <c r="R177" s="35">
        <f t="shared" ca="1" si="38"/>
        <v>1.0102617924184907</v>
      </c>
      <c r="S177" s="30">
        <f t="shared" ca="1" si="39"/>
        <v>106244.43318256976</v>
      </c>
      <c r="T177" s="31">
        <f t="shared" ca="1" si="40"/>
        <v>1079.1839571896853</v>
      </c>
    </row>
    <row r="178" spans="2:20" x14ac:dyDescent="0.75">
      <c r="B178" s="7">
        <v>2012</v>
      </c>
      <c r="C178" s="16">
        <f t="shared" ca="1" si="36"/>
        <v>2.0054297127905065</v>
      </c>
      <c r="D178" s="16">
        <f t="shared" ca="1" si="36"/>
        <v>1.1644952605350167</v>
      </c>
      <c r="E178" s="16">
        <f t="shared" ca="1" si="36"/>
        <v>1.0661624170737305</v>
      </c>
      <c r="F178" s="16">
        <f t="shared" ca="1" si="36"/>
        <v>1.0428834354665986</v>
      </c>
      <c r="G178" s="16">
        <f t="shared" ca="1" si="36"/>
        <v>1.0284277535508239</v>
      </c>
      <c r="H178" s="16">
        <f t="shared" ca="1" si="36"/>
        <v>1.0102804717214722</v>
      </c>
      <c r="I178" s="16">
        <f t="shared" ca="1" si="36"/>
        <v>1.0115694629027863</v>
      </c>
      <c r="J178" s="16">
        <f t="shared" ca="1" si="36"/>
        <v>1.0085819128889024</v>
      </c>
      <c r="K178" s="16" t="str">
        <f t="shared" si="36"/>
        <v/>
      </c>
      <c r="L178" s="16" t="str">
        <f t="shared" si="36"/>
        <v/>
      </c>
      <c r="M178" s="16" t="str">
        <f t="shared" si="36"/>
        <v/>
      </c>
      <c r="N178" s="16" t="str">
        <f t="shared" si="35"/>
        <v/>
      </c>
      <c r="O178" s="16"/>
      <c r="P178" s="7">
        <v>2012</v>
      </c>
      <c r="Q178" s="32">
        <f t="shared" ca="1" si="37"/>
        <v>108868.72604422344</v>
      </c>
      <c r="R178" s="35">
        <f t="shared" ca="1" si="38"/>
        <v>1.0173636762805842</v>
      </c>
      <c r="S178" s="30">
        <f t="shared" ca="1" si="39"/>
        <v>110759.08736033495</v>
      </c>
      <c r="T178" s="31">
        <f t="shared" ca="1" si="40"/>
        <v>1890.3613161115063</v>
      </c>
    </row>
    <row r="179" spans="2:20" x14ac:dyDescent="0.75">
      <c r="B179" s="7">
        <v>2013</v>
      </c>
      <c r="C179" s="16">
        <f t="shared" ca="1" si="36"/>
        <v>2.0195685964243113</v>
      </c>
      <c r="D179" s="16">
        <f t="shared" ca="1" si="36"/>
        <v>1.1858164959265207</v>
      </c>
      <c r="E179" s="16">
        <f t="shared" ca="1" si="36"/>
        <v>1.0645823197053845</v>
      </c>
      <c r="F179" s="16">
        <f t="shared" ca="1" si="36"/>
        <v>1.0305747209348448</v>
      </c>
      <c r="G179" s="16">
        <f t="shared" ca="1" si="36"/>
        <v>1.0248450115447303</v>
      </c>
      <c r="H179" s="16">
        <f t="shared" ca="1" si="36"/>
        <v>1.0083762711826962</v>
      </c>
      <c r="I179" s="16">
        <f t="shared" ca="1" si="36"/>
        <v>1.0082101604487304</v>
      </c>
      <c r="J179" s="16" t="str">
        <f t="shared" si="36"/>
        <v/>
      </c>
      <c r="K179" s="16" t="str">
        <f t="shared" si="36"/>
        <v/>
      </c>
      <c r="L179" s="16" t="str">
        <f t="shared" si="36"/>
        <v/>
      </c>
      <c r="M179" s="16" t="str">
        <f t="shared" si="36"/>
        <v/>
      </c>
      <c r="N179" s="16" t="str">
        <f t="shared" si="35"/>
        <v/>
      </c>
      <c r="O179" s="16"/>
      <c r="P179" s="7">
        <v>2013</v>
      </c>
      <c r="Q179" s="32">
        <f t="shared" ca="1" si="37"/>
        <v>116669.86518424904</v>
      </c>
      <c r="R179" s="35">
        <f t="shared" ca="1" si="38"/>
        <v>1.0244421030104591</v>
      </c>
      <c r="S179" s="30">
        <f t="shared" ca="1" si="39"/>
        <v>119521.52204729883</v>
      </c>
      <c r="T179" s="31">
        <f t="shared" ca="1" si="40"/>
        <v>2851.6568630497932</v>
      </c>
    </row>
    <row r="180" spans="2:20" x14ac:dyDescent="0.75">
      <c r="B180" s="7">
        <v>2014</v>
      </c>
      <c r="C180" s="16">
        <f t="shared" ca="1" si="36"/>
        <v>2.1049543859482434</v>
      </c>
      <c r="D180" s="16">
        <f t="shared" ca="1" si="36"/>
        <v>1.1889911780258355</v>
      </c>
      <c r="E180" s="16">
        <f t="shared" ca="1" si="36"/>
        <v>1.0782506585471869</v>
      </c>
      <c r="F180" s="16">
        <f t="shared" ca="1" si="36"/>
        <v>1.0300270627766432</v>
      </c>
      <c r="G180" s="16">
        <f t="shared" ca="1" si="36"/>
        <v>1.0150489110113952</v>
      </c>
      <c r="H180" s="16">
        <f t="shared" ca="1" si="36"/>
        <v>1.0122915713147906</v>
      </c>
      <c r="I180" s="16" t="str">
        <f t="shared" si="36"/>
        <v/>
      </c>
      <c r="J180" s="16" t="str">
        <f t="shared" si="36"/>
        <v/>
      </c>
      <c r="K180" s="16" t="str">
        <f t="shared" si="36"/>
        <v/>
      </c>
      <c r="L180" s="16" t="str">
        <f t="shared" si="36"/>
        <v/>
      </c>
      <c r="M180" s="16" t="str">
        <f t="shared" si="36"/>
        <v/>
      </c>
      <c r="N180" s="16" t="str">
        <f t="shared" si="35"/>
        <v/>
      </c>
      <c r="O180" s="16"/>
      <c r="P180" s="7">
        <v>2014</v>
      </c>
      <c r="Q180" s="32">
        <f t="shared" ca="1" si="37"/>
        <v>131591.18930889791</v>
      </c>
      <c r="R180" s="35">
        <f t="shared" ca="1" si="38"/>
        <v>1.036352228975824</v>
      </c>
      <c r="S180" s="30">
        <f t="shared" ca="1" si="39"/>
        <v>136374.82235385597</v>
      </c>
      <c r="T180" s="31">
        <f t="shared" ca="1" si="40"/>
        <v>4783.6330449580564</v>
      </c>
    </row>
    <row r="181" spans="2:20" x14ac:dyDescent="0.75">
      <c r="B181" s="7">
        <v>2015</v>
      </c>
      <c r="C181" s="16">
        <f t="shared" ca="1" si="36"/>
        <v>1.9452458681794502</v>
      </c>
      <c r="D181" s="16">
        <f t="shared" ca="1" si="36"/>
        <v>1.1641382831326661</v>
      </c>
      <c r="E181" s="16">
        <f t="shared" ca="1" si="36"/>
        <v>1.0606375104687236</v>
      </c>
      <c r="F181" s="16">
        <f t="shared" ca="1" si="36"/>
        <v>1.0293890883298613</v>
      </c>
      <c r="G181" s="16">
        <f t="shared" ca="1" si="36"/>
        <v>1.0171847867649915</v>
      </c>
      <c r="H181" s="16" t="str">
        <f t="shared" si="36"/>
        <v/>
      </c>
      <c r="I181" s="16" t="str">
        <f t="shared" si="36"/>
        <v/>
      </c>
      <c r="J181" s="16" t="str">
        <f t="shared" si="36"/>
        <v/>
      </c>
      <c r="K181" s="16" t="str">
        <f t="shared" si="36"/>
        <v/>
      </c>
      <c r="L181" s="16" t="str">
        <f t="shared" si="36"/>
        <v/>
      </c>
      <c r="M181" s="16" t="str">
        <f t="shared" si="36"/>
        <v/>
      </c>
      <c r="N181" s="16" t="str">
        <f t="shared" si="35"/>
        <v/>
      </c>
      <c r="O181" s="16"/>
      <c r="P181" s="7">
        <v>2015</v>
      </c>
      <c r="Q181" s="32">
        <f t="shared" ca="1" si="37"/>
        <v>140932.84641011251</v>
      </c>
      <c r="R181" s="35">
        <f t="shared" ca="1" si="38"/>
        <v>1.0478223753005846</v>
      </c>
      <c r="S181" s="30">
        <f t="shared" ca="1" si="39"/>
        <v>147672.58988331657</v>
      </c>
      <c r="T181" s="31">
        <f t="shared" ca="1" si="40"/>
        <v>6739.7434732040565</v>
      </c>
    </row>
    <row r="182" spans="2:20" x14ac:dyDescent="0.75">
      <c r="B182" s="7">
        <v>2016</v>
      </c>
      <c r="C182" s="16">
        <f t="shared" ca="1" si="36"/>
        <v>2.0927182204008927</v>
      </c>
      <c r="D182" s="16">
        <f t="shared" ca="1" si="36"/>
        <v>1.1947023081865729</v>
      </c>
      <c r="E182" s="16">
        <f t="shared" ca="1" si="36"/>
        <v>1.0627915744045664</v>
      </c>
      <c r="F182" s="16">
        <f t="shared" ca="1" si="36"/>
        <v>1.0363654969333147</v>
      </c>
      <c r="G182" s="16" t="str">
        <f t="shared" si="36"/>
        <v/>
      </c>
      <c r="H182" s="16" t="str">
        <f t="shared" si="36"/>
        <v/>
      </c>
      <c r="I182" s="16" t="str">
        <f t="shared" si="36"/>
        <v/>
      </c>
      <c r="J182" s="16" t="str">
        <f t="shared" si="36"/>
        <v/>
      </c>
      <c r="K182" s="16" t="str">
        <f t="shared" si="36"/>
        <v/>
      </c>
      <c r="L182" s="16" t="str">
        <f t="shared" si="36"/>
        <v/>
      </c>
      <c r="M182" s="16" t="str">
        <f t="shared" si="36"/>
        <v/>
      </c>
      <c r="N182" s="16" t="str">
        <f t="shared" si="35"/>
        <v/>
      </c>
      <c r="O182" s="16"/>
      <c r="P182" s="7">
        <v>2016</v>
      </c>
      <c r="Q182" s="32">
        <f t="shared" ca="1" si="37"/>
        <v>133713.06028646955</v>
      </c>
      <c r="R182" s="35">
        <f t="shared" ca="1" si="38"/>
        <v>1.0707740816206139</v>
      </c>
      <c r="S182" s="30">
        <f t="shared" ca="1" si="39"/>
        <v>143176.47932892622</v>
      </c>
      <c r="T182" s="31">
        <f t="shared" ca="1" si="40"/>
        <v>9463.4190424566623</v>
      </c>
    </row>
    <row r="183" spans="2:20" x14ac:dyDescent="0.75">
      <c r="B183" s="7">
        <v>2017</v>
      </c>
      <c r="C183" s="16">
        <f t="shared" ca="1" si="36"/>
        <v>2.0721962299681711</v>
      </c>
      <c r="D183" s="16">
        <f t="shared" ca="1" si="36"/>
        <v>1.1848722669789684</v>
      </c>
      <c r="E183" s="16">
        <f t="shared" ca="1" si="36"/>
        <v>1.0729102482914961</v>
      </c>
      <c r="F183" s="16" t="str">
        <f t="shared" si="36"/>
        <v/>
      </c>
      <c r="G183" s="16" t="str">
        <f t="shared" si="36"/>
        <v/>
      </c>
      <c r="H183" s="16" t="str">
        <f t="shared" si="36"/>
        <v/>
      </c>
      <c r="I183" s="16" t="str">
        <f t="shared" si="36"/>
        <v/>
      </c>
      <c r="J183" s="16" t="str">
        <f t="shared" si="36"/>
        <v/>
      </c>
      <c r="K183" s="16" t="str">
        <f t="shared" si="36"/>
        <v/>
      </c>
      <c r="L183" s="16" t="str">
        <f t="shared" si="36"/>
        <v/>
      </c>
      <c r="M183" s="16" t="str">
        <f t="shared" si="36"/>
        <v/>
      </c>
      <c r="N183" s="16" t="str">
        <f t="shared" si="35"/>
        <v/>
      </c>
      <c r="O183" s="16"/>
      <c r="P183" s="7">
        <v>2017</v>
      </c>
      <c r="Q183" s="32">
        <f t="shared" ca="1" si="37"/>
        <v>127131.6296187273</v>
      </c>
      <c r="R183" s="35">
        <f t="shared" ca="1" si="38"/>
        <v>1.105896123375832</v>
      </c>
      <c r="S183" s="30">
        <f t="shared" ca="1" si="39"/>
        <v>140594.37635380263</v>
      </c>
      <c r="T183" s="31">
        <f t="shared" ca="1" si="40"/>
        <v>13462.746735075329</v>
      </c>
    </row>
    <row r="184" spans="2:20" x14ac:dyDescent="0.75">
      <c r="B184" s="7">
        <v>2018</v>
      </c>
      <c r="C184" s="16">
        <f t="shared" ca="1" si="36"/>
        <v>2.1167626496497198</v>
      </c>
      <c r="D184" s="16">
        <f t="shared" ca="1" si="36"/>
        <v>1.1854140559164357</v>
      </c>
      <c r="E184" s="16" t="str">
        <f t="shared" si="36"/>
        <v/>
      </c>
      <c r="F184" s="16" t="str">
        <f t="shared" si="36"/>
        <v/>
      </c>
      <c r="G184" s="16" t="str">
        <f t="shared" si="36"/>
        <v/>
      </c>
      <c r="H184" s="16" t="str">
        <f t="shared" si="36"/>
        <v/>
      </c>
      <c r="I184" s="16" t="str">
        <f t="shared" si="36"/>
        <v/>
      </c>
      <c r="J184" s="16" t="str">
        <f t="shared" si="36"/>
        <v/>
      </c>
      <c r="K184" s="16" t="str">
        <f t="shared" si="36"/>
        <v/>
      </c>
      <c r="L184" s="16" t="str">
        <f t="shared" si="36"/>
        <v/>
      </c>
      <c r="M184" s="16" t="str">
        <f t="shared" si="36"/>
        <v/>
      </c>
      <c r="N184" s="16" t="str">
        <f t="shared" si="35"/>
        <v/>
      </c>
      <c r="O184" s="16"/>
      <c r="P184" s="7">
        <v>2018</v>
      </c>
      <c r="Q184" s="32">
        <f t="shared" ca="1" si="37"/>
        <v>120556.09858431868</v>
      </c>
      <c r="R184" s="35">
        <f t="shared" ca="1" si="38"/>
        <v>1.1803843826127336</v>
      </c>
      <c r="S184" s="30">
        <f t="shared" ca="1" si="39"/>
        <v>142302.53599765085</v>
      </c>
      <c r="T184" s="31">
        <f t="shared" ca="1" si="40"/>
        <v>21746.437413332169</v>
      </c>
    </row>
    <row r="185" spans="2:20" x14ac:dyDescent="0.75">
      <c r="B185" s="7">
        <v>2019</v>
      </c>
      <c r="C185" s="16">
        <f t="shared" ca="1" si="36"/>
        <v>1.9958169781308199</v>
      </c>
      <c r="D185" s="16" t="str">
        <f t="shared" si="36"/>
        <v/>
      </c>
      <c r="E185" s="16" t="str">
        <f t="shared" si="36"/>
        <v/>
      </c>
      <c r="F185" s="16" t="str">
        <f t="shared" si="36"/>
        <v/>
      </c>
      <c r="G185" s="16" t="str">
        <f t="shared" si="36"/>
        <v/>
      </c>
      <c r="H185" s="16" t="str">
        <f t="shared" si="36"/>
        <v/>
      </c>
      <c r="I185" s="16" t="str">
        <f t="shared" si="36"/>
        <v/>
      </c>
      <c r="J185" s="16" t="str">
        <f t="shared" si="36"/>
        <v/>
      </c>
      <c r="K185" s="16" t="str">
        <f t="shared" si="36"/>
        <v/>
      </c>
      <c r="L185" s="16" t="str">
        <f t="shared" si="36"/>
        <v/>
      </c>
      <c r="M185" s="16" t="str">
        <f t="shared" si="36"/>
        <v/>
      </c>
      <c r="N185" s="16" t="str">
        <f t="shared" si="35"/>
        <v/>
      </c>
      <c r="O185" s="16"/>
      <c r="P185" s="7">
        <v>2019</v>
      </c>
      <c r="Q185" s="32">
        <f t="shared" ca="1" si="37"/>
        <v>117706.344389329</v>
      </c>
      <c r="R185" s="35">
        <f t="shared" ca="1" si="38"/>
        <v>1.3958751336330166</v>
      </c>
      <c r="S185" s="30">
        <f t="shared" ca="1" si="39"/>
        <v>164303.35920390848</v>
      </c>
      <c r="T185" s="31">
        <f t="shared" ca="1" si="40"/>
        <v>46597.014814579481</v>
      </c>
    </row>
    <row r="186" spans="2:20" x14ac:dyDescent="0.75">
      <c r="B186" s="7">
        <v>2020</v>
      </c>
      <c r="C186" s="16" t="str">
        <f t="shared" si="36"/>
        <v/>
      </c>
      <c r="D186" s="16" t="str">
        <f t="shared" si="36"/>
        <v/>
      </c>
      <c r="E186" s="16" t="str">
        <f t="shared" si="36"/>
        <v/>
      </c>
      <c r="F186" s="16" t="str">
        <f t="shared" si="36"/>
        <v/>
      </c>
      <c r="G186" s="16" t="str">
        <f t="shared" si="36"/>
        <v/>
      </c>
      <c r="H186" s="16" t="str">
        <f t="shared" si="36"/>
        <v/>
      </c>
      <c r="I186" s="16" t="str">
        <f t="shared" si="36"/>
        <v/>
      </c>
      <c r="J186" s="16" t="str">
        <f t="shared" si="36"/>
        <v/>
      </c>
      <c r="K186" s="16" t="str">
        <f t="shared" si="36"/>
        <v/>
      </c>
      <c r="L186" s="16" t="str">
        <f t="shared" si="36"/>
        <v/>
      </c>
      <c r="M186" s="16" t="str">
        <f t="shared" si="36"/>
        <v/>
      </c>
      <c r="N186" s="16" t="str">
        <f t="shared" si="35"/>
        <v/>
      </c>
      <c r="O186" s="16"/>
      <c r="P186" s="7">
        <v>2020</v>
      </c>
      <c r="Q186" s="32">
        <f t="shared" ca="1" si="37"/>
        <v>61018.633414376112</v>
      </c>
      <c r="R186" s="35">
        <f t="shared" ca="1" si="38"/>
        <v>2.8452571187100948</v>
      </c>
      <c r="S186" s="30">
        <f t="shared" ca="1" si="39"/>
        <v>173613.70109621529</v>
      </c>
      <c r="T186" s="31">
        <f t="shared" ca="1" si="40"/>
        <v>112595.06768183917</v>
      </c>
    </row>
    <row r="187" spans="2:20" x14ac:dyDescent="0.75">
      <c r="Q187" s="33">
        <f ca="1">+SUM(Q175:Q186)</f>
        <v>1346410.370245347</v>
      </c>
      <c r="T187" s="30">
        <f ca="1">+SUM(T175:T186)</f>
        <v>221841.5382172566</v>
      </c>
    </row>
    <row r="190" spans="2:20" x14ac:dyDescent="0.75">
      <c r="B190" s="19" t="s">
        <v>10</v>
      </c>
      <c r="C190" s="18">
        <f t="array" aca="1" ref="C190" ca="1">MMULT(TRANSPOSE(OFFSET(C$174,1,0,COUNT(C$175:C$186))),OFFSET(C$156,1,0,COUNT(C$175:C$186)))/SUM(OFFSET(C$156,1,0,COUNT(C$175:C$186)))</f>
        <v>2.038332118794036</v>
      </c>
      <c r="D190" s="18">
        <f t="array" aca="1" ref="D190" ca="1">MMULT(TRANSPOSE(OFFSET(D$174,1,0,COUNT(D$175:D$186))),OFFSET(D$156,1,0,COUNT(D$175:D$186)))/SUM(OFFSET(D$156,1,0,COUNT(D$175:D$186)))</f>
        <v>1.1825598120362308</v>
      </c>
      <c r="E190" s="18">
        <f t="array" aca="1" ref="E190" ca="1">MMULT(TRANSPOSE(OFFSET(E$174,1,0,COUNT(E$175:E$186))),OFFSET(E$156,1,0,COUNT(E$175:E$186)))/SUM(OFFSET(E$156,1,0,COUNT(E$175:E$186)))</f>
        <v>1.0673555659183616</v>
      </c>
      <c r="F190" s="18">
        <f t="array" aca="1" ref="F190" ca="1">MMULT(TRANSPOSE(OFFSET(F$174,1,0,COUNT(F$175:F$186))),OFFSET(F$156,1,0,COUNT(F$175:F$186)))/SUM(OFFSET(F$156,1,0,COUNT(F$175:F$186)))</f>
        <v>1.0328006087914092</v>
      </c>
      <c r="G190" s="18">
        <f t="array" aca="1" ref="G190" ca="1">MMULT(TRANSPOSE(OFFSET(G$174,1,0,COUNT(G$175:G$186))),OFFSET(G$156,1,0,COUNT(G$175:G$186)))/SUM(OFFSET(G$156,1,0,COUNT(G$175:G$186)))</f>
        <v>1.0219041956547694</v>
      </c>
      <c r="H190" s="18">
        <f t="array" aca="1" ref="H190" ca="1">MMULT(TRANSPOSE(OFFSET(H$174,1,0,COUNT(H$175:H$186))),OFFSET(H$156,1,0,COUNT(H$175:H$186)))/SUM(OFFSET(H$156,1,0,COUNT(H$175:H$186)))</f>
        <v>1.011067806874981</v>
      </c>
      <c r="I190" s="18">
        <f t="array" aca="1" ref="I190" ca="1">MMULT(TRANSPOSE(OFFSET(I$174,1,0,COUNT(I$175:I$186))),OFFSET(I$156,1,0,COUNT(I$175:I$186)))/SUM(OFFSET(I$156,1,0,COUNT(I$175:I$186)))</f>
        <v>1.0116259629805975</v>
      </c>
      <c r="J190" s="18">
        <f t="array" aca="1" ref="J190" ca="1">MMULT(TRANSPOSE(OFFSET(J$174,1,0,COUNT(J$175:J$186))),OFFSET(J$156,1,0,COUNT(J$175:J$186)))/SUM(OFFSET(J$156,1,0,COUNT(J$175:J$186)))</f>
        <v>1.0069576169219578</v>
      </c>
      <c r="K190" s="18">
        <f t="array" aca="1" ref="K190" ca="1">MMULT(TRANSPOSE(OFFSET(K$174,1,0,COUNT(K$175:K$186))),OFFSET(K$156,1,0,COUNT(K$175:K$186)))/SUM(OFFSET(K$156,1,0,COUNT(K$175:K$186)))</f>
        <v>1.0070297460671971</v>
      </c>
      <c r="L190" s="18">
        <f t="array" aca="1" ref="L190" ca="1">MMULT(TRANSPOSE(OFFSET(L$174,1,0,COUNT(L$175:L$186))),OFFSET(L$156,1,0,COUNT(L$175:L$186)))/SUM(OFFSET(L$156,1,0,COUNT(L$175:L$186)))</f>
        <v>1.0035670358594966</v>
      </c>
      <c r="M190" s="18">
        <f t="array" aca="1" ref="M190" ca="1">MMULT(TRANSPOSE(OFFSET(M$174,1,0,COUNT(M$175:M$186))),OFFSET(M$156,1,0,COUNT(M$175:M$186)))/SUM(OFFSET(M$156,1,0,COUNT(M$175:M$186)))</f>
        <v>1.0066709610018831</v>
      </c>
      <c r="N190" s="18">
        <v>1</v>
      </c>
      <c r="O190" s="18"/>
    </row>
    <row r="191" spans="2:20" x14ac:dyDescent="0.75">
      <c r="B191" s="19" t="s">
        <v>11</v>
      </c>
      <c r="C191" s="18">
        <f ca="1">PRODUCT(C190:$N$190)</f>
        <v>2.8452571187100948</v>
      </c>
      <c r="D191" s="18">
        <f ca="1">PRODUCT(D190:$N$190)</f>
        <v>1.3958751336330166</v>
      </c>
      <c r="E191" s="18">
        <f ca="1">PRODUCT(E190:$N$190)</f>
        <v>1.1803843826127336</v>
      </c>
      <c r="F191" s="18">
        <f ca="1">PRODUCT(F190:$N$190)</f>
        <v>1.105896123375832</v>
      </c>
      <c r="G191" s="18">
        <f ca="1">PRODUCT(G190:$N$190)</f>
        <v>1.0707740816206139</v>
      </c>
      <c r="H191" s="18">
        <f ca="1">PRODUCT(H190:$N$190)</f>
        <v>1.0478223753005846</v>
      </c>
      <c r="I191" s="18">
        <f ca="1">PRODUCT(I190:$N$190)</f>
        <v>1.036352228975824</v>
      </c>
      <c r="J191" s="18">
        <f ca="1">PRODUCT(J190:$N$190)</f>
        <v>1.0244421030104591</v>
      </c>
      <c r="K191" s="18">
        <f ca="1">PRODUCT(K190:$N$190)</f>
        <v>1.0173636762805842</v>
      </c>
      <c r="L191" s="18">
        <f ca="1">PRODUCT(L190:$N$190)</f>
        <v>1.0102617924184907</v>
      </c>
      <c r="M191" s="18">
        <f ca="1">PRODUCT(M190:$N$190)</f>
        <v>1.0066709610018831</v>
      </c>
      <c r="N191" s="18">
        <f>PRODUCT(N190:$N$190)</f>
        <v>1</v>
      </c>
      <c r="O191" s="18"/>
    </row>
  </sheetData>
  <mergeCells count="2">
    <mergeCell ref="AD20:AF20"/>
    <mergeCell ref="Q170:T170"/>
  </mergeCells>
  <conditionalFormatting sqref="C22:O33 C175:O186">
    <cfRule type="expression" dxfId="10" priority="15">
      <formula>C22&lt;&gt;""</formula>
    </cfRule>
  </conditionalFormatting>
  <conditionalFormatting sqref="C5:O16">
    <cfRule type="expression" dxfId="9" priority="17">
      <formula>C5&lt;&gt;""</formula>
    </cfRule>
  </conditionalFormatting>
  <conditionalFormatting sqref="C39:O50">
    <cfRule type="expression" dxfId="8" priority="14">
      <formula>C39&lt;&gt;""</formula>
    </cfRule>
  </conditionalFormatting>
  <conditionalFormatting sqref="C62:O73">
    <cfRule type="expression" dxfId="7" priority="10">
      <formula>$B62+C$61=LatestYear</formula>
    </cfRule>
    <cfRule type="expression" dxfId="6" priority="12">
      <formula>C62&lt;&gt;""</formula>
    </cfRule>
  </conditionalFormatting>
  <conditionalFormatting sqref="C81:O92">
    <cfRule type="expression" dxfId="5" priority="8">
      <formula>$B81+C$61=LatestYear</formula>
    </cfRule>
    <cfRule type="expression" dxfId="4" priority="9">
      <formula>C81&lt;&gt;""</formula>
    </cfRule>
  </conditionalFormatting>
  <conditionalFormatting sqref="C101:O112">
    <cfRule type="expression" dxfId="3" priority="6">
      <formula>C101&lt;&gt;""</formula>
    </cfRule>
  </conditionalFormatting>
  <conditionalFormatting sqref="C120:O131">
    <cfRule type="expression" dxfId="2" priority="5">
      <formula>C120&lt;&gt;""</formula>
    </cfRule>
  </conditionalFormatting>
  <conditionalFormatting sqref="C139:O153">
    <cfRule type="expression" dxfId="1" priority="4">
      <formula>C139&lt;&gt;""</formula>
    </cfRule>
  </conditionalFormatting>
  <conditionalFormatting sqref="C157:O169">
    <cfRule type="expression" dxfId="0" priority="1">
      <formula>C157&lt;&gt;""</formula>
    </cfRule>
  </conditionalFormatting>
  <pageMargins left="0.7" right="0.7" top="0.75" bottom="0.75" header="0.3" footer="0.3"/>
  <pageSetup orientation="portrait" r:id="rId1"/>
  <ignoredErrors>
    <ignoredError sqref="D55:M5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tabColor theme="7" tint="0.79998168889431442"/>
  </sheetPr>
  <dimension ref="A1:M2002"/>
  <sheetViews>
    <sheetView workbookViewId="0">
      <selection activeCell="I1" sqref="I1"/>
    </sheetView>
  </sheetViews>
  <sheetFormatPr defaultRowHeight="14.75" x14ac:dyDescent="0.75"/>
  <cols>
    <col min="1" max="1" width="10.453125" style="28" bestFit="1" customWidth="1"/>
    <col min="2" max="2" width="12.54296875" style="27" bestFit="1" customWidth="1"/>
    <col min="3" max="7" width="10.54296875" style="27" bestFit="1" customWidth="1"/>
    <col min="8" max="12" width="11.54296875" style="27" bestFit="1" customWidth="1"/>
    <col min="13" max="13" width="12.54296875" style="27" bestFit="1" customWidth="1"/>
    <col min="14" max="16384" width="8.7265625" style="3"/>
  </cols>
  <sheetData>
    <row r="1" spans="1:13" x14ac:dyDescent="0.75">
      <c r="B1" s="34"/>
      <c r="C1" s="3"/>
    </row>
    <row r="2" spans="1:13" x14ac:dyDescent="0.75">
      <c r="A2" s="28" t="s">
        <v>29</v>
      </c>
      <c r="B2" s="26">
        <v>2010</v>
      </c>
      <c r="C2" s="26">
        <v>2011</v>
      </c>
      <c r="D2" s="26">
        <v>2012</v>
      </c>
      <c r="E2" s="26">
        <v>2013</v>
      </c>
      <c r="F2" s="26">
        <v>2014</v>
      </c>
      <c r="G2" s="26">
        <v>2015</v>
      </c>
      <c r="H2" s="26">
        <v>2016</v>
      </c>
      <c r="I2" s="26">
        <v>2017</v>
      </c>
      <c r="J2" s="26">
        <v>2018</v>
      </c>
      <c r="K2" s="26">
        <v>2019</v>
      </c>
      <c r="L2" s="26">
        <v>2020</v>
      </c>
      <c r="M2" s="34" t="s">
        <v>28</v>
      </c>
    </row>
    <row r="3" spans="1:13" x14ac:dyDescent="0.75">
      <c r="A3" s="40">
        <v>1</v>
      </c>
      <c r="B3" s="27">
        <v>733.40162825527659</v>
      </c>
      <c r="C3" s="27">
        <v>1024.5628545999352</v>
      </c>
      <c r="D3" s="27">
        <v>1684.3902239579184</v>
      </c>
      <c r="E3" s="27">
        <v>2568.8528792710276</v>
      </c>
      <c r="F3" s="27">
        <v>4296.3370704874105</v>
      </c>
      <c r="G3" s="27">
        <v>6799.7806945901539</v>
      </c>
      <c r="H3" s="27">
        <v>9571.3814075567352</v>
      </c>
      <c r="I3" s="27">
        <v>13559.976165383036</v>
      </c>
      <c r="J3" s="27">
        <v>21710.384607419954</v>
      </c>
      <c r="K3" s="27">
        <v>45019.780586416862</v>
      </c>
      <c r="L3" s="27">
        <v>111603.27158318555</v>
      </c>
      <c r="M3" s="27">
        <v>218572.11970112385</v>
      </c>
    </row>
    <row r="4" spans="1:13" x14ac:dyDescent="0.75">
      <c r="A4" s="40">
        <v>2</v>
      </c>
      <c r="B4" s="27">
        <v>457.71274303740938</v>
      </c>
      <c r="C4" s="27">
        <v>930.2798947491392</v>
      </c>
      <c r="D4" s="27">
        <v>1622.9260656588885</v>
      </c>
      <c r="E4" s="27">
        <v>2741.6987644344481</v>
      </c>
      <c r="F4" s="27">
        <v>4887.34681785063</v>
      </c>
      <c r="G4" s="27">
        <v>7415.5354568151524</v>
      </c>
      <c r="H4" s="27">
        <v>9778.5576263660623</v>
      </c>
      <c r="I4" s="27">
        <v>14467.599057940693</v>
      </c>
      <c r="J4" s="27">
        <v>23140.006391025061</v>
      </c>
      <c r="K4" s="27">
        <v>47782.169092074124</v>
      </c>
      <c r="L4" s="27">
        <v>108261.80592045185</v>
      </c>
      <c r="M4" s="27">
        <v>221485.63783040346</v>
      </c>
    </row>
    <row r="5" spans="1:13" x14ac:dyDescent="0.75">
      <c r="A5" s="40">
        <v>3</v>
      </c>
      <c r="B5" s="27">
        <v>846.96400495251874</v>
      </c>
      <c r="C5" s="27">
        <v>1375.6540969741473</v>
      </c>
      <c r="D5" s="27">
        <v>2161.3679848114843</v>
      </c>
      <c r="E5" s="27">
        <v>3111.7030779254128</v>
      </c>
      <c r="F5" s="27">
        <v>4947.9505670249782</v>
      </c>
      <c r="G5" s="27">
        <v>7817.1747854753048</v>
      </c>
      <c r="H5" s="27">
        <v>10749.131554215608</v>
      </c>
      <c r="I5" s="27">
        <v>15083.135642768379</v>
      </c>
      <c r="J5" s="27">
        <v>24362.533601668474</v>
      </c>
      <c r="K5" s="27">
        <v>48588.501889537205</v>
      </c>
      <c r="L5" s="27">
        <v>112789.6747466004</v>
      </c>
      <c r="M5" s="27">
        <v>231833.7919519539</v>
      </c>
    </row>
    <row r="6" spans="1:13" x14ac:dyDescent="0.75">
      <c r="A6" s="40">
        <v>4</v>
      </c>
      <c r="B6" s="27">
        <v>925.94517100276425</v>
      </c>
      <c r="C6" s="27">
        <v>1519.6409342353727</v>
      </c>
      <c r="D6" s="27">
        <v>2389.5676440919342</v>
      </c>
      <c r="E6" s="27">
        <v>3596.5784248025448</v>
      </c>
      <c r="F6" s="27">
        <v>5445.7321094720392</v>
      </c>
      <c r="G6" s="27">
        <v>7927.0344116080087</v>
      </c>
      <c r="H6" s="27">
        <v>10372.382354957037</v>
      </c>
      <c r="I6" s="27">
        <v>14740.083730450366</v>
      </c>
      <c r="J6" s="27">
        <v>22194.53989842342</v>
      </c>
      <c r="K6" s="27">
        <v>44567.223671719228</v>
      </c>
      <c r="L6" s="27">
        <v>111760.32588890282</v>
      </c>
      <c r="M6" s="27">
        <v>225439.05423966554</v>
      </c>
    </row>
    <row r="7" spans="1:13" x14ac:dyDescent="0.75">
      <c r="A7" s="40">
        <v>5</v>
      </c>
      <c r="B7" s="27">
        <v>1208.3953342488094</v>
      </c>
      <c r="C7" s="27">
        <v>1432.2718321611028</v>
      </c>
      <c r="D7" s="27">
        <v>2433.7706310003414</v>
      </c>
      <c r="E7" s="27">
        <v>3474.1750065324595</v>
      </c>
      <c r="F7" s="27">
        <v>5395.6348593902658</v>
      </c>
      <c r="G7" s="27">
        <v>7775.7807839153393</v>
      </c>
      <c r="H7" s="27">
        <v>10747.4807055438</v>
      </c>
      <c r="I7" s="27">
        <v>13848.511373292102</v>
      </c>
      <c r="J7" s="27">
        <v>24294.137285700228</v>
      </c>
      <c r="K7" s="27">
        <v>44862.226999642822</v>
      </c>
      <c r="L7" s="27">
        <v>105191.65852602619</v>
      </c>
      <c r="M7" s="27">
        <v>220664.04333745345</v>
      </c>
    </row>
    <row r="8" spans="1:13" x14ac:dyDescent="0.75">
      <c r="A8" s="40">
        <v>6</v>
      </c>
      <c r="B8" s="27">
        <v>870.47219962374947</v>
      </c>
      <c r="C8" s="27">
        <v>1501.590437047169</v>
      </c>
      <c r="D8" s="27">
        <v>2527.7841256648826</v>
      </c>
      <c r="E8" s="27">
        <v>3617.1645790786861</v>
      </c>
      <c r="F8" s="27">
        <v>6214.7325487580965</v>
      </c>
      <c r="G8" s="27">
        <v>8664.7973820131156</v>
      </c>
      <c r="H8" s="27">
        <v>10469.787592364999</v>
      </c>
      <c r="I8" s="27">
        <v>14910.690682168482</v>
      </c>
      <c r="J8" s="27">
        <v>22455.298045366915</v>
      </c>
      <c r="K8" s="27">
        <v>46336.661662957369</v>
      </c>
      <c r="L8" s="27">
        <v>111628.69129901516</v>
      </c>
      <c r="M8" s="27">
        <v>229197.67055405863</v>
      </c>
    </row>
    <row r="9" spans="1:13" x14ac:dyDescent="0.75">
      <c r="A9" s="40">
        <v>7</v>
      </c>
      <c r="B9" s="27">
        <v>1170.3124887926388</v>
      </c>
      <c r="C9" s="27">
        <v>1745.7201688845525</v>
      </c>
      <c r="D9" s="27">
        <v>2496.9423832023167</v>
      </c>
      <c r="E9" s="27">
        <v>3732.3171633455058</v>
      </c>
      <c r="F9" s="27">
        <v>5505.4318745425262</v>
      </c>
      <c r="G9" s="27">
        <v>8121.454429941281</v>
      </c>
      <c r="H9" s="27">
        <v>10912.830137485944</v>
      </c>
      <c r="I9" s="27">
        <v>14828.813138452693</v>
      </c>
      <c r="J9" s="27">
        <v>23103.60574388747</v>
      </c>
      <c r="K9" s="27">
        <v>48102.5116351693</v>
      </c>
      <c r="L9" s="27">
        <v>112900.2313940374</v>
      </c>
      <c r="M9" s="27">
        <v>232620.17055774163</v>
      </c>
    </row>
    <row r="10" spans="1:13" x14ac:dyDescent="0.75">
      <c r="A10" s="40">
        <v>8</v>
      </c>
      <c r="B10" s="27">
        <v>294.59816090459935</v>
      </c>
      <c r="C10" s="27">
        <v>573.28502194533939</v>
      </c>
      <c r="D10" s="27">
        <v>1503.5244285603694</v>
      </c>
      <c r="E10" s="27">
        <v>2669.3248303414293</v>
      </c>
      <c r="F10" s="27">
        <v>4552.8811852131912</v>
      </c>
      <c r="G10" s="27">
        <v>6691.3435752046353</v>
      </c>
      <c r="H10" s="27">
        <v>9590.4057699711993</v>
      </c>
      <c r="I10" s="27">
        <v>13763.702912714652</v>
      </c>
      <c r="J10" s="27">
        <v>22356.726109806041</v>
      </c>
      <c r="K10" s="27">
        <v>45789.012387558119</v>
      </c>
      <c r="L10" s="27">
        <v>109795.48477986312</v>
      </c>
      <c r="M10" s="27">
        <v>217580.28916208271</v>
      </c>
    </row>
    <row r="11" spans="1:13" x14ac:dyDescent="0.75">
      <c r="A11" s="40">
        <v>9</v>
      </c>
      <c r="B11" s="27">
        <v>438.50573680509115</v>
      </c>
      <c r="C11" s="27">
        <v>1056.6069476711127</v>
      </c>
      <c r="D11" s="27">
        <v>2004.7360403069615</v>
      </c>
      <c r="E11" s="27">
        <v>3147.1581552904536</v>
      </c>
      <c r="F11" s="27">
        <v>5064.6535624203389</v>
      </c>
      <c r="G11" s="27">
        <v>6987.0579513813427</v>
      </c>
      <c r="H11" s="27">
        <v>9567.400309849967</v>
      </c>
      <c r="I11" s="27">
        <v>13834.066305767657</v>
      </c>
      <c r="J11" s="27">
        <v>21810.489955555677</v>
      </c>
      <c r="K11" s="27">
        <v>46121.771135214687</v>
      </c>
      <c r="L11" s="27">
        <v>111174.17856255114</v>
      </c>
      <c r="M11" s="27">
        <v>221206.62466281443</v>
      </c>
    </row>
    <row r="12" spans="1:13" x14ac:dyDescent="0.75">
      <c r="A12" s="40">
        <v>10</v>
      </c>
      <c r="B12" s="27">
        <v>725.57593832827115</v>
      </c>
      <c r="C12" s="27">
        <v>942.68788822343049</v>
      </c>
      <c r="D12" s="27">
        <v>1734.3830099553888</v>
      </c>
      <c r="E12" s="27">
        <v>2870.8028125966375</v>
      </c>
      <c r="F12" s="27">
        <v>4574.8895088887366</v>
      </c>
      <c r="G12" s="27">
        <v>6612.2518852734065</v>
      </c>
      <c r="H12" s="27">
        <v>8859.2984662760136</v>
      </c>
      <c r="I12" s="27">
        <v>13170.901170618687</v>
      </c>
      <c r="J12" s="27">
        <v>23464.095558455374</v>
      </c>
      <c r="K12" s="27">
        <v>46227.508925583257</v>
      </c>
      <c r="L12" s="27">
        <v>108513.10665977219</v>
      </c>
      <c r="M12" s="27">
        <v>217695.5018239714</v>
      </c>
    </row>
    <row r="13" spans="1:13" x14ac:dyDescent="0.75">
      <c r="A13" s="40">
        <v>11</v>
      </c>
      <c r="B13" s="27">
        <v>818.97417680859508</v>
      </c>
      <c r="C13" s="27">
        <v>1288.6757614411617</v>
      </c>
      <c r="D13" s="27">
        <v>2050.9134907862172</v>
      </c>
      <c r="E13" s="27">
        <v>3274.5725345865212</v>
      </c>
      <c r="F13" s="27">
        <v>4936.3007485745475</v>
      </c>
      <c r="G13" s="27">
        <v>7443.1887462640007</v>
      </c>
      <c r="H13" s="27">
        <v>10753.185564068292</v>
      </c>
      <c r="I13" s="27">
        <v>14121.07207405282</v>
      </c>
      <c r="J13" s="27">
        <v>23649.705229723084</v>
      </c>
      <c r="K13" s="27">
        <v>47268.830051282217</v>
      </c>
      <c r="L13" s="27">
        <v>119934.23834456064</v>
      </c>
      <c r="M13" s="27">
        <v>235539.65672214809</v>
      </c>
    </row>
    <row r="14" spans="1:13" x14ac:dyDescent="0.75">
      <c r="A14" s="40">
        <v>12</v>
      </c>
      <c r="B14" s="27">
        <v>851.56897500091873</v>
      </c>
      <c r="C14" s="27">
        <v>1149.5545106790378</v>
      </c>
      <c r="D14" s="27">
        <v>2142.0339233930572</v>
      </c>
      <c r="E14" s="27">
        <v>3102.8070568652911</v>
      </c>
      <c r="F14" s="27">
        <v>5423.3347413614392</v>
      </c>
      <c r="G14" s="27">
        <v>7599.413657539757</v>
      </c>
      <c r="H14" s="27">
        <v>10621.717242473605</v>
      </c>
      <c r="I14" s="27">
        <v>14382.091968799854</v>
      </c>
      <c r="J14" s="27">
        <v>22901.361810437389</v>
      </c>
      <c r="K14" s="27">
        <v>47496.737019153516</v>
      </c>
      <c r="L14" s="27">
        <v>115241.63933429593</v>
      </c>
      <c r="M14" s="27">
        <v>230912.2602399998</v>
      </c>
    </row>
    <row r="15" spans="1:13" x14ac:dyDescent="0.75">
      <c r="A15" s="40">
        <v>13</v>
      </c>
      <c r="B15" s="27">
        <v>861.17363654366636</v>
      </c>
      <c r="C15" s="27">
        <v>1391.3902985805325</v>
      </c>
      <c r="D15" s="27">
        <v>2013.5866798587085</v>
      </c>
      <c r="E15" s="27">
        <v>2928.6137061256595</v>
      </c>
      <c r="F15" s="27">
        <v>4620.913665964501</v>
      </c>
      <c r="G15" s="27">
        <v>6799.8548047461954</v>
      </c>
      <c r="H15" s="27">
        <v>9511.7521920764411</v>
      </c>
      <c r="I15" s="27">
        <v>12846.6646592084</v>
      </c>
      <c r="J15" s="27">
        <v>22531.144834457693</v>
      </c>
      <c r="K15" s="27">
        <v>44127.543207863273</v>
      </c>
      <c r="L15" s="27">
        <v>108448.67596670987</v>
      </c>
      <c r="M15" s="27">
        <v>216081.31365213494</v>
      </c>
    </row>
    <row r="16" spans="1:13" x14ac:dyDescent="0.75">
      <c r="A16" s="40">
        <v>14</v>
      </c>
      <c r="B16" s="27">
        <v>678.52631309075514</v>
      </c>
      <c r="C16" s="27">
        <v>1252.5839018179831</v>
      </c>
      <c r="D16" s="27">
        <v>2117.4834466479369</v>
      </c>
      <c r="E16" s="27">
        <v>3255.4129870851903</v>
      </c>
      <c r="F16" s="27">
        <v>4803.2856526946707</v>
      </c>
      <c r="G16" s="27">
        <v>7163.1911828205921</v>
      </c>
      <c r="H16" s="27">
        <v>9890.5074993512826</v>
      </c>
      <c r="I16" s="27">
        <v>14285.201298747241</v>
      </c>
      <c r="J16" s="27">
        <v>22808.589805829819</v>
      </c>
      <c r="K16" s="27">
        <v>49078.086902150768</v>
      </c>
      <c r="L16" s="27">
        <v>110876.08040754613</v>
      </c>
      <c r="M16" s="27">
        <v>226208.94939778239</v>
      </c>
    </row>
    <row r="17" spans="1:13" x14ac:dyDescent="0.75">
      <c r="A17" s="40">
        <v>15</v>
      </c>
      <c r="B17" s="27">
        <v>868.75060928214225</v>
      </c>
      <c r="C17" s="27">
        <v>1291.4844145035604</v>
      </c>
      <c r="D17" s="27">
        <v>2418.6703644766239</v>
      </c>
      <c r="E17" s="27">
        <v>3589.9612921557273</v>
      </c>
      <c r="F17" s="27">
        <v>5319.5784145258367</v>
      </c>
      <c r="G17" s="27">
        <v>8137.4896429557703</v>
      </c>
      <c r="H17" s="27">
        <v>10508.687070892163</v>
      </c>
      <c r="I17" s="27">
        <v>14960.136695339213</v>
      </c>
      <c r="J17" s="27">
        <v>23650.54793975153</v>
      </c>
      <c r="K17" s="27">
        <v>43627.33049606398</v>
      </c>
      <c r="L17" s="27">
        <v>116658.50471723994</v>
      </c>
      <c r="M17" s="27">
        <v>231031.1416571865</v>
      </c>
    </row>
    <row r="18" spans="1:13" x14ac:dyDescent="0.75">
      <c r="A18" s="40">
        <v>16</v>
      </c>
      <c r="B18" s="27">
        <v>1062.0023530985054</v>
      </c>
      <c r="C18" s="27">
        <v>1543.9959547095641</v>
      </c>
      <c r="D18" s="27">
        <v>2646.1530306736386</v>
      </c>
      <c r="E18" s="27">
        <v>3553.5375881423097</v>
      </c>
      <c r="F18" s="27">
        <v>5688.9806827087159</v>
      </c>
      <c r="G18" s="27">
        <v>8226.84209064077</v>
      </c>
      <c r="H18" s="27">
        <v>10227.411746652142</v>
      </c>
      <c r="I18" s="27">
        <v>15497.913274858671</v>
      </c>
      <c r="J18" s="27">
        <v>24569.130162553367</v>
      </c>
      <c r="K18" s="27">
        <v>46983.000295599137</v>
      </c>
      <c r="L18" s="27">
        <v>113601.18722983019</v>
      </c>
      <c r="M18" s="27">
        <v>233600.15440946701</v>
      </c>
    </row>
    <row r="19" spans="1:13" x14ac:dyDescent="0.75">
      <c r="A19" s="40">
        <v>17</v>
      </c>
      <c r="B19" s="27">
        <v>881.96545993293694</v>
      </c>
      <c r="C19" s="27">
        <v>1493.8420391834952</v>
      </c>
      <c r="D19" s="27">
        <v>2319.4761998306931</v>
      </c>
      <c r="E19" s="27">
        <v>3673.737733543574</v>
      </c>
      <c r="F19" s="27">
        <v>6024.7262276799302</v>
      </c>
      <c r="G19" s="27">
        <v>8633.3827718323446</v>
      </c>
      <c r="H19" s="27">
        <v>10974.527809790583</v>
      </c>
      <c r="I19" s="27">
        <v>15204.012709975112</v>
      </c>
      <c r="J19" s="27">
        <v>24076.252173894463</v>
      </c>
      <c r="K19" s="27">
        <v>46892.650296516222</v>
      </c>
      <c r="L19" s="27">
        <v>107510.82555522052</v>
      </c>
      <c r="M19" s="27">
        <v>227685.39897739986</v>
      </c>
    </row>
    <row r="20" spans="1:13" x14ac:dyDescent="0.75">
      <c r="A20" s="40">
        <v>18</v>
      </c>
      <c r="B20" s="27">
        <v>1084.8850984726305</v>
      </c>
      <c r="C20" s="27">
        <v>1645.9015870404692</v>
      </c>
      <c r="D20" s="27">
        <v>2517.8446372773615</v>
      </c>
      <c r="E20" s="27">
        <v>3446.5450967099605</v>
      </c>
      <c r="F20" s="27">
        <v>5181.3948854947666</v>
      </c>
      <c r="G20" s="27">
        <v>7921.7713347836398</v>
      </c>
      <c r="H20" s="27">
        <v>10605.446220437007</v>
      </c>
      <c r="I20" s="27">
        <v>14756.420798530293</v>
      </c>
      <c r="J20" s="27">
        <v>23517.518044678582</v>
      </c>
      <c r="K20" s="27">
        <v>44849.074958763405</v>
      </c>
      <c r="L20" s="27">
        <v>105430.7109081418</v>
      </c>
      <c r="M20" s="27">
        <v>220957.51357032993</v>
      </c>
    </row>
    <row r="21" spans="1:13" x14ac:dyDescent="0.75">
      <c r="A21" s="40">
        <v>19</v>
      </c>
      <c r="B21" s="27">
        <v>633.42305538992514</v>
      </c>
      <c r="C21" s="27">
        <v>1068.016281248696</v>
      </c>
      <c r="D21" s="27">
        <v>1664.0001493339951</v>
      </c>
      <c r="E21" s="27">
        <v>2911.7984168336261</v>
      </c>
      <c r="F21" s="27">
        <v>4810.5059021935449</v>
      </c>
      <c r="G21" s="27">
        <v>7308.353100655484</v>
      </c>
      <c r="H21" s="27">
        <v>10220.081860789738</v>
      </c>
      <c r="I21" s="27">
        <v>14537.693245529881</v>
      </c>
      <c r="J21" s="27">
        <v>22042.061424464104</v>
      </c>
      <c r="K21" s="27">
        <v>45976.904824287849</v>
      </c>
      <c r="L21" s="27">
        <v>123525.47873253356</v>
      </c>
      <c r="M21" s="27">
        <v>234698.31699326041</v>
      </c>
    </row>
    <row r="22" spans="1:13" x14ac:dyDescent="0.75">
      <c r="A22" s="40">
        <v>20</v>
      </c>
      <c r="B22" s="27">
        <v>791.01895330091065</v>
      </c>
      <c r="C22" s="27">
        <v>1036.9966252565791</v>
      </c>
      <c r="D22" s="27">
        <v>1977.5274353266141</v>
      </c>
      <c r="E22" s="27">
        <v>2975.6479300879873</v>
      </c>
      <c r="F22" s="27">
        <v>5026.0370172688854</v>
      </c>
      <c r="G22" s="27">
        <v>6952.5270869354135</v>
      </c>
      <c r="H22" s="27">
        <v>9991.0198003775731</v>
      </c>
      <c r="I22" s="27">
        <v>13244.970251267761</v>
      </c>
      <c r="J22" s="27">
        <v>22351.991802062519</v>
      </c>
      <c r="K22" s="27">
        <v>44012.074365316716</v>
      </c>
      <c r="L22" s="27">
        <v>117649.53214065093</v>
      </c>
      <c r="M22" s="27">
        <v>226009.34340785188</v>
      </c>
    </row>
    <row r="23" spans="1:13" x14ac:dyDescent="0.75">
      <c r="A23" s="40">
        <v>21</v>
      </c>
      <c r="B23" s="27">
        <v>876.53471842809813</v>
      </c>
      <c r="C23" s="27">
        <v>1320.1789803766296</v>
      </c>
      <c r="D23" s="27">
        <v>2602.4394912740099</v>
      </c>
      <c r="E23" s="27">
        <v>3542.7429860573466</v>
      </c>
      <c r="F23" s="27">
        <v>5556.9759339224984</v>
      </c>
      <c r="G23" s="27">
        <v>8581.4885885290278</v>
      </c>
      <c r="H23" s="27">
        <v>11131.638528185998</v>
      </c>
      <c r="I23" s="27">
        <v>14867.299887501838</v>
      </c>
      <c r="J23" s="27">
        <v>23325.554865472019</v>
      </c>
      <c r="K23" s="27">
        <v>47619.461263503326</v>
      </c>
      <c r="L23" s="27">
        <v>120626.50182128685</v>
      </c>
      <c r="M23" s="27">
        <v>240050.81706453764</v>
      </c>
    </row>
    <row r="24" spans="1:13" x14ac:dyDescent="0.75">
      <c r="A24" s="40">
        <v>22</v>
      </c>
      <c r="B24" s="27">
        <v>1285.4098418338108</v>
      </c>
      <c r="C24" s="27">
        <v>1661.1900637653016</v>
      </c>
      <c r="D24" s="27">
        <v>2748.7937673946872</v>
      </c>
      <c r="E24" s="27">
        <v>4041.7953340141685</v>
      </c>
      <c r="F24" s="27">
        <v>6121.9622537261457</v>
      </c>
      <c r="G24" s="27">
        <v>8275.4146341929154</v>
      </c>
      <c r="H24" s="27">
        <v>11393.607845486025</v>
      </c>
      <c r="I24" s="27">
        <v>15342.321459991974</v>
      </c>
      <c r="J24" s="27">
        <v>25018.560294146751</v>
      </c>
      <c r="K24" s="27">
        <v>47540.556677429617</v>
      </c>
      <c r="L24" s="27">
        <v>116236.62622915354</v>
      </c>
      <c r="M24" s="27">
        <v>239666.23840113493</v>
      </c>
    </row>
    <row r="25" spans="1:13" x14ac:dyDescent="0.75">
      <c r="A25" s="40">
        <v>23</v>
      </c>
      <c r="B25" s="27">
        <v>543.8797198280372</v>
      </c>
      <c r="C25" s="27">
        <v>1085.4367114998458</v>
      </c>
      <c r="D25" s="27">
        <v>1984.1213966515788</v>
      </c>
      <c r="E25" s="27">
        <v>2863.3068963761471</v>
      </c>
      <c r="F25" s="27">
        <v>4844.359901671065</v>
      </c>
      <c r="G25" s="27">
        <v>7556.6831043521815</v>
      </c>
      <c r="H25" s="27">
        <v>9924.7301797405235</v>
      </c>
      <c r="I25" s="27">
        <v>13613.096735276398</v>
      </c>
      <c r="J25" s="27">
        <v>22498.508100686755</v>
      </c>
      <c r="K25" s="27">
        <v>47218.207750693429</v>
      </c>
      <c r="L25" s="27">
        <v>108384.68027945521</v>
      </c>
      <c r="M25" s="27">
        <v>220517.01077623118</v>
      </c>
    </row>
    <row r="26" spans="1:13" x14ac:dyDescent="0.75">
      <c r="A26" s="40">
        <v>24</v>
      </c>
      <c r="B26" s="27">
        <v>462.40013017585443</v>
      </c>
      <c r="C26" s="27">
        <v>692.27807785454206</v>
      </c>
      <c r="D26" s="27">
        <v>1354.8804151392687</v>
      </c>
      <c r="E26" s="27">
        <v>2118.1861546393047</v>
      </c>
      <c r="F26" s="27">
        <v>3664.2579678531183</v>
      </c>
      <c r="G26" s="27">
        <v>5979.7156283424993</v>
      </c>
      <c r="H26" s="27">
        <v>9210.2030352013244</v>
      </c>
      <c r="I26" s="27">
        <v>12799.728688214745</v>
      </c>
      <c r="J26" s="27">
        <v>22596.997742794818</v>
      </c>
      <c r="K26" s="27">
        <v>46420.279891304803</v>
      </c>
      <c r="L26" s="27">
        <v>103663.93173541475</v>
      </c>
      <c r="M26" s="27">
        <v>208962.85946693504</v>
      </c>
    </row>
    <row r="27" spans="1:13" x14ac:dyDescent="0.75">
      <c r="A27" s="40">
        <v>25</v>
      </c>
      <c r="B27" s="27">
        <v>609.84760948983603</v>
      </c>
      <c r="C27" s="27">
        <v>880.84910141804721</v>
      </c>
      <c r="D27" s="27">
        <v>1831.2030980495038</v>
      </c>
      <c r="E27" s="27">
        <v>2672.4060897058807</v>
      </c>
      <c r="F27" s="27">
        <v>4571.5715698201384</v>
      </c>
      <c r="G27" s="27">
        <v>7298.4344927640341</v>
      </c>
      <c r="H27" s="27">
        <v>9417.716653091411</v>
      </c>
      <c r="I27" s="27">
        <v>14578.708310103146</v>
      </c>
      <c r="J27" s="27">
        <v>22376.338493152289</v>
      </c>
      <c r="K27" s="27">
        <v>47291.203158023389</v>
      </c>
      <c r="L27" s="27">
        <v>111747.94539740845</v>
      </c>
      <c r="M27" s="27">
        <v>223276.22397302612</v>
      </c>
    </row>
    <row r="28" spans="1:13" x14ac:dyDescent="0.75">
      <c r="A28" s="40">
        <v>26</v>
      </c>
      <c r="B28" s="27">
        <v>1067.3065632906219</v>
      </c>
      <c r="C28" s="27">
        <v>1478.5624845292623</v>
      </c>
      <c r="D28" s="27">
        <v>2006.2830107918126</v>
      </c>
      <c r="E28" s="27">
        <v>3170.5257373359782</v>
      </c>
      <c r="F28" s="27">
        <v>4974.3340670542384</v>
      </c>
      <c r="G28" s="27">
        <v>7753.4260004084208</v>
      </c>
      <c r="H28" s="27">
        <v>10644.609136595071</v>
      </c>
      <c r="I28" s="27">
        <v>14796.411795745298</v>
      </c>
      <c r="J28" s="27">
        <v>23247.024104041047</v>
      </c>
      <c r="K28" s="27">
        <v>48978.058395084576</v>
      </c>
      <c r="L28" s="27">
        <v>112171.09903551264</v>
      </c>
      <c r="M28" s="27">
        <v>230287.64033038897</v>
      </c>
    </row>
    <row r="29" spans="1:13" x14ac:dyDescent="0.75">
      <c r="A29" s="40">
        <v>27</v>
      </c>
      <c r="B29" s="27">
        <v>1031.3574431901507</v>
      </c>
      <c r="C29" s="27">
        <v>1629.1730985737959</v>
      </c>
      <c r="D29" s="27">
        <v>2286.6141005749232</v>
      </c>
      <c r="E29" s="27">
        <v>2962.5362108195695</v>
      </c>
      <c r="F29" s="27">
        <v>5256.0245807514875</v>
      </c>
      <c r="G29" s="27">
        <v>7395.425188267167</v>
      </c>
      <c r="H29" s="27">
        <v>9874.8891924894415</v>
      </c>
      <c r="I29" s="27">
        <v>14769.025286955206</v>
      </c>
      <c r="J29" s="27">
        <v>23706.276607123305</v>
      </c>
      <c r="K29" s="27">
        <v>46497.864324521768</v>
      </c>
      <c r="L29" s="27">
        <v>103555.6769170842</v>
      </c>
      <c r="M29" s="27">
        <v>218964.86295035103</v>
      </c>
    </row>
    <row r="30" spans="1:13" x14ac:dyDescent="0.75">
      <c r="A30" s="40">
        <v>28</v>
      </c>
      <c r="B30" s="27">
        <v>1288.7842362699739</v>
      </c>
      <c r="C30" s="27">
        <v>1801.5869997266127</v>
      </c>
      <c r="D30" s="27">
        <v>2745.8574569998309</v>
      </c>
      <c r="E30" s="27">
        <v>4004.4524032771005</v>
      </c>
      <c r="F30" s="27">
        <v>6340.7919832895568</v>
      </c>
      <c r="G30" s="27">
        <v>8380.7913641899941</v>
      </c>
      <c r="H30" s="27">
        <v>11927.19683117239</v>
      </c>
      <c r="I30" s="27">
        <v>15297.392022644868</v>
      </c>
      <c r="J30" s="27">
        <v>24445.418902302408</v>
      </c>
      <c r="K30" s="27">
        <v>47299.960744149474</v>
      </c>
      <c r="L30" s="27">
        <v>115637.65511866956</v>
      </c>
      <c r="M30" s="27">
        <v>239169.88806269178</v>
      </c>
    </row>
    <row r="31" spans="1:13" x14ac:dyDescent="0.75">
      <c r="A31" s="40">
        <v>29</v>
      </c>
      <c r="B31" s="27">
        <v>269.29383383173263</v>
      </c>
      <c r="C31" s="27">
        <v>776.03245031899132</v>
      </c>
      <c r="D31" s="27">
        <v>1583.2274461271882</v>
      </c>
      <c r="E31" s="27">
        <v>2587.7715378267603</v>
      </c>
      <c r="F31" s="27">
        <v>4489.8339780210517</v>
      </c>
      <c r="G31" s="27">
        <v>6381.0181754894729</v>
      </c>
      <c r="H31" s="27">
        <v>8961.8670736195054</v>
      </c>
      <c r="I31" s="27">
        <v>13393.49627061651</v>
      </c>
      <c r="J31" s="27">
        <v>22764.457921628637</v>
      </c>
      <c r="K31" s="27">
        <v>43078.819654416468</v>
      </c>
      <c r="L31" s="27">
        <v>109967.65229420978</v>
      </c>
      <c r="M31" s="27">
        <v>214253.4706361061</v>
      </c>
    </row>
    <row r="32" spans="1:13" x14ac:dyDescent="0.75">
      <c r="A32" s="40">
        <v>30</v>
      </c>
      <c r="B32" s="27">
        <v>476.23868822862278</v>
      </c>
      <c r="C32" s="27">
        <v>1118.537594346737</v>
      </c>
      <c r="D32" s="27">
        <v>1853.7133128955757</v>
      </c>
      <c r="E32" s="27">
        <v>2872.5365487620729</v>
      </c>
      <c r="F32" s="27">
        <v>4810.6076920774649</v>
      </c>
      <c r="G32" s="27">
        <v>7482.5176751090621</v>
      </c>
      <c r="H32" s="27">
        <v>9676.1429194964585</v>
      </c>
      <c r="I32" s="27">
        <v>13965.657752537532</v>
      </c>
      <c r="J32" s="27">
        <v>22117.654504864346</v>
      </c>
      <c r="K32" s="27">
        <v>48619.118407202201</v>
      </c>
      <c r="L32" s="27">
        <v>105411.41811386828</v>
      </c>
      <c r="M32" s="27">
        <v>218404.14320938836</v>
      </c>
    </row>
    <row r="33" spans="1:13" x14ac:dyDescent="0.75">
      <c r="A33" s="40">
        <v>31</v>
      </c>
      <c r="B33" s="27">
        <v>803.50768513719959</v>
      </c>
      <c r="C33" s="27">
        <v>1358.0405527942494</v>
      </c>
      <c r="D33" s="27">
        <v>2175.6412871493085</v>
      </c>
      <c r="E33" s="27">
        <v>3637.7943157441332</v>
      </c>
      <c r="F33" s="27">
        <v>5659.9093532574479</v>
      </c>
      <c r="G33" s="27">
        <v>7939.8078255247965</v>
      </c>
      <c r="H33" s="27">
        <v>10406.676801121881</v>
      </c>
      <c r="I33" s="27">
        <v>13719.656012926192</v>
      </c>
      <c r="J33" s="27">
        <v>23601.343055104357</v>
      </c>
      <c r="K33" s="27">
        <v>48386.635882956994</v>
      </c>
      <c r="L33" s="27">
        <v>103066.44303562507</v>
      </c>
      <c r="M33" s="27">
        <v>220755.45580734161</v>
      </c>
    </row>
    <row r="34" spans="1:13" x14ac:dyDescent="0.75">
      <c r="A34" s="40">
        <v>32</v>
      </c>
      <c r="B34" s="27">
        <v>808.91240733311861</v>
      </c>
      <c r="C34" s="27">
        <v>1572.2355287945102</v>
      </c>
      <c r="D34" s="27">
        <v>2141.2989356898906</v>
      </c>
      <c r="E34" s="27">
        <v>3055.6299992048589</v>
      </c>
      <c r="F34" s="27">
        <v>4931.8450635612244</v>
      </c>
      <c r="G34" s="27">
        <v>7649.0602812929137</v>
      </c>
      <c r="H34" s="27">
        <v>9197.9655724165641</v>
      </c>
      <c r="I34" s="27">
        <v>13186.850504949733</v>
      </c>
      <c r="J34" s="27">
        <v>21603.731158527691</v>
      </c>
      <c r="K34" s="27">
        <v>45249.299147108395</v>
      </c>
      <c r="L34" s="27">
        <v>112737.45357156533</v>
      </c>
      <c r="M34" s="27">
        <v>222134.28217044423</v>
      </c>
    </row>
    <row r="35" spans="1:13" x14ac:dyDescent="0.75">
      <c r="A35" s="40">
        <v>33</v>
      </c>
      <c r="B35" s="27">
        <v>1115.6213600707997</v>
      </c>
      <c r="C35" s="27">
        <v>1765.1512457920908</v>
      </c>
      <c r="D35" s="27">
        <v>2854.4569793813134</v>
      </c>
      <c r="E35" s="27">
        <v>4105.8610769924562</v>
      </c>
      <c r="F35" s="27">
        <v>6430.6127734901966</v>
      </c>
      <c r="G35" s="27">
        <v>8748.9157779838133</v>
      </c>
      <c r="H35" s="27">
        <v>11460.539939727722</v>
      </c>
      <c r="I35" s="27">
        <v>14999.618111774165</v>
      </c>
      <c r="J35" s="27">
        <v>25075.031707706541</v>
      </c>
      <c r="K35" s="27">
        <v>46769.95441157461</v>
      </c>
      <c r="L35" s="27">
        <v>110497.1494169161</v>
      </c>
      <c r="M35" s="27">
        <v>233822.91280140981</v>
      </c>
    </row>
    <row r="36" spans="1:13" x14ac:dyDescent="0.75">
      <c r="A36" s="40">
        <v>34</v>
      </c>
      <c r="B36" s="27">
        <v>1112.6828980425198</v>
      </c>
      <c r="C36" s="27">
        <v>1485.2575665894838</v>
      </c>
      <c r="D36" s="27">
        <v>2371.5428517964756</v>
      </c>
      <c r="E36" s="27">
        <v>3379.8343708130997</v>
      </c>
      <c r="F36" s="27">
        <v>5276.6796826498176</v>
      </c>
      <c r="G36" s="27">
        <v>7478.4585721257608</v>
      </c>
      <c r="H36" s="27">
        <v>10432.476952958037</v>
      </c>
      <c r="I36" s="27">
        <v>14734.674604490239</v>
      </c>
      <c r="J36" s="27">
        <v>23422.395814575255</v>
      </c>
      <c r="K36" s="27">
        <v>46290.01330269537</v>
      </c>
      <c r="L36" s="27">
        <v>108567.52590476385</v>
      </c>
      <c r="M36" s="27">
        <v>224551.54252149991</v>
      </c>
    </row>
    <row r="37" spans="1:13" x14ac:dyDescent="0.75">
      <c r="A37" s="40">
        <v>35</v>
      </c>
      <c r="B37" s="27">
        <v>664.54164960458002</v>
      </c>
      <c r="C37" s="27">
        <v>1315.7611966763507</v>
      </c>
      <c r="D37" s="27">
        <v>2152.5217266402615</v>
      </c>
      <c r="E37" s="27">
        <v>3165.8177065159107</v>
      </c>
      <c r="F37" s="27">
        <v>5354.9415257039363</v>
      </c>
      <c r="G37" s="27">
        <v>7634.0621640441823</v>
      </c>
      <c r="H37" s="27">
        <v>10792.657280278014</v>
      </c>
      <c r="I37" s="27">
        <v>14994.212266951072</v>
      </c>
      <c r="J37" s="27">
        <v>23105.552402336412</v>
      </c>
      <c r="K37" s="27">
        <v>46586.207217335745</v>
      </c>
      <c r="L37" s="27">
        <v>113467.75247369055</v>
      </c>
      <c r="M37" s="27">
        <v>229234.027609777</v>
      </c>
    </row>
    <row r="38" spans="1:13" x14ac:dyDescent="0.75">
      <c r="A38" s="40">
        <v>36</v>
      </c>
      <c r="B38" s="27">
        <v>1143.3016881225485</v>
      </c>
      <c r="C38" s="27">
        <v>1886.8507419131929</v>
      </c>
      <c r="D38" s="27">
        <v>3146.1633084988134</v>
      </c>
      <c r="E38" s="27">
        <v>4184.9536534382496</v>
      </c>
      <c r="F38" s="27">
        <v>6522.9274066952348</v>
      </c>
      <c r="G38" s="27">
        <v>8702.4207451319671</v>
      </c>
      <c r="H38" s="27">
        <v>11039.757573311712</v>
      </c>
      <c r="I38" s="27">
        <v>14782.600999928371</v>
      </c>
      <c r="J38" s="27">
        <v>24577.328711947834</v>
      </c>
      <c r="K38" s="27">
        <v>49516.746405468177</v>
      </c>
      <c r="L38" s="27">
        <v>115887.24739462454</v>
      </c>
      <c r="M38" s="27">
        <v>241390.29862908064</v>
      </c>
    </row>
    <row r="39" spans="1:13" x14ac:dyDescent="0.75">
      <c r="A39" s="40">
        <v>37</v>
      </c>
      <c r="B39" s="27">
        <v>508.00791174413462</v>
      </c>
      <c r="C39" s="27">
        <v>1136.8983857826679</v>
      </c>
      <c r="D39" s="27">
        <v>1795.8652691940806</v>
      </c>
      <c r="E39" s="27">
        <v>2897.7295215758058</v>
      </c>
      <c r="F39" s="27">
        <v>4895.7587733330438</v>
      </c>
      <c r="G39" s="27">
        <v>7394.3042045577604</v>
      </c>
      <c r="H39" s="27">
        <v>9578.8069847840234</v>
      </c>
      <c r="I39" s="27">
        <v>14230.794654586323</v>
      </c>
      <c r="J39" s="27">
        <v>23026.103188315639</v>
      </c>
      <c r="K39" s="27">
        <v>46001.507705670956</v>
      </c>
      <c r="L39" s="27">
        <v>116542.88348520049</v>
      </c>
      <c r="M39" s="27">
        <v>228008.66008474492</v>
      </c>
    </row>
    <row r="40" spans="1:13" x14ac:dyDescent="0.75">
      <c r="A40" s="40">
        <v>38</v>
      </c>
      <c r="B40" s="27">
        <v>411.07318528860924</v>
      </c>
      <c r="C40" s="27">
        <v>699.23806264383893</v>
      </c>
      <c r="D40" s="27">
        <v>1467.1785093631916</v>
      </c>
      <c r="E40" s="27">
        <v>2626.8126160035172</v>
      </c>
      <c r="F40" s="27">
        <v>4252.1790832461265</v>
      </c>
      <c r="G40" s="27">
        <v>6479.1707336448017</v>
      </c>
      <c r="H40" s="27">
        <v>9198.1042349974887</v>
      </c>
      <c r="I40" s="27">
        <v>13103.905488704564</v>
      </c>
      <c r="J40" s="27">
        <v>21087.873916719574</v>
      </c>
      <c r="K40" s="27">
        <v>43507.891219913436</v>
      </c>
      <c r="L40" s="27">
        <v>107895.26318899356</v>
      </c>
      <c r="M40" s="27">
        <v>210728.69023951871</v>
      </c>
    </row>
    <row r="41" spans="1:13" x14ac:dyDescent="0.75">
      <c r="A41" s="40">
        <v>39</v>
      </c>
      <c r="B41" s="27">
        <v>482.66097782079305</v>
      </c>
      <c r="C41" s="27">
        <v>851.87689987104386</v>
      </c>
      <c r="D41" s="27">
        <v>1615.2697758088761</v>
      </c>
      <c r="E41" s="27">
        <v>2578.506740984405</v>
      </c>
      <c r="F41" s="27">
        <v>4318.2301403745078</v>
      </c>
      <c r="G41" s="27">
        <v>6437.4581373314722</v>
      </c>
      <c r="H41" s="27">
        <v>9298.127162410965</v>
      </c>
      <c r="I41" s="27">
        <v>13393.240160517045</v>
      </c>
      <c r="J41" s="27">
        <v>21010.606323714441</v>
      </c>
      <c r="K41" s="27">
        <v>44393.678890116367</v>
      </c>
      <c r="L41" s="27">
        <v>110987.6910360906</v>
      </c>
      <c r="M41" s="27">
        <v>215367.34624504053</v>
      </c>
    </row>
    <row r="42" spans="1:13" x14ac:dyDescent="0.75">
      <c r="A42" s="40">
        <v>40</v>
      </c>
      <c r="B42" s="27">
        <v>1139.5666319412849</v>
      </c>
      <c r="C42" s="27">
        <v>1956.3853701017651</v>
      </c>
      <c r="D42" s="27">
        <v>2832.576528671183</v>
      </c>
      <c r="E42" s="27">
        <v>3911.3514505677304</v>
      </c>
      <c r="F42" s="27">
        <v>6059.5559574778017</v>
      </c>
      <c r="G42" s="27">
        <v>8267.171244874713</v>
      </c>
      <c r="H42" s="27">
        <v>10968.482578807801</v>
      </c>
      <c r="I42" s="27">
        <v>14814.439455917207</v>
      </c>
      <c r="J42" s="27">
        <v>22801.697306324088</v>
      </c>
      <c r="K42" s="27">
        <v>46974.070182898286</v>
      </c>
      <c r="L42" s="27">
        <v>106609.25665451075</v>
      </c>
      <c r="M42" s="27">
        <v>226334.55336209261</v>
      </c>
    </row>
    <row r="43" spans="1:13" x14ac:dyDescent="0.75">
      <c r="A43" s="40">
        <v>41</v>
      </c>
      <c r="B43" s="27">
        <v>740.47025952345575</v>
      </c>
      <c r="C43" s="27">
        <v>1087.9573639472655</v>
      </c>
      <c r="D43" s="27">
        <v>1786.9259939295007</v>
      </c>
      <c r="E43" s="27">
        <v>2918.3925715831283</v>
      </c>
      <c r="F43" s="27">
        <v>4720.7288957794954</v>
      </c>
      <c r="G43" s="27">
        <v>7268.8177706403076</v>
      </c>
      <c r="H43" s="27">
        <v>10377.876318437513</v>
      </c>
      <c r="I43" s="27">
        <v>14526.296504438375</v>
      </c>
      <c r="J43" s="27">
        <v>23421.291888640844</v>
      </c>
      <c r="K43" s="27">
        <v>50474.257924322708</v>
      </c>
      <c r="L43" s="27">
        <v>119069.1084375924</v>
      </c>
      <c r="M43" s="27">
        <v>236392.12392883498</v>
      </c>
    </row>
    <row r="44" spans="1:13" x14ac:dyDescent="0.75">
      <c r="A44" s="40">
        <v>42</v>
      </c>
      <c r="B44" s="27">
        <v>742.02517839308712</v>
      </c>
      <c r="C44" s="27">
        <v>1204.804999795786</v>
      </c>
      <c r="D44" s="27">
        <v>2003.2783119498636</v>
      </c>
      <c r="E44" s="27">
        <v>2915.5896053520992</v>
      </c>
      <c r="F44" s="27">
        <v>4643.5984971901053</v>
      </c>
      <c r="G44" s="27">
        <v>6564.6546738015895</v>
      </c>
      <c r="H44" s="27">
        <v>8902.5367985373305</v>
      </c>
      <c r="I44" s="27">
        <v>12152.656071977108</v>
      </c>
      <c r="J44" s="27">
        <v>22120.167003806622</v>
      </c>
      <c r="K44" s="27">
        <v>46441.116456247721</v>
      </c>
      <c r="L44" s="27">
        <v>103147.95616786774</v>
      </c>
      <c r="M44" s="27">
        <v>210838.38376491907</v>
      </c>
    </row>
    <row r="45" spans="1:13" x14ac:dyDescent="0.75">
      <c r="A45" s="40">
        <v>43</v>
      </c>
      <c r="B45" s="27">
        <v>703.33432609413285</v>
      </c>
      <c r="C45" s="27">
        <v>1182.6407850347605</v>
      </c>
      <c r="D45" s="27">
        <v>1926.394282145804</v>
      </c>
      <c r="E45" s="27">
        <v>2772.2395282899815</v>
      </c>
      <c r="F45" s="27">
        <v>4626.9310661232448</v>
      </c>
      <c r="G45" s="27">
        <v>7276.2879843984265</v>
      </c>
      <c r="H45" s="27">
        <v>9635.042037531879</v>
      </c>
      <c r="I45" s="27">
        <v>12591.12488606335</v>
      </c>
      <c r="J45" s="27">
        <v>22249.082827591963</v>
      </c>
      <c r="K45" s="27">
        <v>44178.340350105878</v>
      </c>
      <c r="L45" s="27">
        <v>103617.24243795933</v>
      </c>
      <c r="M45" s="27">
        <v>210758.66051133873</v>
      </c>
    </row>
    <row r="46" spans="1:13" x14ac:dyDescent="0.75">
      <c r="A46" s="40">
        <v>44</v>
      </c>
      <c r="B46" s="27">
        <v>945.95925551837718</v>
      </c>
      <c r="C46" s="27">
        <v>1700.5606583244225</v>
      </c>
      <c r="D46" s="27">
        <v>2482.6422207894357</v>
      </c>
      <c r="E46" s="27">
        <v>3507.0340660238871</v>
      </c>
      <c r="F46" s="27">
        <v>5709.7933053299203</v>
      </c>
      <c r="G46" s="27">
        <v>8078.151601671736</v>
      </c>
      <c r="H46" s="27">
        <v>10201.494123293698</v>
      </c>
      <c r="I46" s="27">
        <v>14741.204020547913</v>
      </c>
      <c r="J46" s="27">
        <v>22765.308080029383</v>
      </c>
      <c r="K46" s="27">
        <v>46975.654659703519</v>
      </c>
      <c r="L46" s="27">
        <v>117041.40415274975</v>
      </c>
      <c r="M46" s="27">
        <v>234149.20614398204</v>
      </c>
    </row>
    <row r="47" spans="1:13" x14ac:dyDescent="0.75">
      <c r="A47" s="40">
        <v>45</v>
      </c>
      <c r="B47" s="27">
        <v>1019.7744144963945</v>
      </c>
      <c r="C47" s="27">
        <v>1763.4352746139775</v>
      </c>
      <c r="D47" s="27">
        <v>2151.3956729679485</v>
      </c>
      <c r="E47" s="27">
        <v>3667.6405187444179</v>
      </c>
      <c r="F47" s="27">
        <v>5639.4166129315854</v>
      </c>
      <c r="G47" s="27">
        <v>7572.6263033566065</v>
      </c>
      <c r="H47" s="27">
        <v>10232.071028688224</v>
      </c>
      <c r="I47" s="27">
        <v>14811.941547533861</v>
      </c>
      <c r="J47" s="27">
        <v>23727.613068141363</v>
      </c>
      <c r="K47" s="27">
        <v>48337.260866628349</v>
      </c>
      <c r="L47" s="27">
        <v>109483.33855311875</v>
      </c>
      <c r="M47" s="27">
        <v>228406.51386122149</v>
      </c>
    </row>
    <row r="48" spans="1:13" x14ac:dyDescent="0.75">
      <c r="A48" s="40">
        <v>46</v>
      </c>
      <c r="B48" s="27">
        <v>911.0579665525438</v>
      </c>
      <c r="C48" s="27">
        <v>1232.402795879636</v>
      </c>
      <c r="D48" s="27">
        <v>2182.8811364146241</v>
      </c>
      <c r="E48" s="27">
        <v>3216.1038938111597</v>
      </c>
      <c r="F48" s="27">
        <v>4916.2146689099754</v>
      </c>
      <c r="G48" s="27">
        <v>7290.1969660825271</v>
      </c>
      <c r="H48" s="27">
        <v>9999.9240513284312</v>
      </c>
      <c r="I48" s="27">
        <v>13496.136365795726</v>
      </c>
      <c r="J48" s="27">
        <v>23036.425989741372</v>
      </c>
      <c r="K48" s="27">
        <v>46548.602393509354</v>
      </c>
      <c r="L48" s="27">
        <v>115481.29131797361</v>
      </c>
      <c r="M48" s="27">
        <v>228311.23754599894</v>
      </c>
    </row>
    <row r="49" spans="1:13" x14ac:dyDescent="0.75">
      <c r="A49" s="40">
        <v>47</v>
      </c>
      <c r="B49" s="27">
        <v>494.67048853921006</v>
      </c>
      <c r="C49" s="27">
        <v>999.09638921523583</v>
      </c>
      <c r="D49" s="27">
        <v>1806.5127231345832</v>
      </c>
      <c r="E49" s="27">
        <v>2681.2882974341192</v>
      </c>
      <c r="F49" s="27">
        <v>4388.4828510576917</v>
      </c>
      <c r="G49" s="27">
        <v>6130.8238460073771</v>
      </c>
      <c r="H49" s="27">
        <v>8710.8942772220034</v>
      </c>
      <c r="I49" s="27">
        <v>13418.697054223303</v>
      </c>
      <c r="J49" s="27">
        <v>21350.169055363978</v>
      </c>
      <c r="K49" s="27">
        <v>44451.654610504309</v>
      </c>
      <c r="L49" s="27">
        <v>115961.79782774358</v>
      </c>
      <c r="M49" s="27">
        <v>220394.0874204454</v>
      </c>
    </row>
    <row r="50" spans="1:13" x14ac:dyDescent="0.75">
      <c r="A50" s="40">
        <v>48</v>
      </c>
      <c r="B50" s="27">
        <v>193.98446221520135</v>
      </c>
      <c r="C50" s="27">
        <v>601.90921452912153</v>
      </c>
      <c r="D50" s="27">
        <v>1507.3893871831824</v>
      </c>
      <c r="E50" s="27">
        <v>2859.9392013083707</v>
      </c>
      <c r="F50" s="27">
        <v>4590.083906335276</v>
      </c>
      <c r="G50" s="27">
        <v>6727.7076890803</v>
      </c>
      <c r="H50" s="27">
        <v>9711.2100273304677</v>
      </c>
      <c r="I50" s="27">
        <v>13799.176489735124</v>
      </c>
      <c r="J50" s="27">
        <v>22580.898305043505</v>
      </c>
      <c r="K50" s="27">
        <v>45357.384296579636</v>
      </c>
      <c r="L50" s="27">
        <v>108024.67069542158</v>
      </c>
      <c r="M50" s="27">
        <v>215954.35367476178</v>
      </c>
    </row>
    <row r="51" spans="1:13" x14ac:dyDescent="0.75">
      <c r="A51" s="40">
        <v>49</v>
      </c>
      <c r="B51" s="27">
        <v>842.61610718046722</v>
      </c>
      <c r="C51" s="27">
        <v>1299.3662623438868</v>
      </c>
      <c r="D51" s="27">
        <v>2158.3978938884684</v>
      </c>
      <c r="E51" s="27">
        <v>3481.0724882974173</v>
      </c>
      <c r="F51" s="27">
        <v>5309.4149797689752</v>
      </c>
      <c r="G51" s="27">
        <v>7871.4738707025244</v>
      </c>
      <c r="H51" s="27">
        <v>10474.663231679413</v>
      </c>
      <c r="I51" s="27">
        <v>15369.464403404039</v>
      </c>
      <c r="J51" s="27">
        <v>23328.742018738078</v>
      </c>
      <c r="K51" s="27">
        <v>47995.404026650736</v>
      </c>
      <c r="L51" s="27">
        <v>114150.7047559515</v>
      </c>
      <c r="M51" s="27">
        <v>232281.32003860551</v>
      </c>
    </row>
    <row r="52" spans="1:13" x14ac:dyDescent="0.75">
      <c r="A52" s="40">
        <v>50</v>
      </c>
      <c r="B52" s="27">
        <v>656.91454721840273</v>
      </c>
      <c r="C52" s="27">
        <v>960.82929843178135</v>
      </c>
      <c r="D52" s="27">
        <v>1986.4004000333953</v>
      </c>
      <c r="E52" s="27">
        <v>3514.4448943322932</v>
      </c>
      <c r="F52" s="27">
        <v>5385.0421542963159</v>
      </c>
      <c r="G52" s="27">
        <v>7752.9986242574523</v>
      </c>
      <c r="H52" s="27">
        <v>10457.385642195528</v>
      </c>
      <c r="I52" s="27">
        <v>15451.104207368655</v>
      </c>
      <c r="J52" s="27">
        <v>24630.805327832728</v>
      </c>
      <c r="K52" s="27">
        <v>49237.852499431348</v>
      </c>
      <c r="L52" s="27">
        <v>120990.39188691688</v>
      </c>
      <c r="M52" s="27">
        <v>241024.16948231478</v>
      </c>
    </row>
    <row r="53" spans="1:13" x14ac:dyDescent="0.75">
      <c r="A53" s="40">
        <v>51</v>
      </c>
      <c r="B53" s="27">
        <v>1275.7324787605903</v>
      </c>
      <c r="C53" s="27">
        <v>1628.0002028249437</v>
      </c>
      <c r="D53" s="27">
        <v>2807.1981969277986</v>
      </c>
      <c r="E53" s="27">
        <v>3780.4225969691324</v>
      </c>
      <c r="F53" s="27">
        <v>5705.1378019909607</v>
      </c>
      <c r="G53" s="27">
        <v>7985.3955882480368</v>
      </c>
      <c r="H53" s="27">
        <v>10819.852291919844</v>
      </c>
      <c r="I53" s="27">
        <v>14163.629690671616</v>
      </c>
      <c r="J53" s="27">
        <v>23725.517447781429</v>
      </c>
      <c r="K53" s="27">
        <v>47075.312518593506</v>
      </c>
      <c r="L53" s="27">
        <v>108440.8871042786</v>
      </c>
      <c r="M53" s="27">
        <v>227407.08591896645</v>
      </c>
    </row>
    <row r="54" spans="1:13" x14ac:dyDescent="0.75">
      <c r="A54" s="40">
        <v>52</v>
      </c>
      <c r="B54" s="27">
        <v>850.40361088667123</v>
      </c>
      <c r="C54" s="27">
        <v>1483.8163329974777</v>
      </c>
      <c r="D54" s="27">
        <v>2596.9346306255611</v>
      </c>
      <c r="E54" s="27">
        <v>3673.6451475858921</v>
      </c>
      <c r="F54" s="27">
        <v>5814.9568961901823</v>
      </c>
      <c r="G54" s="27">
        <v>8455.043678071961</v>
      </c>
      <c r="H54" s="27">
        <v>10871.23009085143</v>
      </c>
      <c r="I54" s="27">
        <v>14319.977587305882</v>
      </c>
      <c r="J54" s="27">
        <v>23283.795250799478</v>
      </c>
      <c r="K54" s="27">
        <v>47844.601475646865</v>
      </c>
      <c r="L54" s="27">
        <v>112072.98214331875</v>
      </c>
      <c r="M54" s="27">
        <v>231267.38684428015</v>
      </c>
    </row>
    <row r="55" spans="1:13" x14ac:dyDescent="0.75">
      <c r="A55" s="40">
        <v>53</v>
      </c>
      <c r="B55" s="27">
        <v>1135.9500110292138</v>
      </c>
      <c r="C55" s="27">
        <v>1676.1705844504468</v>
      </c>
      <c r="D55" s="27">
        <v>2555.5856966573774</v>
      </c>
      <c r="E55" s="27">
        <v>3942.1659886954149</v>
      </c>
      <c r="F55" s="27">
        <v>5591.5517289414711</v>
      </c>
      <c r="G55" s="27">
        <v>8052.5719040132244</v>
      </c>
      <c r="H55" s="27">
        <v>10679.844313161768</v>
      </c>
      <c r="I55" s="27">
        <v>15689.871125468198</v>
      </c>
      <c r="J55" s="27">
        <v>23876.480858720432</v>
      </c>
      <c r="K55" s="27">
        <v>50098.995320882706</v>
      </c>
      <c r="L55" s="27">
        <v>115221.75327942766</v>
      </c>
      <c r="M55" s="27">
        <v>238520.94081144792</v>
      </c>
    </row>
    <row r="56" spans="1:13" x14ac:dyDescent="0.75">
      <c r="A56" s="40">
        <v>54</v>
      </c>
      <c r="B56" s="27">
        <v>892.47093436881551</v>
      </c>
      <c r="C56" s="27">
        <v>1611.9736414123472</v>
      </c>
      <c r="D56" s="27">
        <v>2752.3939537760307</v>
      </c>
      <c r="E56" s="27">
        <v>3663.1236791337287</v>
      </c>
      <c r="F56" s="27">
        <v>5653.820346280816</v>
      </c>
      <c r="G56" s="27">
        <v>8350.453594074701</v>
      </c>
      <c r="H56" s="27">
        <v>10639.825254488707</v>
      </c>
      <c r="I56" s="27">
        <v>14777.027671226329</v>
      </c>
      <c r="J56" s="27">
        <v>23951.357824805338</v>
      </c>
      <c r="K56" s="27">
        <v>44001.77796517314</v>
      </c>
      <c r="L56" s="27">
        <v>104755.89653281408</v>
      </c>
      <c r="M56" s="27">
        <v>221050.12139755403</v>
      </c>
    </row>
    <row r="57" spans="1:13" x14ac:dyDescent="0.75">
      <c r="A57" s="40">
        <v>55</v>
      </c>
      <c r="B57" s="27">
        <v>910.80462543388421</v>
      </c>
      <c r="C57" s="27">
        <v>1373.8818796367705</v>
      </c>
      <c r="D57" s="27">
        <v>2570.4419957829814</v>
      </c>
      <c r="E57" s="27">
        <v>3857.6096533141535</v>
      </c>
      <c r="F57" s="27">
        <v>5482.5158505327272</v>
      </c>
      <c r="G57" s="27">
        <v>7907.1455647344119</v>
      </c>
      <c r="H57" s="27">
        <v>11281.852835992584</v>
      </c>
      <c r="I57" s="27">
        <v>15449.888880356259</v>
      </c>
      <c r="J57" s="27">
        <v>23683.283189018635</v>
      </c>
      <c r="K57" s="27">
        <v>45210.353768846006</v>
      </c>
      <c r="L57" s="27">
        <v>116347.10326687465</v>
      </c>
      <c r="M57" s="27">
        <v>234074.88151052306</v>
      </c>
    </row>
    <row r="58" spans="1:13" x14ac:dyDescent="0.75">
      <c r="A58" s="40">
        <v>56</v>
      </c>
      <c r="B58" s="27">
        <v>850.28556356203626</v>
      </c>
      <c r="C58" s="27">
        <v>1262.8496775972017</v>
      </c>
      <c r="D58" s="27">
        <v>1956.3269547503587</v>
      </c>
      <c r="E58" s="27">
        <v>2907.0449314859288</v>
      </c>
      <c r="F58" s="27">
        <v>5089.2241317600128</v>
      </c>
      <c r="G58" s="27">
        <v>7120.3458355456532</v>
      </c>
      <c r="H58" s="27">
        <v>9685.0464123201236</v>
      </c>
      <c r="I58" s="27">
        <v>14470.563029861965</v>
      </c>
      <c r="J58" s="27">
        <v>23789.926983894999</v>
      </c>
      <c r="K58" s="27">
        <v>46580.780638244614</v>
      </c>
      <c r="L58" s="27">
        <v>115474.97278095361</v>
      </c>
      <c r="M58" s="27">
        <v>229187.36693997652</v>
      </c>
    </row>
    <row r="59" spans="1:13" x14ac:dyDescent="0.75">
      <c r="A59" s="40">
        <v>57</v>
      </c>
      <c r="B59" s="27">
        <v>641.92311337386491</v>
      </c>
      <c r="C59" s="27">
        <v>1292.635281321549</v>
      </c>
      <c r="D59" s="27">
        <v>1986.6730308697879</v>
      </c>
      <c r="E59" s="27">
        <v>3083.0441899182188</v>
      </c>
      <c r="F59" s="27">
        <v>4731.1993552636995</v>
      </c>
      <c r="G59" s="27">
        <v>7538.32699682159</v>
      </c>
      <c r="H59" s="27">
        <v>10183.677060129819</v>
      </c>
      <c r="I59" s="27">
        <v>14698.250300608823</v>
      </c>
      <c r="J59" s="27">
        <v>22576.167114280135</v>
      </c>
      <c r="K59" s="27">
        <v>49053.905738686124</v>
      </c>
      <c r="L59" s="27">
        <v>113568.24801655198</v>
      </c>
      <c r="M59" s="27">
        <v>229354.05019782559</v>
      </c>
    </row>
    <row r="60" spans="1:13" x14ac:dyDescent="0.75">
      <c r="A60" s="40">
        <v>58</v>
      </c>
      <c r="B60" s="27">
        <v>870.63769309577765</v>
      </c>
      <c r="C60" s="27">
        <v>1402.0754011855024</v>
      </c>
      <c r="D60" s="27">
        <v>2583.8741338317195</v>
      </c>
      <c r="E60" s="27">
        <v>3512.7024719337787</v>
      </c>
      <c r="F60" s="27">
        <v>5689.423641168949</v>
      </c>
      <c r="G60" s="27">
        <v>8207.9503396964865</v>
      </c>
      <c r="H60" s="27">
        <v>10411.963360619862</v>
      </c>
      <c r="I60" s="27">
        <v>13797.671627010859</v>
      </c>
      <c r="J60" s="27">
        <v>22547.965010308821</v>
      </c>
      <c r="K60" s="27">
        <v>44923.385969393581</v>
      </c>
      <c r="L60" s="27">
        <v>117645.73318689107</v>
      </c>
      <c r="M60" s="27">
        <v>231593.38283513641</v>
      </c>
    </row>
    <row r="61" spans="1:13" x14ac:dyDescent="0.75">
      <c r="A61" s="40">
        <v>59</v>
      </c>
      <c r="B61" s="27">
        <v>807.40417164271639</v>
      </c>
      <c r="C61" s="27">
        <v>1168.7805650950468</v>
      </c>
      <c r="D61" s="27">
        <v>2152.7386022005085</v>
      </c>
      <c r="E61" s="27">
        <v>3244.5261838454608</v>
      </c>
      <c r="F61" s="27">
        <v>5375.1099717285542</v>
      </c>
      <c r="G61" s="27">
        <v>8022.9137628121243</v>
      </c>
      <c r="H61" s="27">
        <v>10936.621301530162</v>
      </c>
      <c r="I61" s="27">
        <v>14662.200372673877</v>
      </c>
      <c r="J61" s="27">
        <v>23288.27602951898</v>
      </c>
      <c r="K61" s="27">
        <v>47481.951461997262</v>
      </c>
      <c r="L61" s="27">
        <v>107318.17048331868</v>
      </c>
      <c r="M61" s="27">
        <v>224458.69290636337</v>
      </c>
    </row>
    <row r="62" spans="1:13" x14ac:dyDescent="0.75">
      <c r="A62" s="40">
        <v>60</v>
      </c>
      <c r="B62" s="27">
        <v>1403.9151425154996</v>
      </c>
      <c r="C62" s="27">
        <v>1830.2852587713132</v>
      </c>
      <c r="D62" s="27">
        <v>2935.8319169694587</v>
      </c>
      <c r="E62" s="27">
        <v>3885.7442630262231</v>
      </c>
      <c r="F62" s="27">
        <v>6012.5456034323433</v>
      </c>
      <c r="G62" s="27">
        <v>8697.9180229099875</v>
      </c>
      <c r="H62" s="27">
        <v>10903.067589903862</v>
      </c>
      <c r="I62" s="27">
        <v>15477.409450486943</v>
      </c>
      <c r="J62" s="27">
        <v>24869.256944762223</v>
      </c>
      <c r="K62" s="27">
        <v>46362.667592192651</v>
      </c>
      <c r="L62" s="27">
        <v>116635.42755764452</v>
      </c>
      <c r="M62" s="27">
        <v>239014.06934261502</v>
      </c>
    </row>
    <row r="63" spans="1:13" x14ac:dyDescent="0.75">
      <c r="A63" s="40">
        <v>61</v>
      </c>
      <c r="B63" s="27">
        <v>278.18285563694371</v>
      </c>
      <c r="C63" s="27">
        <v>679.65868831546686</v>
      </c>
      <c r="D63" s="27">
        <v>1590.0640156133304</v>
      </c>
      <c r="E63" s="27">
        <v>2752.9687014699157</v>
      </c>
      <c r="F63" s="27">
        <v>4301.757012605085</v>
      </c>
      <c r="G63" s="27">
        <v>6969.1065340227506</v>
      </c>
      <c r="H63" s="27">
        <v>9368.3898578885128</v>
      </c>
      <c r="I63" s="27">
        <v>14195.05940720519</v>
      </c>
      <c r="J63" s="27">
        <v>21764.292607434938</v>
      </c>
      <c r="K63" s="27">
        <v>44671.260403309352</v>
      </c>
      <c r="L63" s="27">
        <v>107870.03989810287</v>
      </c>
      <c r="M63" s="27">
        <v>214440.77998160437</v>
      </c>
    </row>
    <row r="64" spans="1:13" x14ac:dyDescent="0.75">
      <c r="A64" s="40">
        <v>62</v>
      </c>
      <c r="B64" s="27">
        <v>813.23852705238096</v>
      </c>
      <c r="C64" s="27">
        <v>1416.0183054056397</v>
      </c>
      <c r="D64" s="27">
        <v>2020.1591117421485</v>
      </c>
      <c r="E64" s="27">
        <v>3522.6636115104775</v>
      </c>
      <c r="F64" s="27">
        <v>5687.2329990867584</v>
      </c>
      <c r="G64" s="27">
        <v>7545.3521335616824</v>
      </c>
      <c r="H64" s="27">
        <v>9961.1960602943873</v>
      </c>
      <c r="I64" s="27">
        <v>13809.629326034134</v>
      </c>
      <c r="J64" s="27">
        <v>22505.674820576751</v>
      </c>
      <c r="K64" s="27">
        <v>46325.422677509632</v>
      </c>
      <c r="L64" s="27">
        <v>107907.54187858134</v>
      </c>
      <c r="M64" s="27">
        <v>221514.12945135531</v>
      </c>
    </row>
    <row r="65" spans="1:13" x14ac:dyDescent="0.75">
      <c r="A65" s="40">
        <v>63</v>
      </c>
      <c r="B65" s="27">
        <v>797.48321653346648</v>
      </c>
      <c r="C65" s="27">
        <v>1222.9377940611303</v>
      </c>
      <c r="D65" s="27">
        <v>2069.7442412367382</v>
      </c>
      <c r="E65" s="27">
        <v>3431.9098263878986</v>
      </c>
      <c r="F65" s="27">
        <v>5224.3429429337993</v>
      </c>
      <c r="G65" s="27">
        <v>7993.7171270034451</v>
      </c>
      <c r="H65" s="27">
        <v>10490.042604961694</v>
      </c>
      <c r="I65" s="27">
        <v>14386.182031017772</v>
      </c>
      <c r="J65" s="27">
        <v>23078.451595854203</v>
      </c>
      <c r="K65" s="27">
        <v>45203.122307882571</v>
      </c>
      <c r="L65" s="27">
        <v>106810.18565666553</v>
      </c>
      <c r="M65" s="27">
        <v>220708.11934453825</v>
      </c>
    </row>
    <row r="66" spans="1:13" x14ac:dyDescent="0.75">
      <c r="A66" s="40">
        <v>64</v>
      </c>
      <c r="B66" s="27">
        <v>917.94264629644749</v>
      </c>
      <c r="C66" s="27">
        <v>1337.5279467228247</v>
      </c>
      <c r="D66" s="27">
        <v>2295.4667500865762</v>
      </c>
      <c r="E66" s="27">
        <v>3321.8107079200854</v>
      </c>
      <c r="F66" s="27">
        <v>5613.2876200816245</v>
      </c>
      <c r="G66" s="27">
        <v>7818.6766222614679</v>
      </c>
      <c r="H66" s="27">
        <v>10672.959629159683</v>
      </c>
      <c r="I66" s="27">
        <v>14673.992603499108</v>
      </c>
      <c r="J66" s="27">
        <v>21788.995441754552</v>
      </c>
      <c r="K66" s="27">
        <v>43573.690896996821</v>
      </c>
      <c r="L66" s="27">
        <v>115792.21345905482</v>
      </c>
      <c r="M66" s="27">
        <v>227806.56432383403</v>
      </c>
    </row>
    <row r="67" spans="1:13" x14ac:dyDescent="0.75">
      <c r="A67" s="40">
        <v>65</v>
      </c>
      <c r="B67" s="27">
        <v>678.07745528232772</v>
      </c>
      <c r="C67" s="27">
        <v>1022.467491695832</v>
      </c>
      <c r="D67" s="27">
        <v>1902.4644933966192</v>
      </c>
      <c r="E67" s="27">
        <v>3150.8930641335319</v>
      </c>
      <c r="F67" s="27">
        <v>4719.6145448110183</v>
      </c>
      <c r="G67" s="27">
        <v>7182.2037192642747</v>
      </c>
      <c r="H67" s="27">
        <v>9585.4968662239698</v>
      </c>
      <c r="I67" s="27">
        <v>13967.172252683711</v>
      </c>
      <c r="J67" s="27">
        <v>23775.622004140096</v>
      </c>
      <c r="K67" s="27">
        <v>47412.494275538134</v>
      </c>
      <c r="L67" s="27">
        <v>106684.93111029398</v>
      </c>
      <c r="M67" s="27">
        <v>220081.4372774635</v>
      </c>
    </row>
    <row r="68" spans="1:13" x14ac:dyDescent="0.75">
      <c r="A68" s="40">
        <v>66</v>
      </c>
      <c r="B68" s="27">
        <v>205.31618062581401</v>
      </c>
      <c r="C68" s="27">
        <v>637.72132924084144</v>
      </c>
      <c r="D68" s="27">
        <v>1330.2610379288963</v>
      </c>
      <c r="E68" s="27">
        <v>2419.7355243673373</v>
      </c>
      <c r="F68" s="27">
        <v>4151.3476993703371</v>
      </c>
      <c r="G68" s="27">
        <v>6404.2690059723391</v>
      </c>
      <c r="H68" s="27">
        <v>9153.9503939696879</v>
      </c>
      <c r="I68" s="27">
        <v>13823.840065709664</v>
      </c>
      <c r="J68" s="27">
        <v>21932.986631768406</v>
      </c>
      <c r="K68" s="27">
        <v>45118.750823843206</v>
      </c>
      <c r="L68" s="27">
        <v>109999.05502729461</v>
      </c>
      <c r="M68" s="27">
        <v>215177.23372009114</v>
      </c>
    </row>
    <row r="69" spans="1:13" x14ac:dyDescent="0.75">
      <c r="A69" s="40">
        <v>67</v>
      </c>
      <c r="B69" s="27">
        <v>675.08359740530432</v>
      </c>
      <c r="C69" s="27">
        <v>1137.9741974305653</v>
      </c>
      <c r="D69" s="27">
        <v>1966.395130455654</v>
      </c>
      <c r="E69" s="27">
        <v>2833.0421679822466</v>
      </c>
      <c r="F69" s="27">
        <v>5086.1694905450859</v>
      </c>
      <c r="G69" s="27">
        <v>7481.1393792253511</v>
      </c>
      <c r="H69" s="27">
        <v>9347.3600964086072</v>
      </c>
      <c r="I69" s="27">
        <v>13974.625944675499</v>
      </c>
      <c r="J69" s="27">
        <v>23866.23963311546</v>
      </c>
      <c r="K69" s="27">
        <v>47590.45967029102</v>
      </c>
      <c r="L69" s="27">
        <v>119141.822928801</v>
      </c>
      <c r="M69" s="27">
        <v>233100.3122363358</v>
      </c>
    </row>
    <row r="70" spans="1:13" x14ac:dyDescent="0.75">
      <c r="A70" s="40">
        <v>68</v>
      </c>
      <c r="B70" s="27">
        <v>741.47819460234314</v>
      </c>
      <c r="C70" s="27">
        <v>1206.9094633585628</v>
      </c>
      <c r="D70" s="27">
        <v>2067.3027190962312</v>
      </c>
      <c r="E70" s="27">
        <v>3078.6562163152848</v>
      </c>
      <c r="F70" s="27">
        <v>4989.2645048722334</v>
      </c>
      <c r="G70" s="27">
        <v>7289.6152241680829</v>
      </c>
      <c r="H70" s="27">
        <v>9919.090005844424</v>
      </c>
      <c r="I70" s="27">
        <v>14083.761073933274</v>
      </c>
      <c r="J70" s="27">
        <v>22420.97608126486</v>
      </c>
      <c r="K70" s="27">
        <v>43045.685933254426</v>
      </c>
      <c r="L70" s="27">
        <v>101592.50218613041</v>
      </c>
      <c r="M70" s="27">
        <v>210435.24160284013</v>
      </c>
    </row>
    <row r="71" spans="1:13" x14ac:dyDescent="0.75">
      <c r="A71" s="40">
        <v>69</v>
      </c>
      <c r="B71" s="27">
        <v>277.32793350929569</v>
      </c>
      <c r="C71" s="27">
        <v>850.24019143205078</v>
      </c>
      <c r="D71" s="27">
        <v>1754.797893352501</v>
      </c>
      <c r="E71" s="27">
        <v>2821.9466505893797</v>
      </c>
      <c r="F71" s="27">
        <v>4740.9673648457101</v>
      </c>
      <c r="G71" s="27">
        <v>7208.3776932129113</v>
      </c>
      <c r="H71" s="27">
        <v>9907.0506783281744</v>
      </c>
      <c r="I71" s="27">
        <v>13552.042489046595</v>
      </c>
      <c r="J71" s="27">
        <v>22408.057376807163</v>
      </c>
      <c r="K71" s="27">
        <v>43634.889853413086</v>
      </c>
      <c r="L71" s="27">
        <v>114171.53628711693</v>
      </c>
      <c r="M71" s="27">
        <v>221327.2344116538</v>
      </c>
    </row>
    <row r="72" spans="1:13" x14ac:dyDescent="0.75">
      <c r="A72" s="40">
        <v>70</v>
      </c>
      <c r="B72" s="27">
        <v>464.85351062362315</v>
      </c>
      <c r="C72" s="27">
        <v>837.4944361703092</v>
      </c>
      <c r="D72" s="27">
        <v>1754.8177943795745</v>
      </c>
      <c r="E72" s="27">
        <v>2641.6818065852276</v>
      </c>
      <c r="F72" s="27">
        <v>4222.5159011328651</v>
      </c>
      <c r="G72" s="27">
        <v>6602.3051976402348</v>
      </c>
      <c r="H72" s="27">
        <v>8661.3725088859501</v>
      </c>
      <c r="I72" s="27">
        <v>11946.564206235533</v>
      </c>
      <c r="J72" s="27">
        <v>20574.120328830177</v>
      </c>
      <c r="K72" s="27">
        <v>43698.97682538339</v>
      </c>
      <c r="L72" s="27">
        <v>108996.43990719152</v>
      </c>
      <c r="M72" s="27">
        <v>210401.14242305839</v>
      </c>
    </row>
    <row r="73" spans="1:13" x14ac:dyDescent="0.75">
      <c r="A73" s="40">
        <v>71</v>
      </c>
      <c r="B73" s="27">
        <v>400.31472039366781</v>
      </c>
      <c r="C73" s="27">
        <v>846.59531685753609</v>
      </c>
      <c r="D73" s="27">
        <v>1840.1063517068978</v>
      </c>
      <c r="E73" s="27">
        <v>2812.8550770487782</v>
      </c>
      <c r="F73" s="27">
        <v>4576.6862656681624</v>
      </c>
      <c r="G73" s="27">
        <v>7049.142599614308</v>
      </c>
      <c r="H73" s="27">
        <v>9625.6300659774279</v>
      </c>
      <c r="I73" s="27">
        <v>13025.6464802478</v>
      </c>
      <c r="J73" s="27">
        <v>23081.268492936433</v>
      </c>
      <c r="K73" s="27">
        <v>44698.581030115252</v>
      </c>
      <c r="L73" s="27">
        <v>105669.58195915184</v>
      </c>
      <c r="M73" s="27">
        <v>213626.4083597181</v>
      </c>
    </row>
    <row r="74" spans="1:13" x14ac:dyDescent="0.75">
      <c r="A74" s="40">
        <v>72</v>
      </c>
      <c r="B74" s="27">
        <v>738.38195290583826</v>
      </c>
      <c r="C74" s="27">
        <v>1083.7194198885554</v>
      </c>
      <c r="D74" s="27">
        <v>1798.9157543839974</v>
      </c>
      <c r="E74" s="27">
        <v>3095.1640826280491</v>
      </c>
      <c r="F74" s="27">
        <v>5047.6941449210281</v>
      </c>
      <c r="G74" s="27">
        <v>7831.5037534395524</v>
      </c>
      <c r="H74" s="27">
        <v>9860.0041115985514</v>
      </c>
      <c r="I74" s="27">
        <v>14121.730639739166</v>
      </c>
      <c r="J74" s="27">
        <v>23638.064309948342</v>
      </c>
      <c r="K74" s="27">
        <v>48030.387863548734</v>
      </c>
      <c r="L74" s="27">
        <v>105025.21496459476</v>
      </c>
      <c r="M74" s="27">
        <v>220270.78099759656</v>
      </c>
    </row>
    <row r="75" spans="1:13" x14ac:dyDescent="0.75">
      <c r="A75" s="40">
        <v>73</v>
      </c>
      <c r="B75" s="27">
        <v>817.74079945830454</v>
      </c>
      <c r="C75" s="27">
        <v>1296.0801182456635</v>
      </c>
      <c r="D75" s="27">
        <v>2127.0260068092903</v>
      </c>
      <c r="E75" s="27">
        <v>3306.0428114381939</v>
      </c>
      <c r="F75" s="27">
        <v>5540.4962342758663</v>
      </c>
      <c r="G75" s="27">
        <v>7741.3036791594059</v>
      </c>
      <c r="H75" s="27">
        <v>10086.489883277245</v>
      </c>
      <c r="I75" s="27">
        <v>14105.918913983216</v>
      </c>
      <c r="J75" s="27">
        <v>23324.478523804355</v>
      </c>
      <c r="K75" s="27">
        <v>46978.352733264066</v>
      </c>
      <c r="L75" s="27">
        <v>112569.75749880634</v>
      </c>
      <c r="M75" s="27">
        <v>227893.68720252195</v>
      </c>
    </row>
    <row r="76" spans="1:13" x14ac:dyDescent="0.75">
      <c r="A76" s="40">
        <v>74</v>
      </c>
      <c r="B76" s="27">
        <v>908.23769186215941</v>
      </c>
      <c r="C76" s="27">
        <v>1227.3860198109469</v>
      </c>
      <c r="D76" s="27">
        <v>2229.0511327195854</v>
      </c>
      <c r="E76" s="27">
        <v>3306.5939640396682</v>
      </c>
      <c r="F76" s="27">
        <v>4985.8972728880326</v>
      </c>
      <c r="G76" s="27">
        <v>7338.4382650683692</v>
      </c>
      <c r="H76" s="27">
        <v>9988.688784328333</v>
      </c>
      <c r="I76" s="27">
        <v>14455.768428460113</v>
      </c>
      <c r="J76" s="27">
        <v>24196.536771869942</v>
      </c>
      <c r="K76" s="27">
        <v>45363.400696997269</v>
      </c>
      <c r="L76" s="27">
        <v>114035.37812939048</v>
      </c>
      <c r="M76" s="27">
        <v>228035.37715743488</v>
      </c>
    </row>
    <row r="77" spans="1:13" x14ac:dyDescent="0.75">
      <c r="A77" s="40">
        <v>75</v>
      </c>
      <c r="B77" s="27">
        <v>1595.3982068792684</v>
      </c>
      <c r="C77" s="27">
        <v>2211.1616065540002</v>
      </c>
      <c r="D77" s="27">
        <v>3210.0742649123567</v>
      </c>
      <c r="E77" s="27">
        <v>4398.5242468758515</v>
      </c>
      <c r="F77" s="27">
        <v>6682.8477371275076</v>
      </c>
      <c r="G77" s="27">
        <v>8991.4217855683819</v>
      </c>
      <c r="H77" s="27">
        <v>11953.198621324613</v>
      </c>
      <c r="I77" s="27">
        <v>17021.563360521817</v>
      </c>
      <c r="J77" s="27">
        <v>24466.203601177549</v>
      </c>
      <c r="K77" s="27">
        <v>47554.94263293827</v>
      </c>
      <c r="L77" s="27">
        <v>114719.66389486383</v>
      </c>
      <c r="M77" s="27">
        <v>242804.99995874346</v>
      </c>
    </row>
    <row r="78" spans="1:13" x14ac:dyDescent="0.75">
      <c r="A78" s="40">
        <v>76</v>
      </c>
      <c r="B78" s="27">
        <v>857.26197549066273</v>
      </c>
      <c r="C78" s="27">
        <v>1406.2478365914722</v>
      </c>
      <c r="D78" s="27">
        <v>2137.007168122087</v>
      </c>
      <c r="E78" s="27">
        <v>3493.7996179773763</v>
      </c>
      <c r="F78" s="27">
        <v>5440.2023468256812</v>
      </c>
      <c r="G78" s="27">
        <v>6960.2243239936943</v>
      </c>
      <c r="H78" s="27">
        <v>9865.369508980657</v>
      </c>
      <c r="I78" s="27">
        <v>13690.875314532997</v>
      </c>
      <c r="J78" s="27">
        <v>23422.018399673223</v>
      </c>
      <c r="K78" s="27">
        <v>45926.308107061544</v>
      </c>
      <c r="L78" s="27">
        <v>115339.01030869827</v>
      </c>
      <c r="M78" s="27">
        <v>228538.32490794768</v>
      </c>
    </row>
    <row r="79" spans="1:13" x14ac:dyDescent="0.75">
      <c r="A79" s="40">
        <v>77</v>
      </c>
      <c r="B79" s="27">
        <v>918.87134650388907</v>
      </c>
      <c r="C79" s="27">
        <v>1338.6177479774051</v>
      </c>
      <c r="D79" s="27">
        <v>2567.9016904958407</v>
      </c>
      <c r="E79" s="27">
        <v>3287.1019756538299</v>
      </c>
      <c r="F79" s="27">
        <v>5305.0964985880128</v>
      </c>
      <c r="G79" s="27">
        <v>7840.7591681540362</v>
      </c>
      <c r="H79" s="27">
        <v>10171.930528840647</v>
      </c>
      <c r="I79" s="27">
        <v>15223.233417579046</v>
      </c>
      <c r="J79" s="27">
        <v>23471.066363004953</v>
      </c>
      <c r="K79" s="27">
        <v>49555.407605004439</v>
      </c>
      <c r="L79" s="27">
        <v>105933.27761149418</v>
      </c>
      <c r="M79" s="27">
        <v>225613.26395329629</v>
      </c>
    </row>
    <row r="80" spans="1:13" x14ac:dyDescent="0.75">
      <c r="A80" s="40">
        <v>78</v>
      </c>
      <c r="B80" s="27">
        <v>634.50569456681842</v>
      </c>
      <c r="C80" s="27">
        <v>1355.1917477981769</v>
      </c>
      <c r="D80" s="27">
        <v>2379.4552035855013</v>
      </c>
      <c r="E80" s="27">
        <v>3692.6636303448468</v>
      </c>
      <c r="F80" s="27">
        <v>5292.4677317480673</v>
      </c>
      <c r="G80" s="27">
        <v>7811.0927911854233</v>
      </c>
      <c r="H80" s="27">
        <v>10444.017916880941</v>
      </c>
      <c r="I80" s="27">
        <v>14563.972579604888</v>
      </c>
      <c r="J80" s="27">
        <v>23146.435441683541</v>
      </c>
      <c r="K80" s="27">
        <v>48300.604499052133</v>
      </c>
      <c r="L80" s="27">
        <v>106226.29104680876</v>
      </c>
      <c r="M80" s="27">
        <v>223846.69828325912</v>
      </c>
    </row>
    <row r="81" spans="1:13" x14ac:dyDescent="0.75">
      <c r="A81" s="40">
        <v>79</v>
      </c>
      <c r="B81" s="27">
        <v>617.72586511768168</v>
      </c>
      <c r="C81" s="27">
        <v>1286.2310028616048</v>
      </c>
      <c r="D81" s="27">
        <v>2478.5481811796635</v>
      </c>
      <c r="E81" s="27">
        <v>3531.5432259580266</v>
      </c>
      <c r="F81" s="27">
        <v>5246.7424408454099</v>
      </c>
      <c r="G81" s="27">
        <v>7584.0250323061482</v>
      </c>
      <c r="H81" s="27">
        <v>10490.943563852808</v>
      </c>
      <c r="I81" s="27">
        <v>13889.355606414625</v>
      </c>
      <c r="J81" s="27">
        <v>23594.130654723718</v>
      </c>
      <c r="K81" s="27">
        <v>44973.441770274774</v>
      </c>
      <c r="L81" s="27">
        <v>110071.26058961041</v>
      </c>
      <c r="M81" s="27">
        <v>223763.94793314487</v>
      </c>
    </row>
    <row r="82" spans="1:13" x14ac:dyDescent="0.75">
      <c r="A82" s="40">
        <v>80</v>
      </c>
      <c r="B82" s="27">
        <v>700.04766289710824</v>
      </c>
      <c r="C82" s="27">
        <v>1217.6360439668206</v>
      </c>
      <c r="D82" s="27">
        <v>2445.2235780311457</v>
      </c>
      <c r="E82" s="27">
        <v>3964.0371157027548</v>
      </c>
      <c r="F82" s="27">
        <v>5850.9517535594787</v>
      </c>
      <c r="G82" s="27">
        <v>8249.7426000179257</v>
      </c>
      <c r="H82" s="27">
        <v>10693.924078542099</v>
      </c>
      <c r="I82" s="27">
        <v>13764.774284568091</v>
      </c>
      <c r="J82" s="27">
        <v>23442.432147509156</v>
      </c>
      <c r="K82" s="27">
        <v>46250.47103829257</v>
      </c>
      <c r="L82" s="27">
        <v>116108.1667154991</v>
      </c>
      <c r="M82" s="27">
        <v>232687.40701858624</v>
      </c>
    </row>
    <row r="83" spans="1:13" x14ac:dyDescent="0.75">
      <c r="A83" s="40">
        <v>81</v>
      </c>
      <c r="B83" s="27">
        <v>194.67355207561923</v>
      </c>
      <c r="C83" s="27">
        <v>601.66199816236622</v>
      </c>
      <c r="D83" s="27">
        <v>1349.5625928476366</v>
      </c>
      <c r="E83" s="27">
        <v>2197.9120209873217</v>
      </c>
      <c r="F83" s="27">
        <v>3905.2894800960203</v>
      </c>
      <c r="G83" s="27">
        <v>6309.7348190301273</v>
      </c>
      <c r="H83" s="27">
        <v>8996.0915416777134</v>
      </c>
      <c r="I83" s="27">
        <v>13656.708030444934</v>
      </c>
      <c r="J83" s="27">
        <v>22196.373525474337</v>
      </c>
      <c r="K83" s="27">
        <v>45765.829403009731</v>
      </c>
      <c r="L83" s="27">
        <v>105906.1035459047</v>
      </c>
      <c r="M83" s="27">
        <v>211079.94050971052</v>
      </c>
    </row>
    <row r="84" spans="1:13" x14ac:dyDescent="0.75">
      <c r="A84" s="40">
        <v>82</v>
      </c>
      <c r="B84" s="27">
        <v>203.91228636802407</v>
      </c>
      <c r="C84" s="27">
        <v>707.39579391886946</v>
      </c>
      <c r="D84" s="27">
        <v>1691.880090329767</v>
      </c>
      <c r="E84" s="27">
        <v>2739.6638219527667</v>
      </c>
      <c r="F84" s="27">
        <v>4453.6496754763939</v>
      </c>
      <c r="G84" s="27">
        <v>6914.6203103002626</v>
      </c>
      <c r="H84" s="27">
        <v>9909.9341898088023</v>
      </c>
      <c r="I84" s="27">
        <v>13761.186986621586</v>
      </c>
      <c r="J84" s="27">
        <v>22457.385856830675</v>
      </c>
      <c r="K84" s="27">
        <v>44355.560547010769</v>
      </c>
      <c r="L84" s="27">
        <v>116570.6333282815</v>
      </c>
      <c r="M84" s="27">
        <v>223765.8228868994</v>
      </c>
    </row>
    <row r="85" spans="1:13" x14ac:dyDescent="0.75">
      <c r="A85" s="40">
        <v>83</v>
      </c>
      <c r="B85" s="27">
        <v>394.75416951182706</v>
      </c>
      <c r="C85" s="27">
        <v>600.39442653972947</v>
      </c>
      <c r="D85" s="27">
        <v>1315.8417463971127</v>
      </c>
      <c r="E85" s="27">
        <v>2535.4597267140925</v>
      </c>
      <c r="F85" s="27">
        <v>4174.207003622636</v>
      </c>
      <c r="G85" s="27">
        <v>6242.4019076565746</v>
      </c>
      <c r="H85" s="27">
        <v>8961.5387728015485</v>
      </c>
      <c r="I85" s="27">
        <v>12248.335284432498</v>
      </c>
      <c r="J85" s="27">
        <v>21086.29172405033</v>
      </c>
      <c r="K85" s="27">
        <v>43771.245165007596</v>
      </c>
      <c r="L85" s="27">
        <v>105546.21451382805</v>
      </c>
      <c r="M85" s="27">
        <v>206876.68444056198</v>
      </c>
    </row>
    <row r="86" spans="1:13" x14ac:dyDescent="0.75">
      <c r="A86" s="40">
        <v>84</v>
      </c>
      <c r="B86" s="27">
        <v>874.73064906922809</v>
      </c>
      <c r="C86" s="27">
        <v>1380.7292856849526</v>
      </c>
      <c r="D86" s="27">
        <v>2497.819788286899</v>
      </c>
      <c r="E86" s="27">
        <v>3677.2430336257239</v>
      </c>
      <c r="F86" s="27">
        <v>5530.5780967352039</v>
      </c>
      <c r="G86" s="27">
        <v>7688.8043436424632</v>
      </c>
      <c r="H86" s="27">
        <v>10813.658130782685</v>
      </c>
      <c r="I86" s="27">
        <v>14566.143453596858</v>
      </c>
      <c r="J86" s="27">
        <v>25562.310738106869</v>
      </c>
      <c r="K86" s="27">
        <v>46742.810349139443</v>
      </c>
      <c r="L86" s="27">
        <v>108978.18222869294</v>
      </c>
      <c r="M86" s="27">
        <v>228313.01009736327</v>
      </c>
    </row>
    <row r="87" spans="1:13" x14ac:dyDescent="0.75">
      <c r="A87" s="40">
        <v>85</v>
      </c>
      <c r="B87" s="27">
        <v>1036.7729836254148</v>
      </c>
      <c r="C87" s="27">
        <v>1526.820213825049</v>
      </c>
      <c r="D87" s="27">
        <v>2174.7556862900528</v>
      </c>
      <c r="E87" s="27">
        <v>3291.8946752965858</v>
      </c>
      <c r="F87" s="27">
        <v>5103.6150150304893</v>
      </c>
      <c r="G87" s="27">
        <v>6954.9512968578492</v>
      </c>
      <c r="H87" s="27">
        <v>9566.7638062707993</v>
      </c>
      <c r="I87" s="27">
        <v>14080.581348870706</v>
      </c>
      <c r="J87" s="27">
        <v>23127.439790619683</v>
      </c>
      <c r="K87" s="27">
        <v>47857.02917885792</v>
      </c>
      <c r="L87" s="27">
        <v>102378.02288878374</v>
      </c>
      <c r="M87" s="27">
        <v>217098.64688432828</v>
      </c>
    </row>
    <row r="88" spans="1:13" x14ac:dyDescent="0.75">
      <c r="A88" s="40">
        <v>86</v>
      </c>
      <c r="B88" s="27">
        <v>806.27115694721579</v>
      </c>
      <c r="C88" s="27">
        <v>1345.9874529908411</v>
      </c>
      <c r="D88" s="27">
        <v>2203.1323201040213</v>
      </c>
      <c r="E88" s="27">
        <v>3388.579811351301</v>
      </c>
      <c r="F88" s="27">
        <v>5047.7521954116819</v>
      </c>
      <c r="G88" s="27">
        <v>7152.961732568132</v>
      </c>
      <c r="H88" s="27">
        <v>10113.312362799043</v>
      </c>
      <c r="I88" s="27">
        <v>14194.465763218846</v>
      </c>
      <c r="J88" s="27">
        <v>23439.964244171919</v>
      </c>
      <c r="K88" s="27">
        <v>45073.087082393438</v>
      </c>
      <c r="L88" s="27">
        <v>107712.84459223671</v>
      </c>
      <c r="M88" s="27">
        <v>220478.35871419316</v>
      </c>
    </row>
    <row r="89" spans="1:13" x14ac:dyDescent="0.75">
      <c r="A89" s="40">
        <v>87</v>
      </c>
      <c r="B89" s="27">
        <v>644.62923453556141</v>
      </c>
      <c r="C89" s="27">
        <v>923.97856394328119</v>
      </c>
      <c r="D89" s="27">
        <v>1696.985766790589</v>
      </c>
      <c r="E89" s="27">
        <v>2549.4547853979457</v>
      </c>
      <c r="F89" s="27">
        <v>4618.0136931832385</v>
      </c>
      <c r="G89" s="27">
        <v>7421.7014014585584</v>
      </c>
      <c r="H89" s="27">
        <v>9943.9783977291809</v>
      </c>
      <c r="I89" s="27">
        <v>13622.287464525725</v>
      </c>
      <c r="J89" s="27">
        <v>22483.270757323335</v>
      </c>
      <c r="K89" s="27">
        <v>45539.864321269823</v>
      </c>
      <c r="L89" s="27">
        <v>112375.75781729541</v>
      </c>
      <c r="M89" s="27">
        <v>221819.92220345265</v>
      </c>
    </row>
    <row r="90" spans="1:13" x14ac:dyDescent="0.75">
      <c r="A90" s="40">
        <v>88</v>
      </c>
      <c r="B90" s="27">
        <v>1115.4535970421275</v>
      </c>
      <c r="C90" s="27">
        <v>1625.5641973859601</v>
      </c>
      <c r="D90" s="27">
        <v>2470.5377440084267</v>
      </c>
      <c r="E90" s="27">
        <v>3473.011409010549</v>
      </c>
      <c r="F90" s="27">
        <v>5411.6048630762089</v>
      </c>
      <c r="G90" s="27">
        <v>8079.3345897854888</v>
      </c>
      <c r="H90" s="27">
        <v>11091.50407863193</v>
      </c>
      <c r="I90" s="27">
        <v>14672.488052928908</v>
      </c>
      <c r="J90" s="27">
        <v>24046.263396375027</v>
      </c>
      <c r="K90" s="27">
        <v>47346.422416577188</v>
      </c>
      <c r="L90" s="27">
        <v>116068.45282936044</v>
      </c>
      <c r="M90" s="27">
        <v>235400.63717418225</v>
      </c>
    </row>
    <row r="91" spans="1:13" x14ac:dyDescent="0.75">
      <c r="A91" s="40">
        <v>89</v>
      </c>
      <c r="B91" s="27">
        <v>808.88594100422051</v>
      </c>
      <c r="C91" s="27">
        <v>1474.8116874035186</v>
      </c>
      <c r="D91" s="27">
        <v>2370.5136154656211</v>
      </c>
      <c r="E91" s="27">
        <v>3519.1469713630795</v>
      </c>
      <c r="F91" s="27">
        <v>5333.4036675573443</v>
      </c>
      <c r="G91" s="27">
        <v>7950.136484315939</v>
      </c>
      <c r="H91" s="27">
        <v>10432.53331794111</v>
      </c>
      <c r="I91" s="27">
        <v>15116.494950384382</v>
      </c>
      <c r="J91" s="27">
        <v>23519.34606856975</v>
      </c>
      <c r="K91" s="27">
        <v>49883.786421552752</v>
      </c>
      <c r="L91" s="27">
        <v>104821.59537206017</v>
      </c>
      <c r="M91" s="27">
        <v>225230.65449761788</v>
      </c>
    </row>
    <row r="92" spans="1:13" x14ac:dyDescent="0.75">
      <c r="A92" s="40">
        <v>90</v>
      </c>
      <c r="B92" s="27">
        <v>575.36865302258229</v>
      </c>
      <c r="C92" s="27">
        <v>829.28170957174734</v>
      </c>
      <c r="D92" s="27">
        <v>1821.5990241428517</v>
      </c>
      <c r="E92" s="27">
        <v>2859.3319035059685</v>
      </c>
      <c r="F92" s="27">
        <v>4488.5000093388953</v>
      </c>
      <c r="G92" s="27">
        <v>6680.4984504056047</v>
      </c>
      <c r="H92" s="27">
        <v>9994.2920122541254</v>
      </c>
      <c r="I92" s="27">
        <v>13156.502531267615</v>
      </c>
      <c r="J92" s="27">
        <v>22108.617099976982</v>
      </c>
      <c r="K92" s="27">
        <v>47604.204041304591</v>
      </c>
      <c r="L92" s="27">
        <v>116668.08240254516</v>
      </c>
      <c r="M92" s="27">
        <v>226786.27783733612</v>
      </c>
    </row>
    <row r="93" spans="1:13" x14ac:dyDescent="0.75">
      <c r="A93" s="40">
        <v>91</v>
      </c>
      <c r="B93" s="27">
        <v>779.55086547076644</v>
      </c>
      <c r="C93" s="27">
        <v>1271.4252089376387</v>
      </c>
      <c r="D93" s="27">
        <v>2483.4449043111963</v>
      </c>
      <c r="E93" s="27">
        <v>3562.3451123299601</v>
      </c>
      <c r="F93" s="27">
        <v>5069.2490283891675</v>
      </c>
      <c r="G93" s="27">
        <v>7671.0605516068172</v>
      </c>
      <c r="H93" s="27">
        <v>10073.72982390759</v>
      </c>
      <c r="I93" s="27">
        <v>13949.65219614096</v>
      </c>
      <c r="J93" s="27">
        <v>21816.252604727604</v>
      </c>
      <c r="K93" s="27">
        <v>46446.240847433946</v>
      </c>
      <c r="L93" s="27">
        <v>108463.5818116317</v>
      </c>
      <c r="M93" s="27">
        <v>221586.53295488734</v>
      </c>
    </row>
    <row r="94" spans="1:13" x14ac:dyDescent="0.75">
      <c r="A94" s="40">
        <v>92</v>
      </c>
      <c r="B94" s="27">
        <v>679.19151395295921</v>
      </c>
      <c r="C94" s="27">
        <v>973.74038662835665</v>
      </c>
      <c r="D94" s="27">
        <v>2112.2489387555397</v>
      </c>
      <c r="E94" s="27">
        <v>3102.9609249432542</v>
      </c>
      <c r="F94" s="27">
        <v>4570.3272247113637</v>
      </c>
      <c r="G94" s="27">
        <v>7042.3357920967974</v>
      </c>
      <c r="H94" s="27">
        <v>9343.1360239767964</v>
      </c>
      <c r="I94" s="27">
        <v>13673.899244859611</v>
      </c>
      <c r="J94" s="27">
        <v>22721.098488988748</v>
      </c>
      <c r="K94" s="27">
        <v>43591.601579395036</v>
      </c>
      <c r="L94" s="27">
        <v>105023.8643268576</v>
      </c>
      <c r="M94" s="27">
        <v>212834.40444516606</v>
      </c>
    </row>
    <row r="95" spans="1:13" x14ac:dyDescent="0.75">
      <c r="A95" s="40">
        <v>93</v>
      </c>
      <c r="B95" s="27">
        <v>727.41872154767043</v>
      </c>
      <c r="C95" s="27">
        <v>1372.1799446000805</v>
      </c>
      <c r="D95" s="27">
        <v>2458.6645501573657</v>
      </c>
      <c r="E95" s="27">
        <v>3557.0416736488696</v>
      </c>
      <c r="F95" s="27">
        <v>5476.7148016524152</v>
      </c>
      <c r="G95" s="27">
        <v>8085.8421795140021</v>
      </c>
      <c r="H95" s="27">
        <v>10400.46837702069</v>
      </c>
      <c r="I95" s="27">
        <v>14505.353843479199</v>
      </c>
      <c r="J95" s="27">
        <v>24387.62388708358</v>
      </c>
      <c r="K95" s="27">
        <v>47811.138826799608</v>
      </c>
      <c r="L95" s="27">
        <v>115820.31377478217</v>
      </c>
      <c r="M95" s="27">
        <v>234602.76058028566</v>
      </c>
    </row>
    <row r="96" spans="1:13" x14ac:dyDescent="0.75">
      <c r="A96" s="40">
        <v>94</v>
      </c>
      <c r="B96" s="27">
        <v>1187.4534009161434</v>
      </c>
      <c r="C96" s="27">
        <v>1685.6431594012392</v>
      </c>
      <c r="D96" s="27">
        <v>2783.7983353388117</v>
      </c>
      <c r="E96" s="27">
        <v>3877.5151803580811</v>
      </c>
      <c r="F96" s="27">
        <v>5832.2480520802346</v>
      </c>
      <c r="G96" s="27">
        <v>8024.0266030778585</v>
      </c>
      <c r="H96" s="27">
        <v>11049.502727093466</v>
      </c>
      <c r="I96" s="27">
        <v>14071.725266912559</v>
      </c>
      <c r="J96" s="27">
        <v>24486.514509923902</v>
      </c>
      <c r="K96" s="27">
        <v>46072.793755851424</v>
      </c>
      <c r="L96" s="27">
        <v>103937.9469516181</v>
      </c>
      <c r="M96" s="27">
        <v>223009.1679425718</v>
      </c>
    </row>
    <row r="97" spans="1:13" x14ac:dyDescent="0.75">
      <c r="A97" s="40">
        <v>95</v>
      </c>
      <c r="B97" s="27">
        <v>289.00852746280725</v>
      </c>
      <c r="C97" s="27">
        <v>482.35814499876869</v>
      </c>
      <c r="D97" s="27">
        <v>1481.9827741225599</v>
      </c>
      <c r="E97" s="27">
        <v>2387.8430186707992</v>
      </c>
      <c r="F97" s="27">
        <v>3949.0809888599906</v>
      </c>
      <c r="G97" s="27">
        <v>6343.8397781901294</v>
      </c>
      <c r="H97" s="27">
        <v>9283.3079795721133</v>
      </c>
      <c r="I97" s="27">
        <v>13715.331187904434</v>
      </c>
      <c r="J97" s="27">
        <v>21947.270738554769</v>
      </c>
      <c r="K97" s="27">
        <v>46302.977309058915</v>
      </c>
      <c r="L97" s="27">
        <v>111177.46600090704</v>
      </c>
      <c r="M97" s="27">
        <v>217360.46644830232</v>
      </c>
    </row>
    <row r="98" spans="1:13" x14ac:dyDescent="0.75">
      <c r="A98" s="40">
        <v>96</v>
      </c>
      <c r="B98" s="27">
        <v>795.32543957822782</v>
      </c>
      <c r="C98" s="27">
        <v>1454.9383711759583</v>
      </c>
      <c r="D98" s="27">
        <v>2378.0725615567499</v>
      </c>
      <c r="E98" s="27">
        <v>4030.4038149257976</v>
      </c>
      <c r="F98" s="27">
        <v>6450.4890129216656</v>
      </c>
      <c r="G98" s="27">
        <v>8768.1720033493766</v>
      </c>
      <c r="H98" s="27">
        <v>11127.648953375145</v>
      </c>
      <c r="I98" s="27">
        <v>15891.399289791399</v>
      </c>
      <c r="J98" s="27">
        <v>24328.119110225671</v>
      </c>
      <c r="K98" s="27">
        <v>48141.488641898206</v>
      </c>
      <c r="L98" s="27">
        <v>114466.59969088627</v>
      </c>
      <c r="M98" s="27">
        <v>237832.65688968447</v>
      </c>
    </row>
    <row r="99" spans="1:13" x14ac:dyDescent="0.75">
      <c r="A99" s="40">
        <v>97</v>
      </c>
      <c r="B99" s="27">
        <v>748.55103504548606</v>
      </c>
      <c r="C99" s="27">
        <v>1350.309725490064</v>
      </c>
      <c r="D99" s="27">
        <v>2202.5933889023872</v>
      </c>
      <c r="E99" s="27">
        <v>3185.5761082408717</v>
      </c>
      <c r="F99" s="27">
        <v>5334.9508625377202</v>
      </c>
      <c r="G99" s="27">
        <v>7579.7582860942639</v>
      </c>
      <c r="H99" s="27">
        <v>10095.552711462165</v>
      </c>
      <c r="I99" s="27">
        <v>13580.843461359691</v>
      </c>
      <c r="J99" s="27">
        <v>23937.961407748153</v>
      </c>
      <c r="K99" s="27">
        <v>46992.173978979292</v>
      </c>
      <c r="L99" s="27">
        <v>118133.10929912693</v>
      </c>
      <c r="M99" s="27">
        <v>233141.380264987</v>
      </c>
    </row>
    <row r="100" spans="1:13" x14ac:dyDescent="0.75">
      <c r="A100" s="40">
        <v>98</v>
      </c>
      <c r="B100" s="27">
        <v>1082.3860497874848</v>
      </c>
      <c r="C100" s="27">
        <v>1782.9191810983903</v>
      </c>
      <c r="D100" s="27">
        <v>2967.0803853559628</v>
      </c>
      <c r="E100" s="27">
        <v>4227.2290419063793</v>
      </c>
      <c r="F100" s="27">
        <v>5949.3980953275168</v>
      </c>
      <c r="G100" s="27">
        <v>9203.7212688413565</v>
      </c>
      <c r="H100" s="27">
        <v>11747.520822469451</v>
      </c>
      <c r="I100" s="27">
        <v>14411.891455609992</v>
      </c>
      <c r="J100" s="27">
        <v>23464.013390334847</v>
      </c>
      <c r="K100" s="27">
        <v>46987.912401472044</v>
      </c>
      <c r="L100" s="27">
        <v>111103.25699493496</v>
      </c>
      <c r="M100" s="27">
        <v>232927.32908713838</v>
      </c>
    </row>
    <row r="101" spans="1:13" x14ac:dyDescent="0.75">
      <c r="A101" s="40">
        <v>99</v>
      </c>
      <c r="B101" s="27">
        <v>938.71490872376307</v>
      </c>
      <c r="C101" s="27">
        <v>1242.3295954854111</v>
      </c>
      <c r="D101" s="27">
        <v>2556.4185721844842</v>
      </c>
      <c r="E101" s="27">
        <v>3576.729093234695</v>
      </c>
      <c r="F101" s="27">
        <v>5749.0599852221203</v>
      </c>
      <c r="G101" s="27">
        <v>7854.1500142960285</v>
      </c>
      <c r="H101" s="27">
        <v>10509.150400158353</v>
      </c>
      <c r="I101" s="27">
        <v>14782.51141230925</v>
      </c>
      <c r="J101" s="27">
        <v>22281.963186756824</v>
      </c>
      <c r="K101" s="27">
        <v>48647.390567951079</v>
      </c>
      <c r="L101" s="27">
        <v>113977.82197215655</v>
      </c>
      <c r="M101" s="27">
        <v>232116.23970847856</v>
      </c>
    </row>
    <row r="102" spans="1:13" x14ac:dyDescent="0.75">
      <c r="A102" s="40">
        <v>100</v>
      </c>
      <c r="B102" s="27">
        <v>1038.6649651783518</v>
      </c>
      <c r="C102" s="27">
        <v>1638.2339192741347</v>
      </c>
      <c r="D102" s="27">
        <v>2866.4044873259991</v>
      </c>
      <c r="E102" s="27">
        <v>3921.2262842522759</v>
      </c>
      <c r="F102" s="27">
        <v>6122.6758728028217</v>
      </c>
      <c r="G102" s="27">
        <v>8336.7779175392934</v>
      </c>
      <c r="H102" s="27">
        <v>10900.319832274778</v>
      </c>
      <c r="I102" s="27">
        <v>15156.573755847086</v>
      </c>
      <c r="J102" s="27">
        <v>22941.012833297485</v>
      </c>
      <c r="K102" s="27">
        <v>46438.192850992273</v>
      </c>
      <c r="L102" s="27">
        <v>117335.34020273302</v>
      </c>
      <c r="M102" s="27">
        <v>236695.42292151751</v>
      </c>
    </row>
    <row r="103" spans="1:13" x14ac:dyDescent="0.75">
      <c r="A103" s="40">
        <v>101</v>
      </c>
      <c r="B103" s="27">
        <v>1222.3666827071283</v>
      </c>
      <c r="C103" s="27">
        <v>1782.142232788101</v>
      </c>
      <c r="D103" s="27">
        <v>2436.2567224079539</v>
      </c>
      <c r="E103" s="27">
        <v>3924.9592203430075</v>
      </c>
      <c r="F103" s="27">
        <v>5283.1600448685786</v>
      </c>
      <c r="G103" s="27">
        <v>7924.187866175751</v>
      </c>
      <c r="H103" s="27">
        <v>10433.075673833315</v>
      </c>
      <c r="I103" s="27">
        <v>14443.50721418098</v>
      </c>
      <c r="J103" s="27">
        <v>23838.271752597808</v>
      </c>
      <c r="K103" s="27">
        <v>46259.454692422558</v>
      </c>
      <c r="L103" s="27">
        <v>111368.32216898008</v>
      </c>
      <c r="M103" s="27">
        <v>228915.70427130527</v>
      </c>
    </row>
    <row r="104" spans="1:13" x14ac:dyDescent="0.75">
      <c r="A104" s="40">
        <v>102</v>
      </c>
      <c r="B104" s="27">
        <v>1126.0195024934073</v>
      </c>
      <c r="C104" s="27">
        <v>1734.2237496095768</v>
      </c>
      <c r="D104" s="27">
        <v>2681.3682093458774</v>
      </c>
      <c r="E104" s="27">
        <v>3580.2294459848927</v>
      </c>
      <c r="F104" s="27">
        <v>5211.0987765755417</v>
      </c>
      <c r="G104" s="27">
        <v>7502.4002035479643</v>
      </c>
      <c r="H104" s="27">
        <v>10278.869150322658</v>
      </c>
      <c r="I104" s="27">
        <v>14131.482850660745</v>
      </c>
      <c r="J104" s="27">
        <v>22774.483821187401</v>
      </c>
      <c r="K104" s="27">
        <v>47744.45104198948</v>
      </c>
      <c r="L104" s="27">
        <v>116415.56946436068</v>
      </c>
      <c r="M104" s="27">
        <v>233180.19621607824</v>
      </c>
    </row>
    <row r="105" spans="1:13" x14ac:dyDescent="0.75">
      <c r="A105" s="40">
        <v>103</v>
      </c>
      <c r="B105" s="27">
        <v>1108.1024727820186</v>
      </c>
      <c r="C105" s="27">
        <v>1837.2526760861365</v>
      </c>
      <c r="D105" s="27">
        <v>2743.6317983151239</v>
      </c>
      <c r="E105" s="27">
        <v>4227.2956028892222</v>
      </c>
      <c r="F105" s="27">
        <v>6196.2649336225149</v>
      </c>
      <c r="G105" s="27">
        <v>8416.9137614540523</v>
      </c>
      <c r="H105" s="27">
        <v>11644.252551715646</v>
      </c>
      <c r="I105" s="27">
        <v>15097.869522921043</v>
      </c>
      <c r="J105" s="27">
        <v>23959.407852908509</v>
      </c>
      <c r="K105" s="27">
        <v>48135.059918514395</v>
      </c>
      <c r="L105" s="27">
        <v>113284.36915028907</v>
      </c>
      <c r="M105" s="27">
        <v>236650.42024149775</v>
      </c>
    </row>
    <row r="106" spans="1:13" x14ac:dyDescent="0.75">
      <c r="A106" s="40">
        <v>104</v>
      </c>
      <c r="B106" s="27">
        <v>445.26660882488068</v>
      </c>
      <c r="C106" s="27">
        <v>738.98212963246624</v>
      </c>
      <c r="D106" s="27">
        <v>1587.3685960283474</v>
      </c>
      <c r="E106" s="27">
        <v>2375.6241046800569</v>
      </c>
      <c r="F106" s="27">
        <v>4173.8501319848292</v>
      </c>
      <c r="G106" s="27">
        <v>6578.4449118786433</v>
      </c>
      <c r="H106" s="27">
        <v>9143.5304359304137</v>
      </c>
      <c r="I106" s="27">
        <v>13559.832459975674</v>
      </c>
      <c r="J106" s="27">
        <v>21610.911335884812</v>
      </c>
      <c r="K106" s="27">
        <v>45259.609345222911</v>
      </c>
      <c r="L106" s="27">
        <v>116254.48599965175</v>
      </c>
      <c r="M106" s="27">
        <v>221727.90605969477</v>
      </c>
    </row>
    <row r="107" spans="1:13" x14ac:dyDescent="0.75">
      <c r="A107" s="40">
        <v>105</v>
      </c>
      <c r="B107" s="27">
        <v>933.4173291833722</v>
      </c>
      <c r="C107" s="27">
        <v>1417.7295835804689</v>
      </c>
      <c r="D107" s="27">
        <v>2187.526837776546</v>
      </c>
      <c r="E107" s="27">
        <v>3437.6105614257249</v>
      </c>
      <c r="F107" s="27">
        <v>5235.0115632290544</v>
      </c>
      <c r="G107" s="27">
        <v>7630.0843181957898</v>
      </c>
      <c r="H107" s="27">
        <v>10475.103659280285</v>
      </c>
      <c r="I107" s="27">
        <v>14923.814633336558</v>
      </c>
      <c r="J107" s="27">
        <v>23637.993295100183</v>
      </c>
      <c r="K107" s="27">
        <v>47381.885698559519</v>
      </c>
      <c r="L107" s="27">
        <v>114656.17052223327</v>
      </c>
      <c r="M107" s="27">
        <v>231916.34800190077</v>
      </c>
    </row>
    <row r="108" spans="1:13" x14ac:dyDescent="0.75">
      <c r="A108" s="40">
        <v>106</v>
      </c>
      <c r="B108" s="27">
        <v>532.1795400162664</v>
      </c>
      <c r="C108" s="27">
        <v>938.00565189425834</v>
      </c>
      <c r="D108" s="27">
        <v>1790.4390749274171</v>
      </c>
      <c r="E108" s="27">
        <v>3086.4120225477818</v>
      </c>
      <c r="F108" s="27">
        <v>5018.6501591613342</v>
      </c>
      <c r="G108" s="27">
        <v>6741.8561631348566</v>
      </c>
      <c r="H108" s="27">
        <v>8824.1352805581409</v>
      </c>
      <c r="I108" s="27">
        <v>12974.934253756903</v>
      </c>
      <c r="J108" s="27">
        <v>21934.359376432054</v>
      </c>
      <c r="K108" s="27">
        <v>45670.271360718805</v>
      </c>
      <c r="L108" s="27">
        <v>109747.08041196433</v>
      </c>
      <c r="M108" s="27">
        <v>217258.32329511215</v>
      </c>
    </row>
    <row r="109" spans="1:13" x14ac:dyDescent="0.75">
      <c r="A109" s="40">
        <v>107</v>
      </c>
      <c r="B109" s="27">
        <v>951.72697058426274</v>
      </c>
      <c r="C109" s="27">
        <v>1705.864623617279</v>
      </c>
      <c r="D109" s="27">
        <v>2568.1784146311838</v>
      </c>
      <c r="E109" s="27">
        <v>3521.1760718333389</v>
      </c>
      <c r="F109" s="27">
        <v>5615.4910806012631</v>
      </c>
      <c r="G109" s="27">
        <v>7692.789997997199</v>
      </c>
      <c r="H109" s="27">
        <v>9803.966497601883</v>
      </c>
      <c r="I109" s="27">
        <v>14105.077989504498</v>
      </c>
      <c r="J109" s="27">
        <v>22799.929854115209</v>
      </c>
      <c r="K109" s="27">
        <v>44654.774232881507</v>
      </c>
      <c r="L109" s="27">
        <v>118510.99238958827</v>
      </c>
      <c r="M109" s="27">
        <v>231929.96812295588</v>
      </c>
    </row>
    <row r="110" spans="1:13" x14ac:dyDescent="0.75">
      <c r="A110" s="40">
        <v>108</v>
      </c>
      <c r="B110" s="27">
        <v>868.68196850770619</v>
      </c>
      <c r="C110" s="27">
        <v>1322.4536903043045</v>
      </c>
      <c r="D110" s="27">
        <v>2203.3921122987376</v>
      </c>
      <c r="E110" s="27">
        <v>3100.9449068325339</v>
      </c>
      <c r="F110" s="27">
        <v>4772.2306615333655</v>
      </c>
      <c r="G110" s="27">
        <v>7025.2396764594014</v>
      </c>
      <c r="H110" s="27">
        <v>9393.988116297056</v>
      </c>
      <c r="I110" s="27">
        <v>13596.65999958021</v>
      </c>
      <c r="J110" s="27">
        <v>22136.401895456409</v>
      </c>
      <c r="K110" s="27">
        <v>44726.690667792645</v>
      </c>
      <c r="L110" s="27">
        <v>111856.46136870154</v>
      </c>
      <c r="M110" s="27">
        <v>221003.14506376389</v>
      </c>
    </row>
    <row r="111" spans="1:13" x14ac:dyDescent="0.75">
      <c r="A111" s="40">
        <v>109</v>
      </c>
      <c r="B111" s="27">
        <v>802.94017434463603</v>
      </c>
      <c r="C111" s="27">
        <v>1113.7247636867542</v>
      </c>
      <c r="D111" s="27">
        <v>1866.0770426849922</v>
      </c>
      <c r="E111" s="27">
        <v>2755.2193583878689</v>
      </c>
      <c r="F111" s="27">
        <v>4542.0904911192483</v>
      </c>
      <c r="G111" s="27">
        <v>6888.6774385758908</v>
      </c>
      <c r="H111" s="27">
        <v>9978.583779607492</v>
      </c>
      <c r="I111" s="27">
        <v>14119.618701247178</v>
      </c>
      <c r="J111" s="27">
        <v>22906.873123460857</v>
      </c>
      <c r="K111" s="27">
        <v>46749.474273081709</v>
      </c>
      <c r="L111" s="27">
        <v>106091.38022255531</v>
      </c>
      <c r="M111" s="27">
        <v>217814.65936875192</v>
      </c>
    </row>
    <row r="112" spans="1:13" x14ac:dyDescent="0.75">
      <c r="A112" s="40">
        <v>110</v>
      </c>
      <c r="B112" s="27">
        <v>1424.3799134841247</v>
      </c>
      <c r="C112" s="27">
        <v>1863.6620133106335</v>
      </c>
      <c r="D112" s="27">
        <v>2780.2526855904289</v>
      </c>
      <c r="E112" s="27">
        <v>3944.6543186390045</v>
      </c>
      <c r="F112" s="27">
        <v>5845.8836471462855</v>
      </c>
      <c r="G112" s="27">
        <v>8082.7066573897318</v>
      </c>
      <c r="H112" s="27">
        <v>10428.576847471151</v>
      </c>
      <c r="I112" s="27">
        <v>14630.112334081176</v>
      </c>
      <c r="J112" s="27">
        <v>25269.750508918602</v>
      </c>
      <c r="K112" s="27">
        <v>46344.935158372624</v>
      </c>
      <c r="L112" s="27">
        <v>116271.84752936423</v>
      </c>
      <c r="M112" s="27">
        <v>236886.761613768</v>
      </c>
    </row>
    <row r="113" spans="1:13" x14ac:dyDescent="0.75">
      <c r="A113" s="40">
        <v>111</v>
      </c>
      <c r="B113" s="27">
        <v>1169.9739165404026</v>
      </c>
      <c r="C113" s="27">
        <v>1721.1923706801608</v>
      </c>
      <c r="D113" s="27">
        <v>2833.6135619847773</v>
      </c>
      <c r="E113" s="27">
        <v>4211.1207715341297</v>
      </c>
      <c r="F113" s="27">
        <v>6270.8707603801886</v>
      </c>
      <c r="G113" s="27">
        <v>9240.5012470448564</v>
      </c>
      <c r="H113" s="27">
        <v>11823.900634332269</v>
      </c>
      <c r="I113" s="27">
        <v>16357.86415533023</v>
      </c>
      <c r="J113" s="27">
        <v>25835.57972065502</v>
      </c>
      <c r="K113" s="27">
        <v>48952.48691599119</v>
      </c>
      <c r="L113" s="27">
        <v>112021.56620909288</v>
      </c>
      <c r="M113" s="27">
        <v>240438.67026356611</v>
      </c>
    </row>
    <row r="114" spans="1:13" x14ac:dyDescent="0.75">
      <c r="A114" s="40">
        <v>112</v>
      </c>
      <c r="B114" s="27">
        <v>975.83218193279754</v>
      </c>
      <c r="C114" s="27">
        <v>1295.9131812113774</v>
      </c>
      <c r="D114" s="27">
        <v>2091.4853772301285</v>
      </c>
      <c r="E114" s="27">
        <v>3174.6034879011131</v>
      </c>
      <c r="F114" s="27">
        <v>4980.1768720295513</v>
      </c>
      <c r="G114" s="27">
        <v>7350.5572964297608</v>
      </c>
      <c r="H114" s="27">
        <v>9935.1957982094318</v>
      </c>
      <c r="I114" s="27">
        <v>14198.352024071777</v>
      </c>
      <c r="J114" s="27">
        <v>23460.006422783888</v>
      </c>
      <c r="K114" s="27">
        <v>48185.730472371404</v>
      </c>
      <c r="L114" s="27">
        <v>114168.31664684592</v>
      </c>
      <c r="M114" s="27">
        <v>229816.16976101714</v>
      </c>
    </row>
    <row r="115" spans="1:13" x14ac:dyDescent="0.75">
      <c r="A115" s="40">
        <v>113</v>
      </c>
      <c r="B115" s="27">
        <v>205.44099526430364</v>
      </c>
      <c r="C115" s="27">
        <v>628.03660060750553</v>
      </c>
      <c r="D115" s="27">
        <v>1258.5592978140339</v>
      </c>
      <c r="E115" s="27">
        <v>2244.7098876417876</v>
      </c>
      <c r="F115" s="27">
        <v>3595.7435554795811</v>
      </c>
      <c r="G115" s="27">
        <v>6440.4237675343466</v>
      </c>
      <c r="H115" s="27">
        <v>9070.7009924362501</v>
      </c>
      <c r="I115" s="27">
        <v>13320.285421287947</v>
      </c>
      <c r="J115" s="27">
        <v>21526.154549183615</v>
      </c>
      <c r="K115" s="27">
        <v>45180.851039245812</v>
      </c>
      <c r="L115" s="27">
        <v>112061.14664139057</v>
      </c>
      <c r="M115" s="27">
        <v>215532.05274788575</v>
      </c>
    </row>
    <row r="116" spans="1:13" x14ac:dyDescent="0.75">
      <c r="A116" s="40">
        <v>114</v>
      </c>
      <c r="B116" s="27">
        <v>930.51316488052544</v>
      </c>
      <c r="C116" s="27">
        <v>1382.485681969556</v>
      </c>
      <c r="D116" s="27">
        <v>2618.8465068035002</v>
      </c>
      <c r="E116" s="27">
        <v>3437.2837363849103</v>
      </c>
      <c r="F116" s="27">
        <v>5171.1240534010285</v>
      </c>
      <c r="G116" s="27">
        <v>7870.9709426820045</v>
      </c>
      <c r="H116" s="27">
        <v>10357.090985432238</v>
      </c>
      <c r="I116" s="27">
        <v>13643.531697436265</v>
      </c>
      <c r="J116" s="27">
        <v>22625.562546420231</v>
      </c>
      <c r="K116" s="27">
        <v>46710.726755075797</v>
      </c>
      <c r="L116" s="27">
        <v>104849.5904901653</v>
      </c>
      <c r="M116" s="27">
        <v>219597.72656065135</v>
      </c>
    </row>
    <row r="117" spans="1:13" x14ac:dyDescent="0.75">
      <c r="A117" s="40">
        <v>115</v>
      </c>
      <c r="B117" s="27">
        <v>602.11961530194094</v>
      </c>
      <c r="C117" s="27">
        <v>1321.4478543547302</v>
      </c>
      <c r="D117" s="27">
        <v>2147.343071439187</v>
      </c>
      <c r="E117" s="27">
        <v>3583.2532293957629</v>
      </c>
      <c r="F117" s="27">
        <v>5584.5715873768495</v>
      </c>
      <c r="G117" s="27">
        <v>7702.3418711516715</v>
      </c>
      <c r="H117" s="27">
        <v>10025.49523239948</v>
      </c>
      <c r="I117" s="27">
        <v>14633.222862995404</v>
      </c>
      <c r="J117" s="27">
        <v>23873.878371933926</v>
      </c>
      <c r="K117" s="27">
        <v>48471.156969117816</v>
      </c>
      <c r="L117" s="27">
        <v>110906.38290654265</v>
      </c>
      <c r="M117" s="27">
        <v>228851.21357200941</v>
      </c>
    </row>
    <row r="118" spans="1:13" x14ac:dyDescent="0.75">
      <c r="A118" s="40">
        <v>116</v>
      </c>
      <c r="B118" s="27">
        <v>649.1371961011755</v>
      </c>
      <c r="C118" s="27">
        <v>1088.6479522991431</v>
      </c>
      <c r="D118" s="27">
        <v>2056.817901956063</v>
      </c>
      <c r="E118" s="27">
        <v>3408.6242634806549</v>
      </c>
      <c r="F118" s="27">
        <v>5194.2192919881199</v>
      </c>
      <c r="G118" s="27">
        <v>7641.8210986878548</v>
      </c>
      <c r="H118" s="27">
        <v>10003.978275818939</v>
      </c>
      <c r="I118" s="27">
        <v>14455.589646414621</v>
      </c>
      <c r="J118" s="27">
        <v>21951.134781931003</v>
      </c>
      <c r="K118" s="27">
        <v>47628.167903102643</v>
      </c>
      <c r="L118" s="27">
        <v>115731.45836072968</v>
      </c>
      <c r="M118" s="27">
        <v>229809.59667250991</v>
      </c>
    </row>
    <row r="119" spans="1:13" x14ac:dyDescent="0.75">
      <c r="A119" s="40">
        <v>117</v>
      </c>
      <c r="B119" s="27">
        <v>1430.350536214828</v>
      </c>
      <c r="C119" s="27">
        <v>1997.377115247451</v>
      </c>
      <c r="D119" s="27">
        <v>3242.2856002641347</v>
      </c>
      <c r="E119" s="27">
        <v>4321.4259044246865</v>
      </c>
      <c r="F119" s="27">
        <v>6745.3976020607224</v>
      </c>
      <c r="G119" s="27">
        <v>9015.6329539025028</v>
      </c>
      <c r="H119" s="27">
        <v>11145.972812035223</v>
      </c>
      <c r="I119" s="27">
        <v>15129.130874507464</v>
      </c>
      <c r="J119" s="27">
        <v>23934.688617004736</v>
      </c>
      <c r="K119" s="27">
        <v>47608.054694796883</v>
      </c>
      <c r="L119" s="27">
        <v>111919.51524762085</v>
      </c>
      <c r="M119" s="27">
        <v>236489.83195807948</v>
      </c>
    </row>
    <row r="120" spans="1:13" x14ac:dyDescent="0.75">
      <c r="A120" s="40">
        <v>118</v>
      </c>
      <c r="B120" s="27">
        <v>517.49904705428344</v>
      </c>
      <c r="C120" s="27">
        <v>1029.8847539787967</v>
      </c>
      <c r="D120" s="27">
        <v>2039.6058292178495</v>
      </c>
      <c r="E120" s="27">
        <v>3304.8832701928768</v>
      </c>
      <c r="F120" s="27">
        <v>5217.3027682948159</v>
      </c>
      <c r="G120" s="27">
        <v>7915.9594454298203</v>
      </c>
      <c r="H120" s="27">
        <v>10030.504518494097</v>
      </c>
      <c r="I120" s="27">
        <v>14653.018783797874</v>
      </c>
      <c r="J120" s="27">
        <v>22908.567052994724</v>
      </c>
      <c r="K120" s="27">
        <v>45933.622985106122</v>
      </c>
      <c r="L120" s="27">
        <v>105543.22575841082</v>
      </c>
      <c r="M120" s="27">
        <v>219094.07421297207</v>
      </c>
    </row>
    <row r="121" spans="1:13" x14ac:dyDescent="0.75">
      <c r="A121" s="40">
        <v>119</v>
      </c>
      <c r="B121" s="27">
        <v>805.74585297264275</v>
      </c>
      <c r="C121" s="27">
        <v>1216.1113967927522</v>
      </c>
      <c r="D121" s="27">
        <v>2330.9334799278586</v>
      </c>
      <c r="E121" s="27">
        <v>3109.3728374862403</v>
      </c>
      <c r="F121" s="27">
        <v>5213.0260224427329</v>
      </c>
      <c r="G121" s="27">
        <v>7678.1343161588302</v>
      </c>
      <c r="H121" s="27">
        <v>11140.506448475702</v>
      </c>
      <c r="I121" s="27">
        <v>14911.055260473411</v>
      </c>
      <c r="J121" s="27">
        <v>23399.413831945654</v>
      </c>
      <c r="K121" s="27">
        <v>45753.737354032608</v>
      </c>
      <c r="L121" s="27">
        <v>105308.51008001316</v>
      </c>
      <c r="M121" s="27">
        <v>220866.54688072158</v>
      </c>
    </row>
    <row r="122" spans="1:13" x14ac:dyDescent="0.75">
      <c r="A122" s="40">
        <v>120</v>
      </c>
      <c r="B122" s="27">
        <v>1148.5019888085953</v>
      </c>
      <c r="C122" s="27">
        <v>1703.1959842358483</v>
      </c>
      <c r="D122" s="27">
        <v>2696.8505523765052</v>
      </c>
      <c r="E122" s="27">
        <v>3768.5370326591365</v>
      </c>
      <c r="F122" s="27">
        <v>5808.8888854011311</v>
      </c>
      <c r="G122" s="27">
        <v>8476.8438797522394</v>
      </c>
      <c r="H122" s="27">
        <v>10318.552215790158</v>
      </c>
      <c r="I122" s="27">
        <v>15228.963188005684</v>
      </c>
      <c r="J122" s="27">
        <v>24317.14495077639</v>
      </c>
      <c r="K122" s="27">
        <v>50709.570445448771</v>
      </c>
      <c r="L122" s="27">
        <v>107175.76062948885</v>
      </c>
      <c r="M122" s="27">
        <v>231352.80975274331</v>
      </c>
    </row>
    <row r="123" spans="1:13" x14ac:dyDescent="0.75">
      <c r="A123" s="40">
        <v>121</v>
      </c>
      <c r="B123" s="27">
        <v>741.47442571019928</v>
      </c>
      <c r="C123" s="27">
        <v>1074.2712348157802</v>
      </c>
      <c r="D123" s="27">
        <v>2042.937565588858</v>
      </c>
      <c r="E123" s="27">
        <v>3072.43009701134</v>
      </c>
      <c r="F123" s="27">
        <v>5070.5755745097995</v>
      </c>
      <c r="G123" s="27">
        <v>7177.8638090767781</v>
      </c>
      <c r="H123" s="27">
        <v>9621.0349525056372</v>
      </c>
      <c r="I123" s="27">
        <v>14357.885465314132</v>
      </c>
      <c r="J123" s="27">
        <v>23682.777838570924</v>
      </c>
      <c r="K123" s="27">
        <v>48160.823558479082</v>
      </c>
      <c r="L123" s="27">
        <v>114508.31478465785</v>
      </c>
      <c r="M123" s="27">
        <v>229510.38930624037</v>
      </c>
    </row>
    <row r="124" spans="1:13" x14ac:dyDescent="0.75">
      <c r="A124" s="40">
        <v>122</v>
      </c>
      <c r="B124" s="27">
        <v>797.42207292921375</v>
      </c>
      <c r="C124" s="27">
        <v>1491.1149969154794</v>
      </c>
      <c r="D124" s="27">
        <v>2319.4383718129684</v>
      </c>
      <c r="E124" s="27">
        <v>3211.7874107688986</v>
      </c>
      <c r="F124" s="27">
        <v>5414.0501878003415</v>
      </c>
      <c r="G124" s="27">
        <v>7974.5011225347407</v>
      </c>
      <c r="H124" s="27">
        <v>10617.142249725322</v>
      </c>
      <c r="I124" s="27">
        <v>14874.256325930939</v>
      </c>
      <c r="J124" s="27">
        <v>22699.530562945816</v>
      </c>
      <c r="K124" s="27">
        <v>47659.113509422808</v>
      </c>
      <c r="L124" s="27">
        <v>110234.15118204919</v>
      </c>
      <c r="M124" s="27">
        <v>227292.50799283572</v>
      </c>
    </row>
    <row r="125" spans="1:13" x14ac:dyDescent="0.75">
      <c r="A125" s="40">
        <v>123</v>
      </c>
      <c r="B125" s="27">
        <v>1381.5121638913697</v>
      </c>
      <c r="C125" s="27">
        <v>2164.3570755764522</v>
      </c>
      <c r="D125" s="27">
        <v>3114.3448222829466</v>
      </c>
      <c r="E125" s="27">
        <v>4029.9437132023741</v>
      </c>
      <c r="F125" s="27">
        <v>6105.7683747147239</v>
      </c>
      <c r="G125" s="27">
        <v>8968.1666233328579</v>
      </c>
      <c r="H125" s="27">
        <v>11099.677054516724</v>
      </c>
      <c r="I125" s="27">
        <v>15959.420104984049</v>
      </c>
      <c r="J125" s="27">
        <v>25812.484590612585</v>
      </c>
      <c r="K125" s="27">
        <v>48856.848446417935</v>
      </c>
      <c r="L125" s="27">
        <v>117871.12495437372</v>
      </c>
      <c r="M125" s="27">
        <v>245363.64792390575</v>
      </c>
    </row>
    <row r="126" spans="1:13" x14ac:dyDescent="0.75">
      <c r="A126" s="40">
        <v>124</v>
      </c>
      <c r="B126" s="27">
        <v>572.92388992730412</v>
      </c>
      <c r="C126" s="27">
        <v>1101.8022933860047</v>
      </c>
      <c r="D126" s="27">
        <v>1993.4494124800985</v>
      </c>
      <c r="E126" s="27">
        <v>3220.6001619873568</v>
      </c>
      <c r="F126" s="27">
        <v>4891.3360752684384</v>
      </c>
      <c r="G126" s="27">
        <v>7640.2987003662274</v>
      </c>
      <c r="H126" s="27">
        <v>10185.024311700836</v>
      </c>
      <c r="I126" s="27">
        <v>15475.31895173536</v>
      </c>
      <c r="J126" s="27">
        <v>24078.220187787389</v>
      </c>
      <c r="K126" s="27">
        <v>46460.370421277941</v>
      </c>
      <c r="L126" s="27">
        <v>107464.98453845987</v>
      </c>
      <c r="M126" s="27">
        <v>223084.32894437684</v>
      </c>
    </row>
    <row r="127" spans="1:13" x14ac:dyDescent="0.75">
      <c r="A127" s="40">
        <v>125</v>
      </c>
      <c r="B127" s="27">
        <v>898.2271106356493</v>
      </c>
      <c r="C127" s="27">
        <v>1778.8485953017953</v>
      </c>
      <c r="D127" s="27">
        <v>2619.1470796833455</v>
      </c>
      <c r="E127" s="27">
        <v>3773.1771012991812</v>
      </c>
      <c r="F127" s="27">
        <v>5543.0264806909836</v>
      </c>
      <c r="G127" s="27">
        <v>7985.5617307095672</v>
      </c>
      <c r="H127" s="27">
        <v>10831.742197360145</v>
      </c>
      <c r="I127" s="27">
        <v>14256.719016757561</v>
      </c>
      <c r="J127" s="27">
        <v>22607.352033097792</v>
      </c>
      <c r="K127" s="27">
        <v>44437.655555844132</v>
      </c>
      <c r="L127" s="27">
        <v>122498.75790403599</v>
      </c>
      <c r="M127" s="27">
        <v>237230.21480541612</v>
      </c>
    </row>
    <row r="128" spans="1:13" x14ac:dyDescent="0.75">
      <c r="A128" s="40">
        <v>126</v>
      </c>
      <c r="B128" s="27">
        <v>792.44775334144651</v>
      </c>
      <c r="C128" s="27">
        <v>1666.1967245588603</v>
      </c>
      <c r="D128" s="27">
        <v>2395.9024786552036</v>
      </c>
      <c r="E128" s="27">
        <v>3777.5328198462521</v>
      </c>
      <c r="F128" s="27">
        <v>5462.796347705822</v>
      </c>
      <c r="G128" s="27">
        <v>7544.6616172109207</v>
      </c>
      <c r="H128" s="27">
        <v>10990.638668888278</v>
      </c>
      <c r="I128" s="27">
        <v>14571.227208379118</v>
      </c>
      <c r="J128" s="27">
        <v>22860.169752412243</v>
      </c>
      <c r="K128" s="27">
        <v>47848.539495027013</v>
      </c>
      <c r="L128" s="27">
        <v>115215.57446611975</v>
      </c>
      <c r="M128" s="27">
        <v>233125.68733214491</v>
      </c>
    </row>
    <row r="129" spans="1:13" x14ac:dyDescent="0.75">
      <c r="A129" s="40">
        <v>127</v>
      </c>
      <c r="B129" s="27">
        <v>1159.7402863809111</v>
      </c>
      <c r="C129" s="27">
        <v>1723.2028152535786</v>
      </c>
      <c r="D129" s="27">
        <v>2608.4073446291877</v>
      </c>
      <c r="E129" s="27">
        <v>3800.050335707303</v>
      </c>
      <c r="F129" s="27">
        <v>5830.4122406435781</v>
      </c>
      <c r="G129" s="27">
        <v>8059.7790642108885</v>
      </c>
      <c r="H129" s="27">
        <v>11264.724597511056</v>
      </c>
      <c r="I129" s="27">
        <v>13900.986701829548</v>
      </c>
      <c r="J129" s="27">
        <v>23582.202568074557</v>
      </c>
      <c r="K129" s="27">
        <v>46073.845540926879</v>
      </c>
      <c r="L129" s="27">
        <v>112362.370509431</v>
      </c>
      <c r="M129" s="27">
        <v>230365.72200459847</v>
      </c>
    </row>
    <row r="130" spans="1:13" x14ac:dyDescent="0.75">
      <c r="A130" s="40">
        <v>128</v>
      </c>
      <c r="B130" s="27">
        <v>1019.6997661251808</v>
      </c>
      <c r="C130" s="27">
        <v>1728.8197682071914</v>
      </c>
      <c r="D130" s="27">
        <v>2361.9968886090937</v>
      </c>
      <c r="E130" s="27">
        <v>3208.8579386355268</v>
      </c>
      <c r="F130" s="27">
        <v>5387.0010433626012</v>
      </c>
      <c r="G130" s="27">
        <v>7790.3802962365444</v>
      </c>
      <c r="H130" s="27">
        <v>10126.467336769609</v>
      </c>
      <c r="I130" s="27">
        <v>13913.355788658679</v>
      </c>
      <c r="J130" s="27">
        <v>23209.769682877348</v>
      </c>
      <c r="K130" s="27">
        <v>48679.939182833099</v>
      </c>
      <c r="L130" s="27">
        <v>113937.54387315791</v>
      </c>
      <c r="M130" s="27">
        <v>231363.83156547276</v>
      </c>
    </row>
    <row r="131" spans="1:13" x14ac:dyDescent="0.75">
      <c r="A131" s="40">
        <v>129</v>
      </c>
      <c r="B131" s="27">
        <v>1112.1493961685628</v>
      </c>
      <c r="C131" s="27">
        <v>1632.3208996644535</v>
      </c>
      <c r="D131" s="27">
        <v>2795.2750228043442</v>
      </c>
      <c r="E131" s="27">
        <v>3819.7409345938941</v>
      </c>
      <c r="F131" s="27">
        <v>6014.5293121668801</v>
      </c>
      <c r="G131" s="27">
        <v>8805.479916544049</v>
      </c>
      <c r="H131" s="27">
        <v>11424.491789297157</v>
      </c>
      <c r="I131" s="27">
        <v>15029.659440187301</v>
      </c>
      <c r="J131" s="27">
        <v>24763.963442746841</v>
      </c>
      <c r="K131" s="27">
        <v>48623.264648312892</v>
      </c>
      <c r="L131" s="27">
        <v>114629.3254976398</v>
      </c>
      <c r="M131" s="27">
        <v>238650.20030012616</v>
      </c>
    </row>
    <row r="132" spans="1:13" x14ac:dyDescent="0.75">
      <c r="A132" s="40">
        <v>130</v>
      </c>
      <c r="B132" s="27">
        <v>775.94842701261223</v>
      </c>
      <c r="C132" s="27">
        <v>1346.4307711792353</v>
      </c>
      <c r="D132" s="27">
        <v>2136.4435284265492</v>
      </c>
      <c r="E132" s="27">
        <v>3150.9198179578671</v>
      </c>
      <c r="F132" s="27">
        <v>4923.1244018040306</v>
      </c>
      <c r="G132" s="27">
        <v>7049.3694979333086</v>
      </c>
      <c r="H132" s="27">
        <v>10078.820437394548</v>
      </c>
      <c r="I132" s="27">
        <v>14047.908099061358</v>
      </c>
      <c r="J132" s="27">
        <v>21796.29471236479</v>
      </c>
      <c r="K132" s="27">
        <v>45342.69367667698</v>
      </c>
      <c r="L132" s="27">
        <v>113671.47504617018</v>
      </c>
      <c r="M132" s="27">
        <v>224319.42841598147</v>
      </c>
    </row>
    <row r="133" spans="1:13" x14ac:dyDescent="0.75">
      <c r="A133" s="40">
        <v>131</v>
      </c>
      <c r="B133" s="27">
        <v>763.12409968301654</v>
      </c>
      <c r="C133" s="27">
        <v>1577.5938153495081</v>
      </c>
      <c r="D133" s="27">
        <v>2864.7576112192328</v>
      </c>
      <c r="E133" s="27">
        <v>3820.345324438822</v>
      </c>
      <c r="F133" s="27">
        <v>5965.3965214811033</v>
      </c>
      <c r="G133" s="27">
        <v>8792.952381637675</v>
      </c>
      <c r="H133" s="27">
        <v>11648.172571241419</v>
      </c>
      <c r="I133" s="27">
        <v>14795.960279601219</v>
      </c>
      <c r="J133" s="27">
        <v>25665.190741133207</v>
      </c>
      <c r="K133" s="27">
        <v>47908.253545512096</v>
      </c>
      <c r="L133" s="27">
        <v>113338.47460944846</v>
      </c>
      <c r="M133" s="27">
        <v>237140.22150074574</v>
      </c>
    </row>
    <row r="134" spans="1:13" x14ac:dyDescent="0.75">
      <c r="A134" s="40">
        <v>132</v>
      </c>
      <c r="B134" s="27">
        <v>817.66542240935087</v>
      </c>
      <c r="C134" s="27">
        <v>1241.9328223877965</v>
      </c>
      <c r="D134" s="27">
        <v>2100.3592103391711</v>
      </c>
      <c r="E134" s="27">
        <v>3329.4987055136444</v>
      </c>
      <c r="F134" s="27">
        <v>5102.6308252088202</v>
      </c>
      <c r="G134" s="27">
        <v>7802.5725464393036</v>
      </c>
      <c r="H134" s="27">
        <v>9753.7755264289008</v>
      </c>
      <c r="I134" s="27">
        <v>14029.069475412631</v>
      </c>
      <c r="J134" s="27">
        <v>22702.614470758359</v>
      </c>
      <c r="K134" s="27">
        <v>46437.008569693804</v>
      </c>
      <c r="L134" s="27">
        <v>109282.15395956303</v>
      </c>
      <c r="M134" s="27">
        <v>222599.28153415481</v>
      </c>
    </row>
    <row r="135" spans="1:13" x14ac:dyDescent="0.75">
      <c r="A135" s="40">
        <v>133</v>
      </c>
      <c r="B135" s="27">
        <v>1140.1721005865838</v>
      </c>
      <c r="C135" s="27">
        <v>1721.3116466804495</v>
      </c>
      <c r="D135" s="27">
        <v>2615.8228014733613</v>
      </c>
      <c r="E135" s="27">
        <v>3861.1672675331938</v>
      </c>
      <c r="F135" s="27">
        <v>6291.3558969875448</v>
      </c>
      <c r="G135" s="27">
        <v>8325.0097843343683</v>
      </c>
      <c r="H135" s="27">
        <v>11430.25192183863</v>
      </c>
      <c r="I135" s="27">
        <v>15594.845433105322</v>
      </c>
      <c r="J135" s="27">
        <v>24486.311275041458</v>
      </c>
      <c r="K135" s="27">
        <v>48456.140363163955</v>
      </c>
      <c r="L135" s="27">
        <v>122390.71593383337</v>
      </c>
      <c r="M135" s="27">
        <v>246313.10442457825</v>
      </c>
    </row>
    <row r="136" spans="1:13" x14ac:dyDescent="0.75">
      <c r="A136" s="40">
        <v>134</v>
      </c>
      <c r="B136" s="27">
        <v>480.0720692750765</v>
      </c>
      <c r="C136" s="27">
        <v>1041.3991938374529</v>
      </c>
      <c r="D136" s="27">
        <v>2148.6839429489337</v>
      </c>
      <c r="E136" s="27">
        <v>3065.4220932911703</v>
      </c>
      <c r="F136" s="27">
        <v>4907.129238961701</v>
      </c>
      <c r="G136" s="27">
        <v>7562.0662526709202</v>
      </c>
      <c r="H136" s="27">
        <v>9779.8259089385101</v>
      </c>
      <c r="I136" s="27">
        <v>14088.770956198292</v>
      </c>
      <c r="J136" s="27">
        <v>23132.955107800663</v>
      </c>
      <c r="K136" s="27">
        <v>46868.437100165014</v>
      </c>
      <c r="L136" s="27">
        <v>108073.31869962273</v>
      </c>
      <c r="M136" s="27">
        <v>221148.08056371048</v>
      </c>
    </row>
    <row r="137" spans="1:13" x14ac:dyDescent="0.75">
      <c r="A137" s="40">
        <v>135</v>
      </c>
      <c r="B137" s="27">
        <v>972.30722723119834</v>
      </c>
      <c r="C137" s="27">
        <v>1492.0144600669155</v>
      </c>
      <c r="D137" s="27">
        <v>2103.6838165954687</v>
      </c>
      <c r="E137" s="27">
        <v>3684.9385517314367</v>
      </c>
      <c r="F137" s="27">
        <v>5565.9559436736163</v>
      </c>
      <c r="G137" s="27">
        <v>7864.2053786857578</v>
      </c>
      <c r="H137" s="27">
        <v>10478.269349861803</v>
      </c>
      <c r="I137" s="27">
        <v>14988.735573947735</v>
      </c>
      <c r="J137" s="27">
        <v>23931.283680010063</v>
      </c>
      <c r="K137" s="27">
        <v>48342.654907850985</v>
      </c>
      <c r="L137" s="27">
        <v>118414.33964805305</v>
      </c>
      <c r="M137" s="27">
        <v>237838.38853770803</v>
      </c>
    </row>
    <row r="138" spans="1:13" x14ac:dyDescent="0.75">
      <c r="A138" s="40">
        <v>136</v>
      </c>
      <c r="B138" s="27">
        <v>767.32111104983778</v>
      </c>
      <c r="C138" s="27">
        <v>1570.5285580933414</v>
      </c>
      <c r="D138" s="27">
        <v>2401.6046337856533</v>
      </c>
      <c r="E138" s="27">
        <v>3746.9103834505077</v>
      </c>
      <c r="F138" s="27">
        <v>5569.6260544977558</v>
      </c>
      <c r="G138" s="27">
        <v>8108.8757748100907</v>
      </c>
      <c r="H138" s="27">
        <v>10459.578512076492</v>
      </c>
      <c r="I138" s="27">
        <v>14535.934071224707</v>
      </c>
      <c r="J138" s="27">
        <v>23561.597111440133</v>
      </c>
      <c r="K138" s="27">
        <v>45776.659192803229</v>
      </c>
      <c r="L138" s="27">
        <v>104662.0451470944</v>
      </c>
      <c r="M138" s="27">
        <v>221160.68055032613</v>
      </c>
    </row>
    <row r="139" spans="1:13" x14ac:dyDescent="0.75">
      <c r="A139" s="40">
        <v>137</v>
      </c>
      <c r="B139" s="27">
        <v>720.19738950092869</v>
      </c>
      <c r="C139" s="27">
        <v>1516.1437047908257</v>
      </c>
      <c r="D139" s="27">
        <v>2458.9211105092836</v>
      </c>
      <c r="E139" s="27">
        <v>3306.4417186475766</v>
      </c>
      <c r="F139" s="27">
        <v>5609.8804561502475</v>
      </c>
      <c r="G139" s="27">
        <v>8033.4346762184286</v>
      </c>
      <c r="H139" s="27">
        <v>10824.104555448721</v>
      </c>
      <c r="I139" s="27">
        <v>14276.681703869777</v>
      </c>
      <c r="J139" s="27">
        <v>24826.60250584234</v>
      </c>
      <c r="K139" s="27">
        <v>48513.748424905789</v>
      </c>
      <c r="L139" s="27">
        <v>114060.73968937149</v>
      </c>
      <c r="M139" s="27">
        <v>234146.89593525539</v>
      </c>
    </row>
    <row r="140" spans="1:13" x14ac:dyDescent="0.75">
      <c r="A140" s="40">
        <v>138</v>
      </c>
      <c r="B140" s="27">
        <v>1218.2523992643546</v>
      </c>
      <c r="C140" s="27">
        <v>1887.6477731459599</v>
      </c>
      <c r="D140" s="27">
        <v>2934.0595472009154</v>
      </c>
      <c r="E140" s="27">
        <v>4273.7354441260541</v>
      </c>
      <c r="F140" s="27">
        <v>6404.1658463567728</v>
      </c>
      <c r="G140" s="27">
        <v>8676.4730360056565</v>
      </c>
      <c r="H140" s="27">
        <v>12037.317552630499</v>
      </c>
      <c r="I140" s="27">
        <v>16375.986954980806</v>
      </c>
      <c r="J140" s="27">
        <v>25079.352803754227</v>
      </c>
      <c r="K140" s="27">
        <v>50506.809865631789</v>
      </c>
      <c r="L140" s="27">
        <v>115399.92975047158</v>
      </c>
      <c r="M140" s="27">
        <v>244793.73097356863</v>
      </c>
    </row>
    <row r="141" spans="1:13" x14ac:dyDescent="0.75">
      <c r="A141" s="40">
        <v>139</v>
      </c>
      <c r="B141" s="27">
        <v>705.03698213044845</v>
      </c>
      <c r="C141" s="27">
        <v>1262.000425777951</v>
      </c>
      <c r="D141" s="27">
        <v>1911.3718391710136</v>
      </c>
      <c r="E141" s="27">
        <v>2899.9772819079662</v>
      </c>
      <c r="F141" s="27">
        <v>4772.1619375982409</v>
      </c>
      <c r="G141" s="27">
        <v>7352.6353203390026</v>
      </c>
      <c r="H141" s="27">
        <v>9816.2787310154526</v>
      </c>
      <c r="I141" s="27">
        <v>13556.975041160113</v>
      </c>
      <c r="J141" s="27">
        <v>22959.593121178317</v>
      </c>
      <c r="K141" s="27">
        <v>46549.963178287435</v>
      </c>
      <c r="L141" s="27">
        <v>107490.41011459756</v>
      </c>
      <c r="M141" s="27">
        <v>219276.40397316351</v>
      </c>
    </row>
    <row r="142" spans="1:13" x14ac:dyDescent="0.75">
      <c r="A142" s="40">
        <v>140</v>
      </c>
      <c r="B142" s="27">
        <v>1229.8317068269971</v>
      </c>
      <c r="C142" s="27">
        <v>1822.0364194492577</v>
      </c>
      <c r="D142" s="27">
        <v>2924.0337365872256</v>
      </c>
      <c r="E142" s="27">
        <v>3827.4022601587349</v>
      </c>
      <c r="F142" s="27">
        <v>5858.2282192229177</v>
      </c>
      <c r="G142" s="27">
        <v>8095.763215029292</v>
      </c>
      <c r="H142" s="27">
        <v>11086.794942618144</v>
      </c>
      <c r="I142" s="27">
        <v>14229.939468052893</v>
      </c>
      <c r="J142" s="27">
        <v>24384.712897096761</v>
      </c>
      <c r="K142" s="27">
        <v>46924.807198165436</v>
      </c>
      <c r="L142" s="27">
        <v>115173.67627219101</v>
      </c>
      <c r="M142" s="27">
        <v>235557.22633539868</v>
      </c>
    </row>
    <row r="143" spans="1:13" x14ac:dyDescent="0.75">
      <c r="A143" s="40">
        <v>141</v>
      </c>
      <c r="B143" s="27">
        <v>1213.5866949877236</v>
      </c>
      <c r="C143" s="27">
        <v>1655.8217503038904</v>
      </c>
      <c r="D143" s="27">
        <v>2659.5003998356842</v>
      </c>
      <c r="E143" s="27">
        <v>3691.6142694626324</v>
      </c>
      <c r="F143" s="27">
        <v>5504.9706705531571</v>
      </c>
      <c r="G143" s="27">
        <v>8137.4768776890123</v>
      </c>
      <c r="H143" s="27">
        <v>10601.502581034438</v>
      </c>
      <c r="I143" s="27">
        <v>13981.483312536482</v>
      </c>
      <c r="J143" s="27">
        <v>23936.45107843139</v>
      </c>
      <c r="K143" s="27">
        <v>47824.490547565598</v>
      </c>
      <c r="L143" s="27">
        <v>114964.02406823811</v>
      </c>
      <c r="M143" s="27">
        <v>234170.92225063813</v>
      </c>
    </row>
    <row r="144" spans="1:13" x14ac:dyDescent="0.75">
      <c r="A144" s="40">
        <v>142</v>
      </c>
      <c r="B144" s="27">
        <v>673.01172429899452</v>
      </c>
      <c r="C144" s="27">
        <v>1214.5698529799702</v>
      </c>
      <c r="D144" s="27">
        <v>2266.5503695908119</v>
      </c>
      <c r="E144" s="27">
        <v>3343.035629151389</v>
      </c>
      <c r="F144" s="27">
        <v>4792.1061125501437</v>
      </c>
      <c r="G144" s="27">
        <v>6718.8372792864102</v>
      </c>
      <c r="H144" s="27">
        <v>8948.3261872769217</v>
      </c>
      <c r="I144" s="27">
        <v>13542.413995129027</v>
      </c>
      <c r="J144" s="27">
        <v>21801.035322582407</v>
      </c>
      <c r="K144" s="27">
        <v>45863.555769878818</v>
      </c>
      <c r="L144" s="27">
        <v>104794.88872874297</v>
      </c>
      <c r="M144" s="27">
        <v>213958.33097146786</v>
      </c>
    </row>
    <row r="145" spans="1:13" x14ac:dyDescent="0.75">
      <c r="A145" s="40">
        <v>143</v>
      </c>
      <c r="B145" s="27">
        <v>419.53986549917317</v>
      </c>
      <c r="C145" s="27">
        <v>1011.4152991050505</v>
      </c>
      <c r="D145" s="27">
        <v>2075.7333578769903</v>
      </c>
      <c r="E145" s="27">
        <v>3029.4661933168099</v>
      </c>
      <c r="F145" s="27">
        <v>5131.0599629673525</v>
      </c>
      <c r="G145" s="27">
        <v>7096.0409389967681</v>
      </c>
      <c r="H145" s="27">
        <v>9807.128285826635</v>
      </c>
      <c r="I145" s="27">
        <v>13375.876885389589</v>
      </c>
      <c r="J145" s="27">
        <v>22072.524565068379</v>
      </c>
      <c r="K145" s="27">
        <v>44401.008912201476</v>
      </c>
      <c r="L145" s="27">
        <v>112781.19414395442</v>
      </c>
      <c r="M145" s="27">
        <v>221200.98841020264</v>
      </c>
    </row>
    <row r="146" spans="1:13" x14ac:dyDescent="0.75">
      <c r="A146" s="40">
        <v>144</v>
      </c>
      <c r="B146" s="27">
        <v>761.65139507957792</v>
      </c>
      <c r="C146" s="27">
        <v>1149.3296080794971</v>
      </c>
      <c r="D146" s="27">
        <v>1954.2221325193677</v>
      </c>
      <c r="E146" s="27">
        <v>2740.0987121191283</v>
      </c>
      <c r="F146" s="27">
        <v>4747.7429812970513</v>
      </c>
      <c r="G146" s="27">
        <v>7390.349604580726</v>
      </c>
      <c r="H146" s="27">
        <v>9386.9892504517775</v>
      </c>
      <c r="I146" s="27">
        <v>13233.613292888724</v>
      </c>
      <c r="J146" s="27">
        <v>22774.816078160453</v>
      </c>
      <c r="K146" s="27">
        <v>47821.270805707289</v>
      </c>
      <c r="L146" s="27">
        <v>110724.16819751797</v>
      </c>
      <c r="M146" s="27">
        <v>222684.25205840156</v>
      </c>
    </row>
    <row r="147" spans="1:13" x14ac:dyDescent="0.75">
      <c r="A147" s="40">
        <v>145</v>
      </c>
      <c r="B147" s="27">
        <v>473.20461134334619</v>
      </c>
      <c r="C147" s="27">
        <v>982.47063525640988</v>
      </c>
      <c r="D147" s="27">
        <v>1697.3835395826172</v>
      </c>
      <c r="E147" s="27">
        <v>2879.6074482731638</v>
      </c>
      <c r="F147" s="27">
        <v>4661.8099361913191</v>
      </c>
      <c r="G147" s="27">
        <v>6748.5699694938085</v>
      </c>
      <c r="H147" s="27">
        <v>9890.3242772690137</v>
      </c>
      <c r="I147" s="27">
        <v>13800.626586974453</v>
      </c>
      <c r="J147" s="27">
        <v>23805.724641118431</v>
      </c>
      <c r="K147" s="27">
        <v>47040.312969779479</v>
      </c>
      <c r="L147" s="27">
        <v>112967.0051923061</v>
      </c>
      <c r="M147" s="27">
        <v>224947.03980758815</v>
      </c>
    </row>
    <row r="148" spans="1:13" x14ac:dyDescent="0.75">
      <c r="A148" s="40">
        <v>146</v>
      </c>
      <c r="B148" s="27">
        <v>1221.9876529206522</v>
      </c>
      <c r="C148" s="27">
        <v>1521.9766520412231</v>
      </c>
      <c r="D148" s="27">
        <v>2277.7333949727326</v>
      </c>
      <c r="E148" s="27">
        <v>3346.17244572239</v>
      </c>
      <c r="F148" s="27">
        <v>5179.0545774117345</v>
      </c>
      <c r="G148" s="27">
        <v>7341.6625186699093</v>
      </c>
      <c r="H148" s="27">
        <v>10027.259519977204</v>
      </c>
      <c r="I148" s="27">
        <v>14109.790755149035</v>
      </c>
      <c r="J148" s="27">
        <v>23826.916094507251</v>
      </c>
      <c r="K148" s="27">
        <v>48164.721668012731</v>
      </c>
      <c r="L148" s="27">
        <v>113472.09073978727</v>
      </c>
      <c r="M148" s="27">
        <v>230489.36601917213</v>
      </c>
    </row>
    <row r="149" spans="1:13" x14ac:dyDescent="0.75">
      <c r="A149" s="40">
        <v>147</v>
      </c>
      <c r="B149" s="27">
        <v>1063.0595097234036</v>
      </c>
      <c r="C149" s="27">
        <v>1508.3075668153469</v>
      </c>
      <c r="D149" s="27">
        <v>2271.841011712022</v>
      </c>
      <c r="E149" s="27">
        <v>3189.308999465633</v>
      </c>
      <c r="F149" s="27">
        <v>5482.0943365602288</v>
      </c>
      <c r="G149" s="27">
        <v>7428.9602351077774</v>
      </c>
      <c r="H149" s="27">
        <v>9484.3382564207277</v>
      </c>
      <c r="I149" s="27">
        <v>14697.135898274646</v>
      </c>
      <c r="J149" s="27">
        <v>24394.666650629719</v>
      </c>
      <c r="K149" s="27">
        <v>48354.222575998021</v>
      </c>
      <c r="L149" s="27">
        <v>114994.25311486208</v>
      </c>
      <c r="M149" s="27">
        <v>232868.1881555696</v>
      </c>
    </row>
    <row r="150" spans="1:13" x14ac:dyDescent="0.75">
      <c r="A150" s="40">
        <v>148</v>
      </c>
      <c r="B150" s="27">
        <v>805.72169293780462</v>
      </c>
      <c r="C150" s="27">
        <v>1179.8326315833983</v>
      </c>
      <c r="D150" s="27">
        <v>2060.1835471311351</v>
      </c>
      <c r="E150" s="27">
        <v>3480.9876190970535</v>
      </c>
      <c r="F150" s="27">
        <v>4942.2548870667233</v>
      </c>
      <c r="G150" s="27">
        <v>7191.6526784966991</v>
      </c>
      <c r="H150" s="27">
        <v>9637.2813863147749</v>
      </c>
      <c r="I150" s="27">
        <v>13444.063680506748</v>
      </c>
      <c r="J150" s="27">
        <v>22632.996310229937</v>
      </c>
      <c r="K150" s="27">
        <v>42858.43163498833</v>
      </c>
      <c r="L150" s="27">
        <v>112160.94869855167</v>
      </c>
      <c r="M150" s="27">
        <v>220394.35476690426</v>
      </c>
    </row>
    <row r="151" spans="1:13" x14ac:dyDescent="0.75">
      <c r="A151" s="40">
        <v>149</v>
      </c>
      <c r="B151" s="27">
        <v>1128.9981344322732</v>
      </c>
      <c r="C151" s="27">
        <v>1815.0444665132964</v>
      </c>
      <c r="D151" s="27">
        <v>2534.8081385554397</v>
      </c>
      <c r="E151" s="27">
        <v>3624.3904227643943</v>
      </c>
      <c r="F151" s="27">
        <v>5159.6926450979372</v>
      </c>
      <c r="G151" s="27">
        <v>7501.5278439268295</v>
      </c>
      <c r="H151" s="27">
        <v>9456.6346774948761</v>
      </c>
      <c r="I151" s="27">
        <v>15016.193591679155</v>
      </c>
      <c r="J151" s="27">
        <v>23350.283601906558</v>
      </c>
      <c r="K151" s="27">
        <v>48563.395652173669</v>
      </c>
      <c r="L151" s="27">
        <v>115283.21797029788</v>
      </c>
      <c r="M151" s="27">
        <v>233434.18714484229</v>
      </c>
    </row>
    <row r="152" spans="1:13" x14ac:dyDescent="0.75">
      <c r="A152" s="40">
        <v>150</v>
      </c>
      <c r="B152" s="27">
        <v>1057.9035864553589</v>
      </c>
      <c r="C152" s="27">
        <v>1482.6571729347052</v>
      </c>
      <c r="D152" s="27">
        <v>2313.8712139441195</v>
      </c>
      <c r="E152" s="27">
        <v>3310.4361524282285</v>
      </c>
      <c r="F152" s="27">
        <v>5486.8305927740294</v>
      </c>
      <c r="G152" s="27">
        <v>7691.3876726496383</v>
      </c>
      <c r="H152" s="27">
        <v>10049.760121491548</v>
      </c>
      <c r="I152" s="27">
        <v>14630.971497482868</v>
      </c>
      <c r="J152" s="27">
        <v>23431.61528926139</v>
      </c>
      <c r="K152" s="27">
        <v>45870.504271589569</v>
      </c>
      <c r="L152" s="27">
        <v>106633.26602132891</v>
      </c>
      <c r="M152" s="27">
        <v>221959.20359234035</v>
      </c>
    </row>
    <row r="153" spans="1:13" x14ac:dyDescent="0.75">
      <c r="A153" s="40">
        <v>151</v>
      </c>
      <c r="B153" s="27">
        <v>970.31039198990038</v>
      </c>
      <c r="C153" s="27">
        <v>1546.236816959412</v>
      </c>
      <c r="D153" s="27">
        <v>2303.4407778091263</v>
      </c>
      <c r="E153" s="27">
        <v>3423.7381813542015</v>
      </c>
      <c r="F153" s="27">
        <v>5329.1562776557694</v>
      </c>
      <c r="G153" s="27">
        <v>7450.0690249912732</v>
      </c>
      <c r="H153" s="27">
        <v>10037.102827230294</v>
      </c>
      <c r="I153" s="27">
        <v>14054.01523407796</v>
      </c>
      <c r="J153" s="27">
        <v>22663.220920377658</v>
      </c>
      <c r="K153" s="27">
        <v>47088.133314576902</v>
      </c>
      <c r="L153" s="27">
        <v>114218.88568390215</v>
      </c>
      <c r="M153" s="27">
        <v>229084.30945092463</v>
      </c>
    </row>
    <row r="154" spans="1:13" x14ac:dyDescent="0.75">
      <c r="A154" s="40">
        <v>152</v>
      </c>
      <c r="B154" s="27">
        <v>1115.0359639328672</v>
      </c>
      <c r="C154" s="27">
        <v>1617.527886500422</v>
      </c>
      <c r="D154" s="27">
        <v>2545.5597737558419</v>
      </c>
      <c r="E154" s="27">
        <v>4116.0170640556898</v>
      </c>
      <c r="F154" s="27">
        <v>5772.8264262731827</v>
      </c>
      <c r="G154" s="27">
        <v>8031.6522806231806</v>
      </c>
      <c r="H154" s="27">
        <v>10747.806652170577</v>
      </c>
      <c r="I154" s="27">
        <v>15107.592941125433</v>
      </c>
      <c r="J154" s="27">
        <v>22973.192994144323</v>
      </c>
      <c r="K154" s="27">
        <v>45675.062610520748</v>
      </c>
      <c r="L154" s="27">
        <v>116827.13460442414</v>
      </c>
      <c r="M154" s="27">
        <v>234529.4091975264</v>
      </c>
    </row>
    <row r="155" spans="1:13" x14ac:dyDescent="0.75">
      <c r="A155" s="40">
        <v>153</v>
      </c>
      <c r="B155" s="27">
        <v>270.20963045769895</v>
      </c>
      <c r="C155" s="27">
        <v>881.40911076994962</v>
      </c>
      <c r="D155" s="27">
        <v>1953.2979294845718</v>
      </c>
      <c r="E155" s="27">
        <v>2880.9749398027925</v>
      </c>
      <c r="F155" s="27">
        <v>5069.6390702466597</v>
      </c>
      <c r="G155" s="27">
        <v>7369.7693381413992</v>
      </c>
      <c r="H155" s="27">
        <v>10476.383946174639</v>
      </c>
      <c r="I155" s="27">
        <v>13871.232952969469</v>
      </c>
      <c r="J155" s="27">
        <v>23039.54480827412</v>
      </c>
      <c r="K155" s="27">
        <v>48002.841834266554</v>
      </c>
      <c r="L155" s="27">
        <v>106610.35030794138</v>
      </c>
      <c r="M155" s="27">
        <v>220425.65386852925</v>
      </c>
    </row>
    <row r="156" spans="1:13" x14ac:dyDescent="0.75">
      <c r="A156" s="40">
        <v>154</v>
      </c>
      <c r="B156" s="27">
        <v>734.71650274696003</v>
      </c>
      <c r="C156" s="27">
        <v>1271.5235726154788</v>
      </c>
      <c r="D156" s="27">
        <v>2190.1004250062542</v>
      </c>
      <c r="E156" s="27">
        <v>3516.9751929038321</v>
      </c>
      <c r="F156" s="27">
        <v>5087.3380054144363</v>
      </c>
      <c r="G156" s="27">
        <v>7236.3069235770963</v>
      </c>
      <c r="H156" s="27">
        <v>10275.698554704184</v>
      </c>
      <c r="I156" s="27">
        <v>14373.050527086496</v>
      </c>
      <c r="J156" s="27">
        <v>23014.883131967741</v>
      </c>
      <c r="K156" s="27">
        <v>46706.770055996822</v>
      </c>
      <c r="L156" s="27">
        <v>107627.17697569235</v>
      </c>
      <c r="M156" s="27">
        <v>222034.53986771166</v>
      </c>
    </row>
    <row r="157" spans="1:13" x14ac:dyDescent="0.75">
      <c r="A157" s="40">
        <v>155</v>
      </c>
      <c r="B157" s="27">
        <v>797.29875678587996</v>
      </c>
      <c r="C157" s="27">
        <v>1178.8411304187903</v>
      </c>
      <c r="D157" s="27">
        <v>2194.0534349629015</v>
      </c>
      <c r="E157" s="27">
        <v>3246.2170601999387</v>
      </c>
      <c r="F157" s="27">
        <v>5024.3912934616674</v>
      </c>
      <c r="G157" s="27">
        <v>7845.238085830817</v>
      </c>
      <c r="H157" s="27">
        <v>10276.405601392995</v>
      </c>
      <c r="I157" s="27">
        <v>14612.771099475824</v>
      </c>
      <c r="J157" s="27">
        <v>22991.225358918338</v>
      </c>
      <c r="K157" s="27">
        <v>46025.256687501242</v>
      </c>
      <c r="L157" s="27">
        <v>107315.6802906704</v>
      </c>
      <c r="M157" s="27">
        <v>221507.3787996188</v>
      </c>
    </row>
    <row r="158" spans="1:13" x14ac:dyDescent="0.75">
      <c r="A158" s="40">
        <v>156</v>
      </c>
      <c r="B158" s="27">
        <v>1106.4201712072099</v>
      </c>
      <c r="C158" s="27">
        <v>1534.8674994513567</v>
      </c>
      <c r="D158" s="27">
        <v>2430.640675710456</v>
      </c>
      <c r="E158" s="27">
        <v>3624.9900537307403</v>
      </c>
      <c r="F158" s="27">
        <v>5913.520308372099</v>
      </c>
      <c r="G158" s="27">
        <v>8393.58294136927</v>
      </c>
      <c r="H158" s="27">
        <v>11054.649253601907</v>
      </c>
      <c r="I158" s="27">
        <v>15005.942371937068</v>
      </c>
      <c r="J158" s="27">
        <v>23046.714913859061</v>
      </c>
      <c r="K158" s="27">
        <v>47791.091763352539</v>
      </c>
      <c r="L158" s="27">
        <v>117081.11724021549</v>
      </c>
      <c r="M158" s="27">
        <v>236983.53719280718</v>
      </c>
    </row>
    <row r="159" spans="1:13" x14ac:dyDescent="0.75">
      <c r="A159" s="40">
        <v>157</v>
      </c>
      <c r="B159" s="27">
        <v>905.73034535149054</v>
      </c>
      <c r="C159" s="27">
        <v>1456.930532206301</v>
      </c>
      <c r="D159" s="27">
        <v>2314.1621044809726</v>
      </c>
      <c r="E159" s="27">
        <v>3387.6102034002106</v>
      </c>
      <c r="F159" s="27">
        <v>5355.3618326222058</v>
      </c>
      <c r="G159" s="27">
        <v>7937.4854465341195</v>
      </c>
      <c r="H159" s="27">
        <v>10256.324455886817</v>
      </c>
      <c r="I159" s="27">
        <v>13896.368821411888</v>
      </c>
      <c r="J159" s="27">
        <v>23881.240464127011</v>
      </c>
      <c r="K159" s="27">
        <v>46428.57970254925</v>
      </c>
      <c r="L159" s="27">
        <v>109866.42974408195</v>
      </c>
      <c r="M159" s="27">
        <v>225686.22365265223</v>
      </c>
    </row>
    <row r="160" spans="1:13" x14ac:dyDescent="0.75">
      <c r="A160" s="40">
        <v>158</v>
      </c>
      <c r="B160" s="27">
        <v>650.86868758813944</v>
      </c>
      <c r="C160" s="27">
        <v>1153.8669989469199</v>
      </c>
      <c r="D160" s="27">
        <v>2053.9718272807804</v>
      </c>
      <c r="E160" s="27">
        <v>3019.8828266352357</v>
      </c>
      <c r="F160" s="27">
        <v>4751.5436737399577</v>
      </c>
      <c r="G160" s="27">
        <v>7086.2556416885345</v>
      </c>
      <c r="H160" s="27">
        <v>9609.15993347115</v>
      </c>
      <c r="I160" s="27">
        <v>13599.122977007821</v>
      </c>
      <c r="J160" s="27">
        <v>22554.912806391207</v>
      </c>
      <c r="K160" s="27">
        <v>45035.613997556502</v>
      </c>
      <c r="L160" s="27">
        <v>109573.40772130166</v>
      </c>
      <c r="M160" s="27">
        <v>219088.6070916079</v>
      </c>
    </row>
    <row r="161" spans="1:13" x14ac:dyDescent="0.75">
      <c r="A161" s="40">
        <v>159</v>
      </c>
      <c r="B161" s="27">
        <v>647.79066312113719</v>
      </c>
      <c r="C161" s="27">
        <v>1021.2372701789573</v>
      </c>
      <c r="D161" s="27">
        <v>2061.7954782652814</v>
      </c>
      <c r="E161" s="27">
        <v>2848.0694469352457</v>
      </c>
      <c r="F161" s="27">
        <v>4595.478230558947</v>
      </c>
      <c r="G161" s="27">
        <v>7292.6030640940589</v>
      </c>
      <c r="H161" s="27">
        <v>9258.9309298440203</v>
      </c>
      <c r="I161" s="27">
        <v>14001.209313155006</v>
      </c>
      <c r="J161" s="27">
        <v>22965.55307877039</v>
      </c>
      <c r="K161" s="27">
        <v>45762.678844643495</v>
      </c>
      <c r="L161" s="27">
        <v>110029.20540956661</v>
      </c>
      <c r="M161" s="27">
        <v>220484.55172913315</v>
      </c>
    </row>
    <row r="162" spans="1:13" x14ac:dyDescent="0.75">
      <c r="A162" s="40">
        <v>160</v>
      </c>
      <c r="B162" s="27">
        <v>709.53585667379957</v>
      </c>
      <c r="C162" s="27">
        <v>1150.070255705883</v>
      </c>
      <c r="D162" s="27">
        <v>1713.6717295261187</v>
      </c>
      <c r="E162" s="27">
        <v>2777.9500966697524</v>
      </c>
      <c r="F162" s="27">
        <v>4199.6285503125837</v>
      </c>
      <c r="G162" s="27">
        <v>6327.3054793433694</v>
      </c>
      <c r="H162" s="27">
        <v>8753.9750829051191</v>
      </c>
      <c r="I162" s="27">
        <v>12222.434355197416</v>
      </c>
      <c r="J162" s="27">
        <v>21094.763896499557</v>
      </c>
      <c r="K162" s="27">
        <v>44128.811321326502</v>
      </c>
      <c r="L162" s="27">
        <v>118849.26060485969</v>
      </c>
      <c r="M162" s="27">
        <v>221927.40722901979</v>
      </c>
    </row>
    <row r="163" spans="1:13" x14ac:dyDescent="0.75">
      <c r="A163" s="40">
        <v>161</v>
      </c>
      <c r="B163" s="27">
        <v>489.0919902438909</v>
      </c>
      <c r="C163" s="27">
        <v>762.82993692497257</v>
      </c>
      <c r="D163" s="27">
        <v>1662.9072949813126</v>
      </c>
      <c r="E163" s="27">
        <v>2587.0428001710825</v>
      </c>
      <c r="F163" s="27">
        <v>4469.4084816136165</v>
      </c>
      <c r="G163" s="27">
        <v>6700.4150694706186</v>
      </c>
      <c r="H163" s="27">
        <v>9625.274206013084</v>
      </c>
      <c r="I163" s="27">
        <v>13414.090355441411</v>
      </c>
      <c r="J163" s="27">
        <v>21611.638942214369</v>
      </c>
      <c r="K163" s="27">
        <v>44611.15505102172</v>
      </c>
      <c r="L163" s="27">
        <v>116346.0004609059</v>
      </c>
      <c r="M163" s="27">
        <v>222279.85458900197</v>
      </c>
    </row>
    <row r="164" spans="1:13" x14ac:dyDescent="0.75">
      <c r="A164" s="40">
        <v>162</v>
      </c>
      <c r="B164" s="27">
        <v>589.3883448192646</v>
      </c>
      <c r="C164" s="27">
        <v>1155.3911146412138</v>
      </c>
      <c r="D164" s="27">
        <v>1747.2839124159655</v>
      </c>
      <c r="E164" s="27">
        <v>3013.38277748767</v>
      </c>
      <c r="F164" s="27">
        <v>5081.319781077691</v>
      </c>
      <c r="G164" s="27">
        <v>7486.7285517963464</v>
      </c>
      <c r="H164" s="27">
        <v>10714.941100785305</v>
      </c>
      <c r="I164" s="27">
        <v>14675.312113441731</v>
      </c>
      <c r="J164" s="27">
        <v>22022.750836361694</v>
      </c>
      <c r="K164" s="27">
        <v>46788.351513559493</v>
      </c>
      <c r="L164" s="27">
        <v>119235.02627305451</v>
      </c>
      <c r="M164" s="27">
        <v>232509.8763194409</v>
      </c>
    </row>
    <row r="165" spans="1:13" x14ac:dyDescent="0.75">
      <c r="A165" s="40">
        <v>163</v>
      </c>
      <c r="B165" s="27">
        <v>476.33134704646363</v>
      </c>
      <c r="C165" s="27">
        <v>752.25161207403289</v>
      </c>
      <c r="D165" s="27">
        <v>1386.6285058674548</v>
      </c>
      <c r="E165" s="27">
        <v>2584.497212135233</v>
      </c>
      <c r="F165" s="27">
        <v>4492.5272119789443</v>
      </c>
      <c r="G165" s="27">
        <v>6670.3324068157817</v>
      </c>
      <c r="H165" s="27">
        <v>9594.8214226737909</v>
      </c>
      <c r="I165" s="27">
        <v>13300.205763449121</v>
      </c>
      <c r="J165" s="27">
        <v>22151.660974225699</v>
      </c>
      <c r="K165" s="27">
        <v>45907.027926436043</v>
      </c>
      <c r="L165" s="27">
        <v>108224.39230491393</v>
      </c>
      <c r="M165" s="27">
        <v>215540.67668761651</v>
      </c>
    </row>
    <row r="166" spans="1:13" x14ac:dyDescent="0.75">
      <c r="A166" s="40">
        <v>164</v>
      </c>
      <c r="B166" s="27">
        <v>1171.7899543351959</v>
      </c>
      <c r="C166" s="27">
        <v>1853.1370712994831</v>
      </c>
      <c r="D166" s="27">
        <v>2681.7301096206065</v>
      </c>
      <c r="E166" s="27">
        <v>3890.197970886511</v>
      </c>
      <c r="F166" s="27">
        <v>5681.9127356033423</v>
      </c>
      <c r="G166" s="27">
        <v>8338.8038342786022</v>
      </c>
      <c r="H166" s="27">
        <v>11223.79940664419</v>
      </c>
      <c r="I166" s="27">
        <v>15251.554060509574</v>
      </c>
      <c r="J166" s="27">
        <v>24710.505254738353</v>
      </c>
      <c r="K166" s="27">
        <v>48592.617734242027</v>
      </c>
      <c r="L166" s="27">
        <v>115825.38104383173</v>
      </c>
      <c r="M166" s="27">
        <v>239221.42917598962</v>
      </c>
    </row>
    <row r="167" spans="1:13" x14ac:dyDescent="0.75">
      <c r="A167" s="40">
        <v>165</v>
      </c>
      <c r="B167" s="27">
        <v>807.31318087445106</v>
      </c>
      <c r="C167" s="27">
        <v>1328.4970231745538</v>
      </c>
      <c r="D167" s="27">
        <v>2101.6211781411403</v>
      </c>
      <c r="E167" s="27">
        <v>2840.0190086211369</v>
      </c>
      <c r="F167" s="27">
        <v>4882.0789353781438</v>
      </c>
      <c r="G167" s="27">
        <v>6920.684259756672</v>
      </c>
      <c r="H167" s="27">
        <v>9924.349093686149</v>
      </c>
      <c r="I167" s="27">
        <v>13494.457784978818</v>
      </c>
      <c r="J167" s="27">
        <v>21443.589768658116</v>
      </c>
      <c r="K167" s="27">
        <v>44330.879632316224</v>
      </c>
      <c r="L167" s="27">
        <v>102554.07228652664</v>
      </c>
      <c r="M167" s="27">
        <v>210627.56215211205</v>
      </c>
    </row>
    <row r="168" spans="1:13" x14ac:dyDescent="0.75">
      <c r="A168" s="40">
        <v>166</v>
      </c>
      <c r="B168" s="27">
        <v>1131.3849091897282</v>
      </c>
      <c r="C168" s="27">
        <v>1511.8371904263331</v>
      </c>
      <c r="D168" s="27">
        <v>2327.9695633048832</v>
      </c>
      <c r="E168" s="27">
        <v>3733.9833713367989</v>
      </c>
      <c r="F168" s="27">
        <v>5201.2885570434737</v>
      </c>
      <c r="G168" s="27">
        <v>7400.4391340572038</v>
      </c>
      <c r="H168" s="27">
        <v>9955.8566415548703</v>
      </c>
      <c r="I168" s="27">
        <v>14342.275549315411</v>
      </c>
      <c r="J168" s="27">
        <v>22761.166408581092</v>
      </c>
      <c r="K168" s="27">
        <v>44054.225624129103</v>
      </c>
      <c r="L168" s="27">
        <v>109390.01585423137</v>
      </c>
      <c r="M168" s="27">
        <v>221810.44280317027</v>
      </c>
    </row>
    <row r="169" spans="1:13" x14ac:dyDescent="0.75">
      <c r="A169" s="40">
        <v>167</v>
      </c>
      <c r="B169" s="27">
        <v>979.47865271665796</v>
      </c>
      <c r="C169" s="27">
        <v>1578.0214281410445</v>
      </c>
      <c r="D169" s="27">
        <v>2451.4254984512227</v>
      </c>
      <c r="E169" s="27">
        <v>3592.499233039387</v>
      </c>
      <c r="F169" s="27">
        <v>5477.5614548006706</v>
      </c>
      <c r="G169" s="27">
        <v>7905.7523328894458</v>
      </c>
      <c r="H169" s="27">
        <v>11386.832505611877</v>
      </c>
      <c r="I169" s="27">
        <v>14420.333167177101</v>
      </c>
      <c r="J169" s="27">
        <v>23871.005373365042</v>
      </c>
      <c r="K169" s="27">
        <v>47027.765647461812</v>
      </c>
      <c r="L169" s="27">
        <v>115732.71404457331</v>
      </c>
      <c r="M169" s="27">
        <v>234423.38933822757</v>
      </c>
    </row>
    <row r="170" spans="1:13" x14ac:dyDescent="0.75">
      <c r="A170" s="40">
        <v>168</v>
      </c>
      <c r="B170" s="27">
        <v>1325.3250760130322</v>
      </c>
      <c r="C170" s="27">
        <v>1970.5222378222243</v>
      </c>
      <c r="D170" s="27">
        <v>2786.0927724556677</v>
      </c>
      <c r="E170" s="27">
        <v>3890.5074159168726</v>
      </c>
      <c r="F170" s="27">
        <v>6431.853307524987</v>
      </c>
      <c r="G170" s="27">
        <v>8288.0889853885164</v>
      </c>
      <c r="H170" s="27">
        <v>11417.716999971715</v>
      </c>
      <c r="I170" s="27">
        <v>15602.211245054015</v>
      </c>
      <c r="J170" s="27">
        <v>23642.663125968378</v>
      </c>
      <c r="K170" s="27">
        <v>47171.295533160184</v>
      </c>
      <c r="L170" s="27">
        <v>117386.12867947012</v>
      </c>
      <c r="M170" s="27">
        <v>239912.40537874569</v>
      </c>
    </row>
    <row r="171" spans="1:13" x14ac:dyDescent="0.75">
      <c r="A171" s="40">
        <v>169</v>
      </c>
      <c r="B171" s="27">
        <v>925.78879026536015</v>
      </c>
      <c r="C171" s="27">
        <v>1748.6605337929795</v>
      </c>
      <c r="D171" s="27">
        <v>2390.6421880638081</v>
      </c>
      <c r="E171" s="27">
        <v>3338.1069167483511</v>
      </c>
      <c r="F171" s="27">
        <v>5482.1421346784045</v>
      </c>
      <c r="G171" s="27">
        <v>7786.9004842761788</v>
      </c>
      <c r="H171" s="27">
        <v>10550.482970349127</v>
      </c>
      <c r="I171" s="27">
        <v>14212.510703668944</v>
      </c>
      <c r="J171" s="27">
        <v>22876.522620826843</v>
      </c>
      <c r="K171" s="27">
        <v>45750.501028204249</v>
      </c>
      <c r="L171" s="27">
        <v>108345.15861056192</v>
      </c>
      <c r="M171" s="27">
        <v>223407.41698143617</v>
      </c>
    </row>
    <row r="172" spans="1:13" x14ac:dyDescent="0.75">
      <c r="A172" s="40">
        <v>170</v>
      </c>
      <c r="B172" s="27">
        <v>706.33442647229822</v>
      </c>
      <c r="C172" s="27">
        <v>1382.9976901589107</v>
      </c>
      <c r="D172" s="27">
        <v>2489.0344504448585</v>
      </c>
      <c r="E172" s="27">
        <v>3396.3465961582842</v>
      </c>
      <c r="F172" s="27">
        <v>5493.5308806169196</v>
      </c>
      <c r="G172" s="27">
        <v>7911.5513213852537</v>
      </c>
      <c r="H172" s="27">
        <v>10281.601542518329</v>
      </c>
      <c r="I172" s="27">
        <v>13564.742827378679</v>
      </c>
      <c r="J172" s="27">
        <v>23009.056408029879</v>
      </c>
      <c r="K172" s="27">
        <v>44345.835861308733</v>
      </c>
      <c r="L172" s="27">
        <v>107960.62996612818</v>
      </c>
      <c r="M172" s="27">
        <v>220541.66197060031</v>
      </c>
    </row>
    <row r="173" spans="1:13" x14ac:dyDescent="0.75">
      <c r="A173" s="40">
        <v>171</v>
      </c>
      <c r="B173" s="27">
        <v>738.44571043674659</v>
      </c>
      <c r="C173" s="27">
        <v>1213.7864735435141</v>
      </c>
      <c r="D173" s="27">
        <v>2209.9756088041904</v>
      </c>
      <c r="E173" s="27">
        <v>3315.3092385013879</v>
      </c>
      <c r="F173" s="27">
        <v>5276.8216752598528</v>
      </c>
      <c r="G173" s="27">
        <v>7576.2530817736115</v>
      </c>
      <c r="H173" s="27">
        <v>9953.2011327436194</v>
      </c>
      <c r="I173" s="27">
        <v>13902.217891972323</v>
      </c>
      <c r="J173" s="27">
        <v>22202.104632253991</v>
      </c>
      <c r="K173" s="27">
        <v>46745.925258496194</v>
      </c>
      <c r="L173" s="27">
        <v>110761.24837764297</v>
      </c>
      <c r="M173" s="27">
        <v>223895.2890814284</v>
      </c>
    </row>
    <row r="174" spans="1:13" x14ac:dyDescent="0.75">
      <c r="A174" s="40">
        <v>172</v>
      </c>
      <c r="B174" s="27">
        <v>990.72160608370905</v>
      </c>
      <c r="C174" s="27">
        <v>1522.0658298681374</v>
      </c>
      <c r="D174" s="27">
        <v>2483.429385498428</v>
      </c>
      <c r="E174" s="27">
        <v>3831.559993653369</v>
      </c>
      <c r="F174" s="27">
        <v>5832.2991450398695</v>
      </c>
      <c r="G174" s="27">
        <v>8060.0535645458149</v>
      </c>
      <c r="H174" s="27">
        <v>10058.070598283899</v>
      </c>
      <c r="I174" s="27">
        <v>14917.060766326118</v>
      </c>
      <c r="J174" s="27">
        <v>24215.174052535702</v>
      </c>
      <c r="K174" s="27">
        <v>49562.276814829689</v>
      </c>
      <c r="L174" s="27">
        <v>116141.26832006691</v>
      </c>
      <c r="M174" s="27">
        <v>237613.98007673165</v>
      </c>
    </row>
    <row r="175" spans="1:13" x14ac:dyDescent="0.75">
      <c r="A175" s="40">
        <v>173</v>
      </c>
      <c r="B175" s="27">
        <v>804.63131716806674</v>
      </c>
      <c r="C175" s="27">
        <v>1113.5847497120994</v>
      </c>
      <c r="D175" s="27">
        <v>1778.6635641255125</v>
      </c>
      <c r="E175" s="27">
        <v>2838.057091361421</v>
      </c>
      <c r="F175" s="27">
        <v>4556.9516091689584</v>
      </c>
      <c r="G175" s="27">
        <v>6658.9952299898723</v>
      </c>
      <c r="H175" s="27">
        <v>9437.0204084147699</v>
      </c>
      <c r="I175" s="27">
        <v>13911.014550682565</v>
      </c>
      <c r="J175" s="27">
        <v>21889.982394881226</v>
      </c>
      <c r="K175" s="27">
        <v>46460.169966038084</v>
      </c>
      <c r="L175" s="27">
        <v>112476.53244851019</v>
      </c>
      <c r="M175" s="27">
        <v>221925.60333005275</v>
      </c>
    </row>
    <row r="176" spans="1:13" x14ac:dyDescent="0.75">
      <c r="A176" s="40">
        <v>174</v>
      </c>
      <c r="B176" s="27">
        <v>497.49514236212417</v>
      </c>
      <c r="C176" s="27">
        <v>739.40457610556041</v>
      </c>
      <c r="D176" s="27">
        <v>1555.9176427468337</v>
      </c>
      <c r="E176" s="27">
        <v>3048.3820807284064</v>
      </c>
      <c r="F176" s="27">
        <v>4432.0170081401739</v>
      </c>
      <c r="G176" s="27">
        <v>7345.7300445468572</v>
      </c>
      <c r="H176" s="27">
        <v>9858.3385073273093</v>
      </c>
      <c r="I176" s="27">
        <v>13462.628913382519</v>
      </c>
      <c r="J176" s="27">
        <v>22026.304333429813</v>
      </c>
      <c r="K176" s="27">
        <v>47164.163274818944</v>
      </c>
      <c r="L176" s="27">
        <v>113335.9543375933</v>
      </c>
      <c r="M176" s="27">
        <v>223466.33586118184</v>
      </c>
    </row>
    <row r="177" spans="1:13" x14ac:dyDescent="0.75">
      <c r="A177" s="40">
        <v>175</v>
      </c>
      <c r="B177" s="27">
        <v>682.94372953767015</v>
      </c>
      <c r="C177" s="27">
        <v>1029.2385055693303</v>
      </c>
      <c r="D177" s="27">
        <v>1950.7566030694725</v>
      </c>
      <c r="E177" s="27">
        <v>3013.1237679928745</v>
      </c>
      <c r="F177" s="27">
        <v>4941.4300778783218</v>
      </c>
      <c r="G177" s="27">
        <v>7468.6268009761989</v>
      </c>
      <c r="H177" s="27">
        <v>10657.336154472127</v>
      </c>
      <c r="I177" s="27">
        <v>14515.942134562691</v>
      </c>
      <c r="J177" s="27">
        <v>24036.144164793135</v>
      </c>
      <c r="K177" s="27">
        <v>47450.176079103199</v>
      </c>
      <c r="L177" s="27">
        <v>114549.3447980154</v>
      </c>
      <c r="M177" s="27">
        <v>230295.06281597042</v>
      </c>
    </row>
    <row r="178" spans="1:13" x14ac:dyDescent="0.75">
      <c r="A178" s="40">
        <v>176</v>
      </c>
      <c r="B178" s="27">
        <v>1066.2412559744116</v>
      </c>
      <c r="C178" s="27">
        <v>1574.4244368290529</v>
      </c>
      <c r="D178" s="27">
        <v>2349.4185537356243</v>
      </c>
      <c r="E178" s="27">
        <v>3443.4815722973435</v>
      </c>
      <c r="F178" s="27">
        <v>5415.0552999722422</v>
      </c>
      <c r="G178" s="27">
        <v>7251.9415412750968</v>
      </c>
      <c r="H178" s="27">
        <v>10099.307641291962</v>
      </c>
      <c r="I178" s="27">
        <v>14349.956858443882</v>
      </c>
      <c r="J178" s="27">
        <v>23091.722121177765</v>
      </c>
      <c r="K178" s="27">
        <v>44666.720663802727</v>
      </c>
      <c r="L178" s="27">
        <v>111804.82160243511</v>
      </c>
      <c r="M178" s="27">
        <v>225113.09154723521</v>
      </c>
    </row>
    <row r="179" spans="1:13" x14ac:dyDescent="0.75">
      <c r="A179" s="40">
        <v>177</v>
      </c>
      <c r="B179" s="27">
        <v>705.50989238034526</v>
      </c>
      <c r="C179" s="27">
        <v>1319.3582202544785</v>
      </c>
      <c r="D179" s="27">
        <v>2247.589303701141</v>
      </c>
      <c r="E179" s="27">
        <v>3555.7735183454788</v>
      </c>
      <c r="F179" s="27">
        <v>5454.8391522325401</v>
      </c>
      <c r="G179" s="27">
        <v>8015.6749202521169</v>
      </c>
      <c r="H179" s="27">
        <v>10814.855328909063</v>
      </c>
      <c r="I179" s="27">
        <v>14721.483120983074</v>
      </c>
      <c r="J179" s="27">
        <v>24968.361383529278</v>
      </c>
      <c r="K179" s="27">
        <v>47734.17099301421</v>
      </c>
      <c r="L179" s="27">
        <v>111657.04038894321</v>
      </c>
      <c r="M179" s="27">
        <v>231194.65622254493</v>
      </c>
    </row>
    <row r="180" spans="1:13" x14ac:dyDescent="0.75">
      <c r="A180" s="40">
        <v>178</v>
      </c>
      <c r="B180" s="27">
        <v>1188.6601544776204</v>
      </c>
      <c r="C180" s="27">
        <v>1981.2158562729455</v>
      </c>
      <c r="D180" s="27">
        <v>3272.0778139878967</v>
      </c>
      <c r="E180" s="27">
        <v>4742.6810030992056</v>
      </c>
      <c r="F180" s="27">
        <v>6641.4564713782456</v>
      </c>
      <c r="G180" s="27">
        <v>9631.4999374297331</v>
      </c>
      <c r="H180" s="27">
        <v>11864.884374703164</v>
      </c>
      <c r="I180" s="27">
        <v>16331.635283870142</v>
      </c>
      <c r="J180" s="27">
        <v>25009.833771249396</v>
      </c>
      <c r="K180" s="27">
        <v>50479.253827845954</v>
      </c>
      <c r="L180" s="27">
        <v>113016.99179628008</v>
      </c>
      <c r="M180" s="27">
        <v>244160.19029059439</v>
      </c>
    </row>
    <row r="181" spans="1:13" x14ac:dyDescent="0.75">
      <c r="A181" s="40">
        <v>179</v>
      </c>
      <c r="B181" s="27">
        <v>213.77930225670571</v>
      </c>
      <c r="C181" s="27">
        <v>632.51035410369514</v>
      </c>
      <c r="D181" s="27">
        <v>1341.1726919979556</v>
      </c>
      <c r="E181" s="27">
        <v>2542.9620981182088</v>
      </c>
      <c r="F181" s="27">
        <v>4319.2846778116655</v>
      </c>
      <c r="G181" s="27">
        <v>6651.0285159380583</v>
      </c>
      <c r="H181" s="27">
        <v>9333.7741098812839</v>
      </c>
      <c r="I181" s="27">
        <v>13883.414537620934</v>
      </c>
      <c r="J181" s="27">
        <v>20958.658802470745</v>
      </c>
      <c r="K181" s="27">
        <v>44846.877867626725</v>
      </c>
      <c r="L181" s="27">
        <v>105458.26705759238</v>
      </c>
      <c r="M181" s="27">
        <v>210181.73001541838</v>
      </c>
    </row>
    <row r="182" spans="1:13" x14ac:dyDescent="0.75">
      <c r="A182" s="40">
        <v>180</v>
      </c>
      <c r="B182" s="27">
        <v>1389.4437110861181</v>
      </c>
      <c r="C182" s="27">
        <v>2026.2628795141354</v>
      </c>
      <c r="D182" s="27">
        <v>2718.4268912168336</v>
      </c>
      <c r="E182" s="27">
        <v>4225.2206960899202</v>
      </c>
      <c r="F182" s="27">
        <v>6408.8544730156718</v>
      </c>
      <c r="G182" s="27">
        <v>8926.564254712197</v>
      </c>
      <c r="H182" s="27">
        <v>11216.412445606387</v>
      </c>
      <c r="I182" s="27">
        <v>15194.029980535488</v>
      </c>
      <c r="J182" s="27">
        <v>23612.181312235043</v>
      </c>
      <c r="K182" s="27">
        <v>46176.153361556149</v>
      </c>
      <c r="L182" s="27">
        <v>109259.64913277313</v>
      </c>
      <c r="M182" s="27">
        <v>231153.19913834106</v>
      </c>
    </row>
    <row r="183" spans="1:13" x14ac:dyDescent="0.75">
      <c r="A183" s="40">
        <v>181</v>
      </c>
      <c r="B183" s="27">
        <v>1221.9230280183983</v>
      </c>
      <c r="C183" s="27">
        <v>1772.311127334222</v>
      </c>
      <c r="D183" s="27">
        <v>2953.2756614287937</v>
      </c>
      <c r="E183" s="27">
        <v>4197.5685234311823</v>
      </c>
      <c r="F183" s="27">
        <v>6581.2842404394178</v>
      </c>
      <c r="G183" s="27">
        <v>8816.3886973563931</v>
      </c>
      <c r="H183" s="27">
        <v>10834.667463742677</v>
      </c>
      <c r="I183" s="27">
        <v>15366.007217678794</v>
      </c>
      <c r="J183" s="27">
        <v>24163.061143341896</v>
      </c>
      <c r="K183" s="27">
        <v>46403.313272007683</v>
      </c>
      <c r="L183" s="27">
        <v>110228.19544663388</v>
      </c>
      <c r="M183" s="27">
        <v>232537.99582141335</v>
      </c>
    </row>
    <row r="184" spans="1:13" x14ac:dyDescent="0.75">
      <c r="A184" s="40">
        <v>182</v>
      </c>
      <c r="B184" s="27">
        <v>779.63907511992147</v>
      </c>
      <c r="C184" s="27">
        <v>1202.5906129473587</v>
      </c>
      <c r="D184" s="27">
        <v>2080.0527304307907</v>
      </c>
      <c r="E184" s="27">
        <v>3261.07345264584</v>
      </c>
      <c r="F184" s="27">
        <v>5193.4129691066046</v>
      </c>
      <c r="G184" s="27">
        <v>6841.4445290952281</v>
      </c>
      <c r="H184" s="27">
        <v>10255.907922304847</v>
      </c>
      <c r="I184" s="27">
        <v>13698.219344363926</v>
      </c>
      <c r="J184" s="27">
        <v>22294.280787922049</v>
      </c>
      <c r="K184" s="27">
        <v>44681.274006561638</v>
      </c>
      <c r="L184" s="27">
        <v>117633.88514186132</v>
      </c>
      <c r="M184" s="27">
        <v>227921.78057235951</v>
      </c>
    </row>
    <row r="185" spans="1:13" x14ac:dyDescent="0.75">
      <c r="A185" s="40">
        <v>183</v>
      </c>
      <c r="B185" s="27">
        <v>798.96028801152715</v>
      </c>
      <c r="C185" s="27">
        <v>1286.8600480481546</v>
      </c>
      <c r="D185" s="27">
        <v>2196.3324261173111</v>
      </c>
      <c r="E185" s="27">
        <v>3438.4113694161497</v>
      </c>
      <c r="F185" s="27">
        <v>4967.5425959114218</v>
      </c>
      <c r="G185" s="27">
        <v>7456.9102494805993</v>
      </c>
      <c r="H185" s="27">
        <v>10299.777894060942</v>
      </c>
      <c r="I185" s="27">
        <v>14223.513678208736</v>
      </c>
      <c r="J185" s="27">
        <v>23690.456793090503</v>
      </c>
      <c r="K185" s="27">
        <v>47890.794004189054</v>
      </c>
      <c r="L185" s="27">
        <v>114669.43041681245</v>
      </c>
      <c r="M185" s="27">
        <v>230918.98976334685</v>
      </c>
    </row>
    <row r="186" spans="1:13" x14ac:dyDescent="0.75">
      <c r="A186" s="40">
        <v>184</v>
      </c>
      <c r="B186" s="27">
        <v>820.61397180934728</v>
      </c>
      <c r="C186" s="27">
        <v>1405.5466460515745</v>
      </c>
      <c r="D186" s="27">
        <v>2267.1490080966469</v>
      </c>
      <c r="E186" s="27">
        <v>3585.995516268129</v>
      </c>
      <c r="F186" s="27">
        <v>5625.2588648254459</v>
      </c>
      <c r="G186" s="27">
        <v>7748.3646490479005</v>
      </c>
      <c r="H186" s="27">
        <v>10498.313788824162</v>
      </c>
      <c r="I186" s="27">
        <v>14347.607296755406</v>
      </c>
      <c r="J186" s="27">
        <v>23916.187962519587</v>
      </c>
      <c r="K186" s="27">
        <v>45875.795718808018</v>
      </c>
      <c r="L186" s="27">
        <v>112437.12821053946</v>
      </c>
      <c r="M186" s="27">
        <v>228527.9616335457</v>
      </c>
    </row>
    <row r="187" spans="1:13" x14ac:dyDescent="0.75">
      <c r="A187" s="40">
        <v>185</v>
      </c>
      <c r="B187" s="27">
        <v>802.2444100897992</v>
      </c>
      <c r="C187" s="27">
        <v>1008.9660199475184</v>
      </c>
      <c r="D187" s="27">
        <v>1789.5478281069954</v>
      </c>
      <c r="E187" s="27">
        <v>2871.6054503460618</v>
      </c>
      <c r="F187" s="27">
        <v>4723.1403309108864</v>
      </c>
      <c r="G187" s="27">
        <v>6728.1589811290905</v>
      </c>
      <c r="H187" s="27">
        <v>9281.2437521749962</v>
      </c>
      <c r="I187" s="27">
        <v>13924.550728486502</v>
      </c>
      <c r="J187" s="27">
        <v>22478.98384588497</v>
      </c>
      <c r="K187" s="27">
        <v>48988.111531858071</v>
      </c>
      <c r="L187" s="27">
        <v>119433.83652959581</v>
      </c>
      <c r="M187" s="27">
        <v>232030.3894085307</v>
      </c>
    </row>
    <row r="188" spans="1:13" x14ac:dyDescent="0.75">
      <c r="A188" s="40">
        <v>186</v>
      </c>
      <c r="B188" s="27">
        <v>883.81974519412324</v>
      </c>
      <c r="C188" s="27">
        <v>1351.3492444495059</v>
      </c>
      <c r="D188" s="27">
        <v>2193.774121880022</v>
      </c>
      <c r="E188" s="27">
        <v>3309.8406562230084</v>
      </c>
      <c r="F188" s="27">
        <v>5370.6277445324231</v>
      </c>
      <c r="G188" s="27">
        <v>7620.6599234237801</v>
      </c>
      <c r="H188" s="27">
        <v>10645.737932038406</v>
      </c>
      <c r="I188" s="27">
        <v>14671.03672871142</v>
      </c>
      <c r="J188" s="27">
        <v>24380.949054519573</v>
      </c>
      <c r="K188" s="27">
        <v>45693.449222253927</v>
      </c>
      <c r="L188" s="27">
        <v>111255.27321153728</v>
      </c>
      <c r="M188" s="27">
        <v>227376.51758476347</v>
      </c>
    </row>
    <row r="189" spans="1:13" x14ac:dyDescent="0.75">
      <c r="A189" s="40">
        <v>187</v>
      </c>
      <c r="B189" s="27">
        <v>300.33157075983763</v>
      </c>
      <c r="C189" s="27">
        <v>887.63349237995862</v>
      </c>
      <c r="D189" s="27">
        <v>1985.8873873596021</v>
      </c>
      <c r="E189" s="27">
        <v>3084.8923005894612</v>
      </c>
      <c r="F189" s="27">
        <v>4674.8031437243044</v>
      </c>
      <c r="G189" s="27">
        <v>6946.1409393241047</v>
      </c>
      <c r="H189" s="27">
        <v>9492.5185599382967</v>
      </c>
      <c r="I189" s="27">
        <v>13326.876688449149</v>
      </c>
      <c r="J189" s="27">
        <v>22099.802909556689</v>
      </c>
      <c r="K189" s="27">
        <v>44804.679843485981</v>
      </c>
      <c r="L189" s="27">
        <v>102916.93267020158</v>
      </c>
      <c r="M189" s="27">
        <v>210520.49950576897</v>
      </c>
    </row>
    <row r="190" spans="1:13" x14ac:dyDescent="0.75">
      <c r="A190" s="40">
        <v>188</v>
      </c>
      <c r="B190" s="27">
        <v>674.43872078684217</v>
      </c>
      <c r="C190" s="27">
        <v>1051.213294435307</v>
      </c>
      <c r="D190" s="27">
        <v>1876.0077213496843</v>
      </c>
      <c r="E190" s="27">
        <v>3155.8575985693606</v>
      </c>
      <c r="F190" s="27">
        <v>5151.9242625728366</v>
      </c>
      <c r="G190" s="27">
        <v>7677.4061826123507</v>
      </c>
      <c r="H190" s="27">
        <v>10075.773895991821</v>
      </c>
      <c r="I190" s="27">
        <v>13320.652018044057</v>
      </c>
      <c r="J190" s="27">
        <v>22207.811832570151</v>
      </c>
      <c r="K190" s="27">
        <v>47663.394739874406</v>
      </c>
      <c r="L190" s="27">
        <v>110472.0525372907</v>
      </c>
      <c r="M190" s="27">
        <v>223326.53280409751</v>
      </c>
    </row>
    <row r="191" spans="1:13" x14ac:dyDescent="0.75">
      <c r="A191" s="40">
        <v>189</v>
      </c>
      <c r="B191" s="27">
        <v>931.52334911089565</v>
      </c>
      <c r="C191" s="27">
        <v>1596.9483121610538</v>
      </c>
      <c r="D191" s="27">
        <v>2436.1535446774069</v>
      </c>
      <c r="E191" s="27">
        <v>3643.0137406271242</v>
      </c>
      <c r="F191" s="27">
        <v>5870.4946958538349</v>
      </c>
      <c r="G191" s="27">
        <v>8170.2859490630508</v>
      </c>
      <c r="H191" s="27">
        <v>10257.622741095009</v>
      </c>
      <c r="I191" s="27">
        <v>14672.570553663783</v>
      </c>
      <c r="J191" s="27">
        <v>22599.299880058985</v>
      </c>
      <c r="K191" s="27">
        <v>44124.292673758173</v>
      </c>
      <c r="L191" s="27">
        <v>100556.77150731871</v>
      </c>
      <c r="M191" s="27">
        <v>214858.97694738803</v>
      </c>
    </row>
    <row r="192" spans="1:13" x14ac:dyDescent="0.75">
      <c r="A192" s="40">
        <v>190</v>
      </c>
      <c r="B192" s="27">
        <v>1133.9785180616163</v>
      </c>
      <c r="C192" s="27">
        <v>1731.3587062547595</v>
      </c>
      <c r="D192" s="27">
        <v>2523.4088196667726</v>
      </c>
      <c r="E192" s="27">
        <v>3728.0331371430366</v>
      </c>
      <c r="F192" s="27">
        <v>5727.2981257052743</v>
      </c>
      <c r="G192" s="27">
        <v>8453.4149150203739</v>
      </c>
      <c r="H192" s="27">
        <v>10714.348833702257</v>
      </c>
      <c r="I192" s="27">
        <v>15372.738312395319</v>
      </c>
      <c r="J192" s="27">
        <v>23333.729282680491</v>
      </c>
      <c r="K192" s="27">
        <v>43643.162326970341</v>
      </c>
      <c r="L192" s="27">
        <v>110856.28795599873</v>
      </c>
      <c r="M192" s="27">
        <v>227217.75893359899</v>
      </c>
    </row>
    <row r="193" spans="1:13" x14ac:dyDescent="0.75">
      <c r="A193" s="40">
        <v>191</v>
      </c>
      <c r="B193" s="27">
        <v>778.61098414458684</v>
      </c>
      <c r="C193" s="27">
        <v>927.04888551369368</v>
      </c>
      <c r="D193" s="27">
        <v>1832.651990941682</v>
      </c>
      <c r="E193" s="27">
        <v>3294.9590121928632</v>
      </c>
      <c r="F193" s="27">
        <v>4884.0007655085356</v>
      </c>
      <c r="G193" s="27">
        <v>7440.8958563411725</v>
      </c>
      <c r="H193" s="27">
        <v>10198.946975053143</v>
      </c>
      <c r="I193" s="27">
        <v>13913.593844883551</v>
      </c>
      <c r="J193" s="27">
        <v>21658.25562058379</v>
      </c>
      <c r="K193" s="27">
        <v>46099.276865677515</v>
      </c>
      <c r="L193" s="27">
        <v>118537.20976073972</v>
      </c>
      <c r="M193" s="27">
        <v>229565.45056158025</v>
      </c>
    </row>
    <row r="194" spans="1:13" x14ac:dyDescent="0.75">
      <c r="A194" s="40">
        <v>192</v>
      </c>
      <c r="B194" s="27">
        <v>545.73410535443691</v>
      </c>
      <c r="C194" s="27">
        <v>979.75850420471397</v>
      </c>
      <c r="D194" s="27">
        <v>1622.5750938415731</v>
      </c>
      <c r="E194" s="27">
        <v>2826.5260711047595</v>
      </c>
      <c r="F194" s="27">
        <v>4624.938801735072</v>
      </c>
      <c r="G194" s="27">
        <v>6613.1392828882672</v>
      </c>
      <c r="H194" s="27">
        <v>9560.2286903502973</v>
      </c>
      <c r="I194" s="27">
        <v>13785.221319568504</v>
      </c>
      <c r="J194" s="27">
        <v>21813.18267976545</v>
      </c>
      <c r="K194" s="27">
        <v>46405.395805267457</v>
      </c>
      <c r="L194" s="27">
        <v>115914.71757649521</v>
      </c>
      <c r="M194" s="27">
        <v>224691.41793057573</v>
      </c>
    </row>
    <row r="195" spans="1:13" x14ac:dyDescent="0.75">
      <c r="A195" s="40">
        <v>193</v>
      </c>
      <c r="B195" s="27">
        <v>827.34833949946915</v>
      </c>
      <c r="C195" s="27">
        <v>1234.1758660843334</v>
      </c>
      <c r="D195" s="27">
        <v>2175.1057880402659</v>
      </c>
      <c r="E195" s="27">
        <v>3196.3473286021181</v>
      </c>
      <c r="F195" s="27">
        <v>5367.6325871557347</v>
      </c>
      <c r="G195" s="27">
        <v>7415.9724797218223</v>
      </c>
      <c r="H195" s="27">
        <v>10180.935382245108</v>
      </c>
      <c r="I195" s="27">
        <v>14140.142210779391</v>
      </c>
      <c r="J195" s="27">
        <v>23697.277561310169</v>
      </c>
      <c r="K195" s="27">
        <v>47744.186353204423</v>
      </c>
      <c r="L195" s="27">
        <v>117701.32972162144</v>
      </c>
      <c r="M195" s="27">
        <v>233680.45361826429</v>
      </c>
    </row>
    <row r="196" spans="1:13" x14ac:dyDescent="0.75">
      <c r="A196" s="40">
        <v>194</v>
      </c>
      <c r="B196" s="27">
        <v>535.27079311681155</v>
      </c>
      <c r="C196" s="27">
        <v>1006.3655868509959</v>
      </c>
      <c r="D196" s="27">
        <v>1680.0781679594947</v>
      </c>
      <c r="E196" s="27">
        <v>2652.3762281368836</v>
      </c>
      <c r="F196" s="27">
        <v>4739.5408829413936</v>
      </c>
      <c r="G196" s="27">
        <v>6727.4550288205501</v>
      </c>
      <c r="H196" s="27">
        <v>9516.0031862710748</v>
      </c>
      <c r="I196" s="27">
        <v>13323.33888227804</v>
      </c>
      <c r="J196" s="27">
        <v>22143.481273212543</v>
      </c>
      <c r="K196" s="27">
        <v>46535.548268151615</v>
      </c>
      <c r="L196" s="27">
        <v>110272.19819173121</v>
      </c>
      <c r="M196" s="27">
        <v>219131.65648947062</v>
      </c>
    </row>
    <row r="197" spans="1:13" x14ac:dyDescent="0.75">
      <c r="A197" s="40">
        <v>195</v>
      </c>
      <c r="B197" s="27">
        <v>1281.5052200808132</v>
      </c>
      <c r="C197" s="27">
        <v>1884.1538041766617</v>
      </c>
      <c r="D197" s="27">
        <v>3108.745974094767</v>
      </c>
      <c r="E197" s="27">
        <v>4152.0498359197518</v>
      </c>
      <c r="F197" s="27">
        <v>6106.7592723494163</v>
      </c>
      <c r="G197" s="27">
        <v>8479.4634524102148</v>
      </c>
      <c r="H197" s="27">
        <v>11649.349016545195</v>
      </c>
      <c r="I197" s="27">
        <v>14986.625552514248</v>
      </c>
      <c r="J197" s="27">
        <v>23744.543049831089</v>
      </c>
      <c r="K197" s="27">
        <v>47249.090278497228</v>
      </c>
      <c r="L197" s="27">
        <v>107974.96660160051</v>
      </c>
      <c r="M197" s="27">
        <v>230617.25205801989</v>
      </c>
    </row>
    <row r="198" spans="1:13" x14ac:dyDescent="0.75">
      <c r="A198" s="40">
        <v>196</v>
      </c>
      <c r="B198" s="27">
        <v>497.58486574605922</v>
      </c>
      <c r="C198" s="27">
        <v>1159.7504906852409</v>
      </c>
      <c r="D198" s="27">
        <v>2141.5658902172145</v>
      </c>
      <c r="E198" s="27">
        <v>3452.1982110090612</v>
      </c>
      <c r="F198" s="27">
        <v>5649.1978897940135</v>
      </c>
      <c r="G198" s="27">
        <v>8235.5931283264072</v>
      </c>
      <c r="H198" s="27">
        <v>10762.56706167871</v>
      </c>
      <c r="I198" s="27">
        <v>14914.235441433353</v>
      </c>
      <c r="J198" s="27">
        <v>24628.132761518194</v>
      </c>
      <c r="K198" s="27">
        <v>47331.208046030253</v>
      </c>
      <c r="L198" s="27">
        <v>120408.73732036861</v>
      </c>
      <c r="M198" s="27">
        <v>239180.77110680711</v>
      </c>
    </row>
    <row r="199" spans="1:13" x14ac:dyDescent="0.75">
      <c r="A199" s="40">
        <v>197</v>
      </c>
      <c r="B199" s="27">
        <v>1065.6778279116115</v>
      </c>
      <c r="C199" s="27">
        <v>1635.0583533328463</v>
      </c>
      <c r="D199" s="27">
        <v>2298.3818101029174</v>
      </c>
      <c r="E199" s="27">
        <v>3465.8571481059043</v>
      </c>
      <c r="F199" s="27">
        <v>5380.6785528806795</v>
      </c>
      <c r="G199" s="27">
        <v>7434.7926407375198</v>
      </c>
      <c r="H199" s="27">
        <v>10634.614291002508</v>
      </c>
      <c r="I199" s="27">
        <v>14319.0380470362</v>
      </c>
      <c r="J199" s="27">
        <v>24020.405972929279</v>
      </c>
      <c r="K199" s="27">
        <v>45722.678739758994</v>
      </c>
      <c r="L199" s="27">
        <v>115168.9170265274</v>
      </c>
      <c r="M199" s="27">
        <v>231146.10041032586</v>
      </c>
    </row>
    <row r="200" spans="1:13" x14ac:dyDescent="0.75">
      <c r="A200" s="40">
        <v>198</v>
      </c>
      <c r="B200" s="27">
        <v>1116.220115480086</v>
      </c>
      <c r="C200" s="27">
        <v>1589.3371237572865</v>
      </c>
      <c r="D200" s="27">
        <v>2512.7151337194227</v>
      </c>
      <c r="E200" s="27">
        <v>3608.3840145028371</v>
      </c>
      <c r="F200" s="27">
        <v>5534.8160118246742</v>
      </c>
      <c r="G200" s="27">
        <v>7592.957993316988</v>
      </c>
      <c r="H200" s="27">
        <v>10832.331929148786</v>
      </c>
      <c r="I200" s="27">
        <v>14853.950605344697</v>
      </c>
      <c r="J200" s="27">
        <v>24547.833344622049</v>
      </c>
      <c r="K200" s="27">
        <v>47258.345064198162</v>
      </c>
      <c r="L200" s="27">
        <v>114961.07072644301</v>
      </c>
      <c r="M200" s="27">
        <v>234407.96206235798</v>
      </c>
    </row>
    <row r="201" spans="1:13" x14ac:dyDescent="0.75">
      <c r="A201" s="40">
        <v>199</v>
      </c>
      <c r="B201" s="27">
        <v>758.88780433606007</v>
      </c>
      <c r="C201" s="27">
        <v>1256.6716693332855</v>
      </c>
      <c r="D201" s="27">
        <v>2418.0000734798232</v>
      </c>
      <c r="E201" s="27">
        <v>3402.6460233274556</v>
      </c>
      <c r="F201" s="27">
        <v>5294.0018806221051</v>
      </c>
      <c r="G201" s="27">
        <v>7907.6987175129761</v>
      </c>
      <c r="H201" s="27">
        <v>10710.566275621022</v>
      </c>
      <c r="I201" s="27">
        <v>14373.610051633092</v>
      </c>
      <c r="J201" s="27">
        <v>23807.643277212555</v>
      </c>
      <c r="K201" s="27">
        <v>48206.746627417451</v>
      </c>
      <c r="L201" s="27">
        <v>112026.17618833829</v>
      </c>
      <c r="M201" s="27">
        <v>230162.6485888341</v>
      </c>
    </row>
    <row r="202" spans="1:13" x14ac:dyDescent="0.75">
      <c r="A202" s="40">
        <v>200</v>
      </c>
      <c r="B202" s="27">
        <v>523.84877565019997</v>
      </c>
      <c r="C202" s="27">
        <v>1118.6000352631963</v>
      </c>
      <c r="D202" s="27">
        <v>1993.0364762769168</v>
      </c>
      <c r="E202" s="27">
        <v>3124.0080307011231</v>
      </c>
      <c r="F202" s="27">
        <v>4971.9990165256604</v>
      </c>
      <c r="G202" s="27">
        <v>6959.2545520300337</v>
      </c>
      <c r="H202" s="27">
        <v>9770.9414140110894</v>
      </c>
      <c r="I202" s="27">
        <v>14174.554919877715</v>
      </c>
      <c r="J202" s="27">
        <v>24042.568307703492</v>
      </c>
      <c r="K202" s="27">
        <v>49251.882035901916</v>
      </c>
      <c r="L202" s="27">
        <v>111338.95556077416</v>
      </c>
      <c r="M202" s="27">
        <v>227269.64912471551</v>
      </c>
    </row>
    <row r="203" spans="1:13" x14ac:dyDescent="0.75">
      <c r="A203" s="40">
        <v>201</v>
      </c>
      <c r="B203" s="27">
        <v>1164.6402292718849</v>
      </c>
      <c r="C203" s="27">
        <v>1936.3508600955101</v>
      </c>
      <c r="D203" s="27">
        <v>2892.7750737664755</v>
      </c>
      <c r="E203" s="27">
        <v>3703.560947718579</v>
      </c>
      <c r="F203" s="27">
        <v>5616.5011037202494</v>
      </c>
      <c r="G203" s="27">
        <v>8075.9411811886239</v>
      </c>
      <c r="H203" s="27">
        <v>10946.495448212954</v>
      </c>
      <c r="I203" s="27">
        <v>14680.369192140672</v>
      </c>
      <c r="J203" s="27">
        <v>23878.999581770448</v>
      </c>
      <c r="K203" s="27">
        <v>50147.055819977948</v>
      </c>
      <c r="L203" s="27">
        <v>107070.47565494842</v>
      </c>
      <c r="M203" s="27">
        <v>230113.16509281175</v>
      </c>
    </row>
    <row r="204" spans="1:13" x14ac:dyDescent="0.75">
      <c r="A204" s="40">
        <v>202</v>
      </c>
      <c r="B204" s="27">
        <v>1233.0542825069133</v>
      </c>
      <c r="C204" s="27">
        <v>1511.1372409183678</v>
      </c>
      <c r="D204" s="27">
        <v>2371.4655693035165</v>
      </c>
      <c r="E204" s="27">
        <v>3790.0354831556178</v>
      </c>
      <c r="F204" s="27">
        <v>5369.968016122657</v>
      </c>
      <c r="G204" s="27">
        <v>7502.5010707380134</v>
      </c>
      <c r="H204" s="27">
        <v>10993.995504524384</v>
      </c>
      <c r="I204" s="27">
        <v>14765.050328583515</v>
      </c>
      <c r="J204" s="27">
        <v>24978.741221929886</v>
      </c>
      <c r="K204" s="27">
        <v>46504.978472881048</v>
      </c>
      <c r="L204" s="27">
        <v>105308.68114766979</v>
      </c>
      <c r="M204" s="27">
        <v>224329.60833833372</v>
      </c>
    </row>
    <row r="205" spans="1:13" x14ac:dyDescent="0.75">
      <c r="A205" s="40">
        <v>203</v>
      </c>
      <c r="B205" s="27">
        <v>561.50584823064855</v>
      </c>
      <c r="C205" s="27">
        <v>1120.6894822797331</v>
      </c>
      <c r="D205" s="27">
        <v>1984.8007343489735</v>
      </c>
      <c r="E205" s="27">
        <v>3074.5369247135968</v>
      </c>
      <c r="F205" s="27">
        <v>4951.5865542752144</v>
      </c>
      <c r="G205" s="27">
        <v>7455.7536225297663</v>
      </c>
      <c r="H205" s="27">
        <v>9609.0797011466348</v>
      </c>
      <c r="I205" s="27">
        <v>13597.084893895022</v>
      </c>
      <c r="J205" s="27">
        <v>23127.551128372812</v>
      </c>
      <c r="K205" s="27">
        <v>43233.610372042342</v>
      </c>
      <c r="L205" s="27">
        <v>115152.21464021</v>
      </c>
      <c r="M205" s="27">
        <v>223868.41390204476</v>
      </c>
    </row>
    <row r="206" spans="1:13" x14ac:dyDescent="0.75">
      <c r="A206" s="40">
        <v>204</v>
      </c>
      <c r="B206" s="27">
        <v>1038.2598442104791</v>
      </c>
      <c r="C206" s="27">
        <v>1743.7525128894486</v>
      </c>
      <c r="D206" s="27">
        <v>2648.766677133608</v>
      </c>
      <c r="E206" s="27">
        <v>3643.1153751393431</v>
      </c>
      <c r="F206" s="27">
        <v>5559.6130954000691</v>
      </c>
      <c r="G206" s="27">
        <v>8028.1843949370086</v>
      </c>
      <c r="H206" s="27">
        <v>11180.34732165988</v>
      </c>
      <c r="I206" s="27">
        <v>14360.040852065067</v>
      </c>
      <c r="J206" s="27">
        <v>24173.028801120876</v>
      </c>
      <c r="K206" s="27">
        <v>47947.42352539979</v>
      </c>
      <c r="L206" s="27">
        <v>115095.63201007002</v>
      </c>
      <c r="M206" s="27">
        <v>235418.16441002558</v>
      </c>
    </row>
    <row r="207" spans="1:13" x14ac:dyDescent="0.75">
      <c r="A207" s="40">
        <v>205</v>
      </c>
      <c r="B207" s="27">
        <v>1152.9539337987517</v>
      </c>
      <c r="C207" s="27">
        <v>1558.697033932971</v>
      </c>
      <c r="D207" s="27">
        <v>2349.4005016130977</v>
      </c>
      <c r="E207" s="27">
        <v>3278.7382759170287</v>
      </c>
      <c r="F207" s="27">
        <v>4947.682814562344</v>
      </c>
      <c r="G207" s="27">
        <v>7458.4772316608869</v>
      </c>
      <c r="H207" s="27">
        <v>9956.0193694996415</v>
      </c>
      <c r="I207" s="27">
        <v>14547.137267397877</v>
      </c>
      <c r="J207" s="27">
        <v>22959.193381538847</v>
      </c>
      <c r="K207" s="27">
        <v>48130.875751854881</v>
      </c>
      <c r="L207" s="27">
        <v>110216.27327042725</v>
      </c>
      <c r="M207" s="27">
        <v>226555.44883220358</v>
      </c>
    </row>
    <row r="208" spans="1:13" x14ac:dyDescent="0.75">
      <c r="A208" s="40">
        <v>206</v>
      </c>
      <c r="B208" s="27">
        <v>655.04752587535768</v>
      </c>
      <c r="C208" s="27">
        <v>1056.5947253214981</v>
      </c>
      <c r="D208" s="27">
        <v>2127.9019873120851</v>
      </c>
      <c r="E208" s="27">
        <v>3402.6535130237316</v>
      </c>
      <c r="F208" s="27">
        <v>5298.9314708255988</v>
      </c>
      <c r="G208" s="27">
        <v>7682.211500834208</v>
      </c>
      <c r="H208" s="27">
        <v>10747.025836301356</v>
      </c>
      <c r="I208" s="27">
        <v>14676.352482322516</v>
      </c>
      <c r="J208" s="27">
        <v>23712.092353320186</v>
      </c>
      <c r="K208" s="27">
        <v>48261.942623741154</v>
      </c>
      <c r="L208" s="27">
        <v>116170.50954336593</v>
      </c>
      <c r="M208" s="27">
        <v>233791.26356224361</v>
      </c>
    </row>
    <row r="209" spans="1:13" x14ac:dyDescent="0.75">
      <c r="A209" s="40">
        <v>207</v>
      </c>
      <c r="B209" s="27">
        <v>791.89001986547373</v>
      </c>
      <c r="C209" s="27">
        <v>1042.7982434367732</v>
      </c>
      <c r="D209" s="27">
        <v>1947.0187699778326</v>
      </c>
      <c r="E209" s="27">
        <v>2749.3258360473264</v>
      </c>
      <c r="F209" s="27">
        <v>4639.4997271808243</v>
      </c>
      <c r="G209" s="27">
        <v>7170.902113132528</v>
      </c>
      <c r="H209" s="27">
        <v>9996.3550317368936</v>
      </c>
      <c r="I209" s="27">
        <v>14257.587545313771</v>
      </c>
      <c r="J209" s="27">
        <v>22511.267659119563</v>
      </c>
      <c r="K209" s="27">
        <v>48429.486130084697</v>
      </c>
      <c r="L209" s="27">
        <v>117159.4855200568</v>
      </c>
      <c r="M209" s="27">
        <v>230695.61659595248</v>
      </c>
    </row>
    <row r="210" spans="1:13" x14ac:dyDescent="0.75">
      <c r="A210" s="40">
        <v>208</v>
      </c>
      <c r="B210" s="27">
        <v>549.70025784161408</v>
      </c>
      <c r="C210" s="27">
        <v>954.54764239522046</v>
      </c>
      <c r="D210" s="27">
        <v>1747.4950940562994</v>
      </c>
      <c r="E210" s="27">
        <v>2925.333643619073</v>
      </c>
      <c r="F210" s="27">
        <v>4996.0700088885205</v>
      </c>
      <c r="G210" s="27">
        <v>7373.0063715741853</v>
      </c>
      <c r="H210" s="27">
        <v>10212.120571209001</v>
      </c>
      <c r="I210" s="27">
        <v>14557.988331229513</v>
      </c>
      <c r="J210" s="27">
        <v>23248.622041632261</v>
      </c>
      <c r="K210" s="27">
        <v>46609.055664970161</v>
      </c>
      <c r="L210" s="27">
        <v>118542.48879233784</v>
      </c>
      <c r="M210" s="27">
        <v>231716.42841975368</v>
      </c>
    </row>
    <row r="211" spans="1:13" x14ac:dyDescent="0.75">
      <c r="A211" s="40">
        <v>209</v>
      </c>
      <c r="B211" s="27">
        <v>438.24500074137177</v>
      </c>
      <c r="C211" s="27">
        <v>692.46852869349823</v>
      </c>
      <c r="D211" s="27">
        <v>1623.5476206379535</v>
      </c>
      <c r="E211" s="27">
        <v>2392.1344315085153</v>
      </c>
      <c r="F211" s="27">
        <v>4262.6674601771228</v>
      </c>
      <c r="G211" s="27">
        <v>5942.5491914752056</v>
      </c>
      <c r="H211" s="27">
        <v>8524.8096317948221</v>
      </c>
      <c r="I211" s="27">
        <v>12794.557329411589</v>
      </c>
      <c r="J211" s="27">
        <v>22158.088358626279</v>
      </c>
      <c r="K211" s="27">
        <v>46016.2861671992</v>
      </c>
      <c r="L211" s="27">
        <v>112947.18955403694</v>
      </c>
      <c r="M211" s="27">
        <v>217792.5432743025</v>
      </c>
    </row>
    <row r="212" spans="1:13" x14ac:dyDescent="0.75">
      <c r="A212" s="40">
        <v>210</v>
      </c>
      <c r="B212" s="27">
        <v>644.44622898184753</v>
      </c>
      <c r="C212" s="27">
        <v>875.54897748163785</v>
      </c>
      <c r="D212" s="27">
        <v>1923.7528116882459</v>
      </c>
      <c r="E212" s="27">
        <v>3179.7537821939623</v>
      </c>
      <c r="F212" s="27">
        <v>4697.3101155866461</v>
      </c>
      <c r="G212" s="27">
        <v>7187.8181502980005</v>
      </c>
      <c r="H212" s="27">
        <v>9391.2065853655367</v>
      </c>
      <c r="I212" s="27">
        <v>14235.675510395449</v>
      </c>
      <c r="J212" s="27">
        <v>22472.471672144427</v>
      </c>
      <c r="K212" s="27">
        <v>44095.391219671932</v>
      </c>
      <c r="L212" s="27">
        <v>111143.75889751733</v>
      </c>
      <c r="M212" s="27">
        <v>219847.13395132503</v>
      </c>
    </row>
    <row r="213" spans="1:13" x14ac:dyDescent="0.75">
      <c r="A213" s="40">
        <v>211</v>
      </c>
      <c r="B213" s="27">
        <v>711.55340516021533</v>
      </c>
      <c r="C213" s="27">
        <v>1471.8099926975992</v>
      </c>
      <c r="D213" s="27">
        <v>2501.5213052331237</v>
      </c>
      <c r="E213" s="27">
        <v>3730.7707217855932</v>
      </c>
      <c r="F213" s="27">
        <v>5293.5839983672486</v>
      </c>
      <c r="G213" s="27">
        <v>8136.0239572640567</v>
      </c>
      <c r="H213" s="27">
        <v>11235.287041890289</v>
      </c>
      <c r="I213" s="27">
        <v>15023.265445375859</v>
      </c>
      <c r="J213" s="27">
        <v>25992.581899979166</v>
      </c>
      <c r="K213" s="27">
        <v>50629.981067263318</v>
      </c>
      <c r="L213" s="27">
        <v>117547.54711369412</v>
      </c>
      <c r="M213" s="27">
        <v>242273.92594871059</v>
      </c>
    </row>
    <row r="214" spans="1:13" x14ac:dyDescent="0.75">
      <c r="A214" s="40">
        <v>212</v>
      </c>
      <c r="B214" s="27">
        <v>1114.3731150707899</v>
      </c>
      <c r="C214" s="27">
        <v>1671.235912326476</v>
      </c>
      <c r="D214" s="27">
        <v>2883.6700522806204</v>
      </c>
      <c r="E214" s="27">
        <v>4211.2801784847106</v>
      </c>
      <c r="F214" s="27">
        <v>6326.7223818124039</v>
      </c>
      <c r="G214" s="27">
        <v>8952.8293391675688</v>
      </c>
      <c r="H214" s="27">
        <v>12067.89270761449</v>
      </c>
      <c r="I214" s="27">
        <v>16748.694769427355</v>
      </c>
      <c r="J214" s="27">
        <v>24775.755573349656</v>
      </c>
      <c r="K214" s="27">
        <v>50211.237769115862</v>
      </c>
      <c r="L214" s="27">
        <v>111512.46975202826</v>
      </c>
      <c r="M214" s="27">
        <v>240476.1615506782</v>
      </c>
    </row>
    <row r="215" spans="1:13" x14ac:dyDescent="0.75">
      <c r="A215" s="40">
        <v>213</v>
      </c>
      <c r="B215" s="27">
        <v>1135.6282524072303</v>
      </c>
      <c r="C215" s="27">
        <v>1869.5349419148552</v>
      </c>
      <c r="D215" s="27">
        <v>2884.9398198675044</v>
      </c>
      <c r="E215" s="27">
        <v>4445.9220634143276</v>
      </c>
      <c r="F215" s="27">
        <v>6135.9464234568295</v>
      </c>
      <c r="G215" s="27">
        <v>8409.6524262084276</v>
      </c>
      <c r="H215" s="27">
        <v>11196.380086118035</v>
      </c>
      <c r="I215" s="27">
        <v>15145.35849880724</v>
      </c>
      <c r="J215" s="27">
        <v>23814.489797057293</v>
      </c>
      <c r="K215" s="27">
        <v>45003.720302663001</v>
      </c>
      <c r="L215" s="27">
        <v>111523.28031880446</v>
      </c>
      <c r="M215" s="27">
        <v>231564.85293071921</v>
      </c>
    </row>
    <row r="216" spans="1:13" x14ac:dyDescent="0.75">
      <c r="A216" s="40">
        <v>214</v>
      </c>
      <c r="B216" s="27">
        <v>592.62185943538498</v>
      </c>
      <c r="C216" s="27">
        <v>904.2318915087817</v>
      </c>
      <c r="D216" s="27">
        <v>1575.9292873895174</v>
      </c>
      <c r="E216" s="27">
        <v>2710.0153097363509</v>
      </c>
      <c r="F216" s="27">
        <v>4823.111408862198</v>
      </c>
      <c r="G216" s="27">
        <v>7389.5993669177988</v>
      </c>
      <c r="H216" s="27">
        <v>10039.553798786714</v>
      </c>
      <c r="I216" s="27">
        <v>14137.097973938507</v>
      </c>
      <c r="J216" s="27">
        <v>21992.196105652663</v>
      </c>
      <c r="K216" s="27">
        <v>47681.809872824902</v>
      </c>
      <c r="L216" s="27">
        <v>106387.97094549789</v>
      </c>
      <c r="M216" s="27">
        <v>218234.13782055071</v>
      </c>
    </row>
    <row r="217" spans="1:13" x14ac:dyDescent="0.75">
      <c r="A217" s="40">
        <v>215</v>
      </c>
      <c r="B217" s="27">
        <v>871.21140813097009</v>
      </c>
      <c r="C217" s="27">
        <v>1267.1128821960301</v>
      </c>
      <c r="D217" s="27">
        <v>2077.5270209535229</v>
      </c>
      <c r="E217" s="27">
        <v>3232.6308435130195</v>
      </c>
      <c r="F217" s="27">
        <v>5250.9771786427882</v>
      </c>
      <c r="G217" s="27">
        <v>7799.1616232439992</v>
      </c>
      <c r="H217" s="27">
        <v>10136.258570320526</v>
      </c>
      <c r="I217" s="27">
        <v>13268.697096419593</v>
      </c>
      <c r="J217" s="27">
        <v>23539.953806989986</v>
      </c>
      <c r="K217" s="27">
        <v>47784.444796994561</v>
      </c>
      <c r="L217" s="27">
        <v>116171.1230211783</v>
      </c>
      <c r="M217" s="27">
        <v>231399.09824858329</v>
      </c>
    </row>
    <row r="218" spans="1:13" x14ac:dyDescent="0.75">
      <c r="A218" s="40">
        <v>216</v>
      </c>
      <c r="B218" s="27">
        <v>709.22012487484608</v>
      </c>
      <c r="C218" s="27">
        <v>1220.2368907248165</v>
      </c>
      <c r="D218" s="27">
        <v>1960.9755436878768</v>
      </c>
      <c r="E218" s="27">
        <v>2999.2545605709456</v>
      </c>
      <c r="F218" s="27">
        <v>4815.7147088996717</v>
      </c>
      <c r="G218" s="27">
        <v>7609.2637047712633</v>
      </c>
      <c r="H218" s="27">
        <v>9750.1497713826684</v>
      </c>
      <c r="I218" s="27">
        <v>14017.508546349651</v>
      </c>
      <c r="J218" s="27">
        <v>23100.328066997841</v>
      </c>
      <c r="K218" s="27">
        <v>45514.360803645133</v>
      </c>
      <c r="L218" s="27">
        <v>110253.94140379458</v>
      </c>
      <c r="M218" s="27">
        <v>221950.9541256993</v>
      </c>
    </row>
    <row r="219" spans="1:13" x14ac:dyDescent="0.75">
      <c r="A219" s="40">
        <v>217</v>
      </c>
      <c r="B219" s="27">
        <v>1250.4690498041455</v>
      </c>
      <c r="C219" s="27">
        <v>1846.22013631952</v>
      </c>
      <c r="D219" s="27">
        <v>2875.8192980074527</v>
      </c>
      <c r="E219" s="27">
        <v>4153.963734417106</v>
      </c>
      <c r="F219" s="27">
        <v>5977.0932843898481</v>
      </c>
      <c r="G219" s="27">
        <v>8218.6252099183039</v>
      </c>
      <c r="H219" s="27">
        <v>10706.022882711783</v>
      </c>
      <c r="I219" s="27">
        <v>14443.818591297138</v>
      </c>
      <c r="J219" s="27">
        <v>24042.24658250573</v>
      </c>
      <c r="K219" s="27">
        <v>48128.409691175562</v>
      </c>
      <c r="L219" s="27">
        <v>110017.5342123317</v>
      </c>
      <c r="M219" s="27">
        <v>231660.2226728783</v>
      </c>
    </row>
    <row r="220" spans="1:13" x14ac:dyDescent="0.75">
      <c r="A220" s="40">
        <v>218</v>
      </c>
      <c r="B220" s="27">
        <v>763.10473578817619</v>
      </c>
      <c r="C220" s="27">
        <v>1266.4807051702664</v>
      </c>
      <c r="D220" s="27">
        <v>2307.708038446217</v>
      </c>
      <c r="E220" s="27">
        <v>3395.0789781099302</v>
      </c>
      <c r="F220" s="27">
        <v>5412.8610564469418</v>
      </c>
      <c r="G220" s="27">
        <v>7602.8195678520133</v>
      </c>
      <c r="H220" s="27">
        <v>10289.022207037953</v>
      </c>
      <c r="I220" s="27">
        <v>14594.554478487917</v>
      </c>
      <c r="J220" s="27">
        <v>22603.09709418338</v>
      </c>
      <c r="K220" s="27">
        <v>47285.954039766875</v>
      </c>
      <c r="L220" s="27">
        <v>110161.27648277191</v>
      </c>
      <c r="M220" s="27">
        <v>225681.95738406159</v>
      </c>
    </row>
    <row r="221" spans="1:13" x14ac:dyDescent="0.75">
      <c r="A221" s="40">
        <v>219</v>
      </c>
      <c r="B221" s="27">
        <v>508.10627472600027</v>
      </c>
      <c r="C221" s="27">
        <v>1149.5295178902015</v>
      </c>
      <c r="D221" s="27">
        <v>2014.1885552747844</v>
      </c>
      <c r="E221" s="27">
        <v>3268.4080706616223</v>
      </c>
      <c r="F221" s="27">
        <v>5184.5782897398167</v>
      </c>
      <c r="G221" s="27">
        <v>7766.7153466367745</v>
      </c>
      <c r="H221" s="27">
        <v>10759.56047120408</v>
      </c>
      <c r="I221" s="27">
        <v>14448.468732426525</v>
      </c>
      <c r="J221" s="27">
        <v>23888.319161186781</v>
      </c>
      <c r="K221" s="27">
        <v>47366.487979069178</v>
      </c>
      <c r="L221" s="27">
        <v>106492.16983195038</v>
      </c>
      <c r="M221" s="27">
        <v>222846.53223076614</v>
      </c>
    </row>
    <row r="222" spans="1:13" x14ac:dyDescent="0.75">
      <c r="A222" s="40">
        <v>220</v>
      </c>
      <c r="B222" s="27">
        <v>1151.1777846897312</v>
      </c>
      <c r="C222" s="27">
        <v>1763.7369210058823</v>
      </c>
      <c r="D222" s="27">
        <v>2747.6791513760691</v>
      </c>
      <c r="E222" s="27">
        <v>3823.6014578830509</v>
      </c>
      <c r="F222" s="27">
        <v>5894.9780835877173</v>
      </c>
      <c r="G222" s="27">
        <v>8695.7275053875637</v>
      </c>
      <c r="H222" s="27">
        <v>10705.926869338859</v>
      </c>
      <c r="I222" s="27">
        <v>15047.900478949552</v>
      </c>
      <c r="J222" s="27">
        <v>22928.031494302719</v>
      </c>
      <c r="K222" s="27">
        <v>45821.847530318599</v>
      </c>
      <c r="L222" s="27">
        <v>113416.95112833867</v>
      </c>
      <c r="M222" s="27">
        <v>231997.55840517842</v>
      </c>
    </row>
    <row r="223" spans="1:13" x14ac:dyDescent="0.75">
      <c r="A223" s="40">
        <v>221</v>
      </c>
      <c r="B223" s="27">
        <v>899.63271196291316</v>
      </c>
      <c r="C223" s="27">
        <v>1219.6497878332884</v>
      </c>
      <c r="D223" s="27">
        <v>2172.8152212649147</v>
      </c>
      <c r="E223" s="27">
        <v>3155.2405083937338</v>
      </c>
      <c r="F223" s="27">
        <v>5791.3632816664176</v>
      </c>
      <c r="G223" s="27">
        <v>7386.8672267728543</v>
      </c>
      <c r="H223" s="27">
        <v>10240.896202693606</v>
      </c>
      <c r="I223" s="27">
        <v>14517.0293215235</v>
      </c>
      <c r="J223" s="27">
        <v>23250.09491720199</v>
      </c>
      <c r="K223" s="27">
        <v>47644.322116453666</v>
      </c>
      <c r="L223" s="27">
        <v>109388.40205877276</v>
      </c>
      <c r="M223" s="27">
        <v>225666.31335453963</v>
      </c>
    </row>
    <row r="224" spans="1:13" x14ac:dyDescent="0.75">
      <c r="A224" s="40">
        <v>222</v>
      </c>
      <c r="B224" s="27">
        <v>936.00857513966912</v>
      </c>
      <c r="C224" s="27">
        <v>1750.7570774164342</v>
      </c>
      <c r="D224" s="27">
        <v>2642.1914892430796</v>
      </c>
      <c r="E224" s="27">
        <v>3572.5458355197625</v>
      </c>
      <c r="F224" s="27">
        <v>5679.1176518245484</v>
      </c>
      <c r="G224" s="27">
        <v>8361.8095345996844</v>
      </c>
      <c r="H224" s="27">
        <v>11025.908457408979</v>
      </c>
      <c r="I224" s="27">
        <v>15558.284857457547</v>
      </c>
      <c r="J224" s="27">
        <v>24441.036766665682</v>
      </c>
      <c r="K224" s="27">
        <v>47847.73030688682</v>
      </c>
      <c r="L224" s="27">
        <v>117764.63872879291</v>
      </c>
      <c r="M224" s="27">
        <v>239580.02928095512</v>
      </c>
    </row>
    <row r="225" spans="1:13" x14ac:dyDescent="0.75">
      <c r="A225" s="40">
        <v>223</v>
      </c>
      <c r="B225" s="27">
        <v>711.78413954458665</v>
      </c>
      <c r="C225" s="27">
        <v>1316.7937234451674</v>
      </c>
      <c r="D225" s="27">
        <v>2186.3132163019181</v>
      </c>
      <c r="E225" s="27">
        <v>3437.718539114343</v>
      </c>
      <c r="F225" s="27">
        <v>5019.7298992611031</v>
      </c>
      <c r="G225" s="27">
        <v>7343.3531074619677</v>
      </c>
      <c r="H225" s="27">
        <v>10028.912774698547</v>
      </c>
      <c r="I225" s="27">
        <v>14308.299018438949</v>
      </c>
      <c r="J225" s="27">
        <v>23578.762691162861</v>
      </c>
      <c r="K225" s="27">
        <v>49378.937791677512</v>
      </c>
      <c r="L225" s="27">
        <v>110465.11883007233</v>
      </c>
      <c r="M225" s="27">
        <v>227775.72373117929</v>
      </c>
    </row>
    <row r="226" spans="1:13" x14ac:dyDescent="0.75">
      <c r="A226" s="40">
        <v>224</v>
      </c>
      <c r="B226" s="27">
        <v>1159.5417136403121</v>
      </c>
      <c r="C226" s="27">
        <v>1658.3653827547241</v>
      </c>
      <c r="D226" s="27">
        <v>2389.9593199307274</v>
      </c>
      <c r="E226" s="27">
        <v>3192.5860002038098</v>
      </c>
      <c r="F226" s="27">
        <v>5067.781825106591</v>
      </c>
      <c r="G226" s="27">
        <v>7161.1240107744816</v>
      </c>
      <c r="H226" s="27">
        <v>10011.440646678151</v>
      </c>
      <c r="I226" s="27">
        <v>13964.652407949718</v>
      </c>
      <c r="J226" s="27">
        <v>23318.784326333174</v>
      </c>
      <c r="K226" s="27">
        <v>46951.85927015217</v>
      </c>
      <c r="L226" s="27">
        <v>117088.36314288693</v>
      </c>
      <c r="M226" s="27">
        <v>231964.45804641079</v>
      </c>
    </row>
    <row r="227" spans="1:13" x14ac:dyDescent="0.75">
      <c r="A227" s="40">
        <v>225</v>
      </c>
      <c r="B227" s="27">
        <v>924.28394079141435</v>
      </c>
      <c r="C227" s="27">
        <v>1454.8580105105066</v>
      </c>
      <c r="D227" s="27">
        <v>2216.1989731573995</v>
      </c>
      <c r="E227" s="27">
        <v>3491.9922089553584</v>
      </c>
      <c r="F227" s="27">
        <v>5611.6149236682977</v>
      </c>
      <c r="G227" s="27">
        <v>7584.1989631505276</v>
      </c>
      <c r="H227" s="27">
        <v>10226.192801350058</v>
      </c>
      <c r="I227" s="27">
        <v>14899.011044890533</v>
      </c>
      <c r="J227" s="27">
        <v>22675.204937887291</v>
      </c>
      <c r="K227" s="27">
        <v>45525.958844211476</v>
      </c>
      <c r="L227" s="27">
        <v>116119.49884406073</v>
      </c>
      <c r="M227" s="27">
        <v>230729.01349263359</v>
      </c>
    </row>
    <row r="228" spans="1:13" x14ac:dyDescent="0.75">
      <c r="A228" s="40">
        <v>226</v>
      </c>
      <c r="B228" s="27">
        <v>908.70828878004977</v>
      </c>
      <c r="C228" s="27">
        <v>1301.9006993678486</v>
      </c>
      <c r="D228" s="27">
        <v>2463.9586391614575</v>
      </c>
      <c r="E228" s="27">
        <v>3605.0498365349922</v>
      </c>
      <c r="F228" s="27">
        <v>6199.7844396528671</v>
      </c>
      <c r="G228" s="27">
        <v>8251.2293988781748</v>
      </c>
      <c r="H228" s="27">
        <v>10756.590741217282</v>
      </c>
      <c r="I228" s="27">
        <v>14906.382154019928</v>
      </c>
      <c r="J228" s="27">
        <v>23032.996205949661</v>
      </c>
      <c r="K228" s="27">
        <v>48774.867524018206</v>
      </c>
      <c r="L228" s="27">
        <v>112592.11514035134</v>
      </c>
      <c r="M228" s="27">
        <v>232793.58306793182</v>
      </c>
    </row>
    <row r="229" spans="1:13" x14ac:dyDescent="0.75">
      <c r="A229" s="40">
        <v>227</v>
      </c>
      <c r="B229" s="27">
        <v>486.117230255084</v>
      </c>
      <c r="C229" s="27">
        <v>1134.0287409713201</v>
      </c>
      <c r="D229" s="27">
        <v>1892.5787184006476</v>
      </c>
      <c r="E229" s="27">
        <v>3030.3483561848843</v>
      </c>
      <c r="F229" s="27">
        <v>4777.7411183778313</v>
      </c>
      <c r="G229" s="27">
        <v>7022.0464229903009</v>
      </c>
      <c r="H229" s="27">
        <v>9682.3911777635076</v>
      </c>
      <c r="I229" s="27">
        <v>14382.002366564062</v>
      </c>
      <c r="J229" s="27">
        <v>22371.429931193459</v>
      </c>
      <c r="K229" s="27">
        <v>48329.148967027271</v>
      </c>
      <c r="L229" s="27">
        <v>108190.06903673129</v>
      </c>
      <c r="M229" s="27">
        <v>221297.90206645965</v>
      </c>
    </row>
    <row r="230" spans="1:13" x14ac:dyDescent="0.75">
      <c r="A230" s="40">
        <v>228</v>
      </c>
      <c r="B230" s="27">
        <v>753.96072418073891</v>
      </c>
      <c r="C230" s="27">
        <v>1155.3019008991978</v>
      </c>
      <c r="D230" s="27">
        <v>2092.9404344284121</v>
      </c>
      <c r="E230" s="27">
        <v>3336.1120465852873</v>
      </c>
      <c r="F230" s="27">
        <v>5316.4381730859168</v>
      </c>
      <c r="G230" s="27">
        <v>7228.8727866793924</v>
      </c>
      <c r="H230" s="27">
        <v>10385.653782068432</v>
      </c>
      <c r="I230" s="27">
        <v>14703.895359960195</v>
      </c>
      <c r="J230" s="27">
        <v>22277.41773890052</v>
      </c>
      <c r="K230" s="27">
        <v>44073.18101161698</v>
      </c>
      <c r="L230" s="27">
        <v>112401.43167088123</v>
      </c>
      <c r="M230" s="27">
        <v>223725.2056292863</v>
      </c>
    </row>
    <row r="231" spans="1:13" x14ac:dyDescent="0.75">
      <c r="A231" s="40">
        <v>229</v>
      </c>
      <c r="B231" s="27">
        <v>1107.6618892051483</v>
      </c>
      <c r="C231" s="27">
        <v>1649.6232686957374</v>
      </c>
      <c r="D231" s="27">
        <v>2577.2629071255215</v>
      </c>
      <c r="E231" s="27">
        <v>3573.6969997800916</v>
      </c>
      <c r="F231" s="27">
        <v>5832.2082564742886</v>
      </c>
      <c r="G231" s="27">
        <v>8319.9940633083752</v>
      </c>
      <c r="H231" s="27">
        <v>11109.542112134252</v>
      </c>
      <c r="I231" s="27">
        <v>15313.821216531564</v>
      </c>
      <c r="J231" s="27">
        <v>23903.120705210225</v>
      </c>
      <c r="K231" s="27">
        <v>49573.448988428543</v>
      </c>
      <c r="L231" s="27">
        <v>111716.55795720828</v>
      </c>
      <c r="M231" s="27">
        <v>234676.93836410204</v>
      </c>
    </row>
    <row r="232" spans="1:13" x14ac:dyDescent="0.75">
      <c r="A232" s="40">
        <v>230</v>
      </c>
      <c r="B232" s="27">
        <v>640.39414128701901</v>
      </c>
      <c r="C232" s="27">
        <v>1098.5052600348426</v>
      </c>
      <c r="D232" s="27">
        <v>1864.0559585827868</v>
      </c>
      <c r="E232" s="27">
        <v>2805.5729188290861</v>
      </c>
      <c r="F232" s="27">
        <v>4766.7058832017938</v>
      </c>
      <c r="G232" s="27">
        <v>6921.3645824127889</v>
      </c>
      <c r="H232" s="27">
        <v>9725.7894463789708</v>
      </c>
      <c r="I232" s="27">
        <v>13686.616558165508</v>
      </c>
      <c r="J232" s="27">
        <v>23185.358227995835</v>
      </c>
      <c r="K232" s="27">
        <v>44815.165384257867</v>
      </c>
      <c r="L232" s="27">
        <v>111423.56462747201</v>
      </c>
      <c r="M232" s="27">
        <v>220933.0929886185</v>
      </c>
    </row>
    <row r="233" spans="1:13" x14ac:dyDescent="0.75">
      <c r="A233" s="40">
        <v>231</v>
      </c>
      <c r="B233" s="27">
        <v>1169.6996235564147</v>
      </c>
      <c r="C233" s="27">
        <v>1896.2616355158389</v>
      </c>
      <c r="D233" s="27">
        <v>2446.9692517663207</v>
      </c>
      <c r="E233" s="27">
        <v>4079.3362497064081</v>
      </c>
      <c r="F233" s="27">
        <v>5492.1491549465281</v>
      </c>
      <c r="G233" s="27">
        <v>8140.5330222268822</v>
      </c>
      <c r="H233" s="27">
        <v>10628.618128594593</v>
      </c>
      <c r="I233" s="27">
        <v>15149.516661686095</v>
      </c>
      <c r="J233" s="27">
        <v>23680.969436784872</v>
      </c>
      <c r="K233" s="27">
        <v>47757.297052653594</v>
      </c>
      <c r="L233" s="27">
        <v>109147.7638945809</v>
      </c>
      <c r="M233" s="27">
        <v>229589.11411201843</v>
      </c>
    </row>
    <row r="234" spans="1:13" x14ac:dyDescent="0.75">
      <c r="A234" s="40">
        <v>232</v>
      </c>
      <c r="B234" s="27">
        <v>290.88692061764596</v>
      </c>
      <c r="C234" s="27">
        <v>526.42372943693772</v>
      </c>
      <c r="D234" s="27">
        <v>1230.6947083904961</v>
      </c>
      <c r="E234" s="27">
        <v>2573.628203611428</v>
      </c>
      <c r="F234" s="27">
        <v>4140.0737042136607</v>
      </c>
      <c r="G234" s="27">
        <v>6620.1611902978329</v>
      </c>
      <c r="H234" s="27">
        <v>9434.3730258783617</v>
      </c>
      <c r="I234" s="27">
        <v>13471.725454337196</v>
      </c>
      <c r="J234" s="27">
        <v>20590.944488424429</v>
      </c>
      <c r="K234" s="27">
        <v>45436.969497139056</v>
      </c>
      <c r="L234" s="27">
        <v>105267.46767136182</v>
      </c>
      <c r="M234" s="27">
        <v>209583.34859370888</v>
      </c>
    </row>
    <row r="235" spans="1:13" x14ac:dyDescent="0.75">
      <c r="A235" s="40">
        <v>233</v>
      </c>
      <c r="B235" s="27">
        <v>983.00482346194622</v>
      </c>
      <c r="C235" s="27">
        <v>1782.5992159535381</v>
      </c>
      <c r="D235" s="27">
        <v>2328.2832299198199</v>
      </c>
      <c r="E235" s="27">
        <v>3507.4680510492326</v>
      </c>
      <c r="F235" s="27">
        <v>5644.0652657568571</v>
      </c>
      <c r="G235" s="27">
        <v>8119.805321147549</v>
      </c>
      <c r="H235" s="27">
        <v>10003.149093256026</v>
      </c>
      <c r="I235" s="27">
        <v>14100.829500795648</v>
      </c>
      <c r="J235" s="27">
        <v>22994.69295789249</v>
      </c>
      <c r="K235" s="27">
        <v>47655.387613689978</v>
      </c>
      <c r="L235" s="27">
        <v>117853.64808270601</v>
      </c>
      <c r="M235" s="27">
        <v>234972.93315562909</v>
      </c>
    </row>
    <row r="236" spans="1:13" x14ac:dyDescent="0.75">
      <c r="A236" s="40">
        <v>234</v>
      </c>
      <c r="B236" s="27">
        <v>577.12256151293695</v>
      </c>
      <c r="C236" s="27">
        <v>1091.3605957660911</v>
      </c>
      <c r="D236" s="27">
        <v>2143.699875779057</v>
      </c>
      <c r="E236" s="27">
        <v>3175.8828310407407</v>
      </c>
      <c r="F236" s="27">
        <v>4954.1900184081751</v>
      </c>
      <c r="G236" s="27">
        <v>7397.0214100200392</v>
      </c>
      <c r="H236" s="27">
        <v>9187.6549734648288</v>
      </c>
      <c r="I236" s="27">
        <v>12874.816769270212</v>
      </c>
      <c r="J236" s="27">
        <v>22148.847886478936</v>
      </c>
      <c r="K236" s="27">
        <v>45012.977315718599</v>
      </c>
      <c r="L236" s="27">
        <v>124852.32357944491</v>
      </c>
      <c r="M236" s="27">
        <v>233415.89781690453</v>
      </c>
    </row>
    <row r="237" spans="1:13" x14ac:dyDescent="0.75">
      <c r="A237" s="40">
        <v>235</v>
      </c>
      <c r="B237" s="27">
        <v>1065.9349884870899</v>
      </c>
      <c r="C237" s="27">
        <v>1555.1961503588827</v>
      </c>
      <c r="D237" s="27">
        <v>2414.0100454408239</v>
      </c>
      <c r="E237" s="27">
        <v>3357.1332321134105</v>
      </c>
      <c r="F237" s="27">
        <v>5688.3784982396173</v>
      </c>
      <c r="G237" s="27">
        <v>7783.8409277044702</v>
      </c>
      <c r="H237" s="27">
        <v>10474.326289567369</v>
      </c>
      <c r="I237" s="27">
        <v>14942.201220883944</v>
      </c>
      <c r="J237" s="27">
        <v>22638.671685419133</v>
      </c>
      <c r="K237" s="27">
        <v>46964.156723750551</v>
      </c>
      <c r="L237" s="27">
        <v>113824.23762521206</v>
      </c>
      <c r="M237" s="27">
        <v>230708.08738717734</v>
      </c>
    </row>
    <row r="238" spans="1:13" x14ac:dyDescent="0.75">
      <c r="A238" s="40">
        <v>236</v>
      </c>
      <c r="B238" s="27">
        <v>1096.7713443619577</v>
      </c>
      <c r="C238" s="27">
        <v>1384.2384300228296</v>
      </c>
      <c r="D238" s="27">
        <v>2212.0946768763533</v>
      </c>
      <c r="E238" s="27">
        <v>3797.4258077487029</v>
      </c>
      <c r="F238" s="27">
        <v>6241.7595939163584</v>
      </c>
      <c r="G238" s="27">
        <v>8445.2889293970366</v>
      </c>
      <c r="H238" s="27">
        <v>11063.004262494054</v>
      </c>
      <c r="I238" s="27">
        <v>15628.266543997277</v>
      </c>
      <c r="J238" s="27">
        <v>24636.370372368256</v>
      </c>
      <c r="K238" s="27">
        <v>46617.304423169757</v>
      </c>
      <c r="L238" s="27">
        <v>118440.27820888015</v>
      </c>
      <c r="M238" s="27">
        <v>239562.80259323271</v>
      </c>
    </row>
    <row r="239" spans="1:13" x14ac:dyDescent="0.75">
      <c r="A239" s="40">
        <v>237</v>
      </c>
      <c r="B239" s="27">
        <v>510.06071736368176</v>
      </c>
      <c r="C239" s="27">
        <v>1022.6536832087877</v>
      </c>
      <c r="D239" s="27">
        <v>1926.7128299313481</v>
      </c>
      <c r="E239" s="27">
        <v>2969.6884628026892</v>
      </c>
      <c r="F239" s="27">
        <v>4911.4800315380999</v>
      </c>
      <c r="G239" s="27">
        <v>7322.5279263436969</v>
      </c>
      <c r="H239" s="27">
        <v>9633.6820265616552</v>
      </c>
      <c r="I239" s="27">
        <v>13490.668119501963</v>
      </c>
      <c r="J239" s="27">
        <v>22266.092620252079</v>
      </c>
      <c r="K239" s="27">
        <v>43565.914463109453</v>
      </c>
      <c r="L239" s="27">
        <v>117284.03295922381</v>
      </c>
      <c r="M239" s="27">
        <v>224903.51383983728</v>
      </c>
    </row>
    <row r="240" spans="1:13" x14ac:dyDescent="0.75">
      <c r="A240" s="40">
        <v>238</v>
      </c>
      <c r="B240" s="27">
        <v>1105.34255871184</v>
      </c>
      <c r="C240" s="27">
        <v>1684.9402806889557</v>
      </c>
      <c r="D240" s="27">
        <v>2720.4128539276571</v>
      </c>
      <c r="E240" s="27">
        <v>3810.5043567219109</v>
      </c>
      <c r="F240" s="27">
        <v>5790.8164787981077</v>
      </c>
      <c r="G240" s="27">
        <v>8411.7325105823111</v>
      </c>
      <c r="H240" s="27">
        <v>10024.409341400038</v>
      </c>
      <c r="I240" s="27">
        <v>14728.781755828415</v>
      </c>
      <c r="J240" s="27">
        <v>22996.436348148243</v>
      </c>
      <c r="K240" s="27">
        <v>46654.838557218667</v>
      </c>
      <c r="L240" s="27">
        <v>111530.10248717654</v>
      </c>
      <c r="M240" s="27">
        <v>229458.31752920267</v>
      </c>
    </row>
    <row r="241" spans="1:13" x14ac:dyDescent="0.75">
      <c r="A241" s="40">
        <v>239</v>
      </c>
      <c r="B241" s="27">
        <v>1085.8567647432355</v>
      </c>
      <c r="C241" s="27">
        <v>1577.8038191285159</v>
      </c>
      <c r="D241" s="27">
        <v>2390.9245540806442</v>
      </c>
      <c r="E241" s="27">
        <v>3277.9480559928634</v>
      </c>
      <c r="F241" s="27">
        <v>5230.5085722902149</v>
      </c>
      <c r="G241" s="27">
        <v>7485.0404889019555</v>
      </c>
      <c r="H241" s="27">
        <v>10192.868479979908</v>
      </c>
      <c r="I241" s="27">
        <v>14486.115725557422</v>
      </c>
      <c r="J241" s="27">
        <v>23519.92641973721</v>
      </c>
      <c r="K241" s="27">
        <v>49214.695191176434</v>
      </c>
      <c r="L241" s="27">
        <v>106519.55785821563</v>
      </c>
      <c r="M241" s="27">
        <v>224981.24592980405</v>
      </c>
    </row>
    <row r="242" spans="1:13" x14ac:dyDescent="0.75">
      <c r="A242" s="40">
        <v>240</v>
      </c>
      <c r="B242" s="27">
        <v>689.70892768690828</v>
      </c>
      <c r="C242" s="27">
        <v>1173.3653242770088</v>
      </c>
      <c r="D242" s="27">
        <v>2243.701671869203</v>
      </c>
      <c r="E242" s="27">
        <v>3379.0704329090804</v>
      </c>
      <c r="F242" s="27">
        <v>5190.6601786319807</v>
      </c>
      <c r="G242" s="27">
        <v>7656.8120964199188</v>
      </c>
      <c r="H242" s="27">
        <v>10378.454775550053</v>
      </c>
      <c r="I242" s="27">
        <v>14595.342532409908</v>
      </c>
      <c r="J242" s="27">
        <v>25207.718272135797</v>
      </c>
      <c r="K242" s="27">
        <v>49138.223409551079</v>
      </c>
      <c r="L242" s="27">
        <v>104573.58336284474</v>
      </c>
      <c r="M242" s="27">
        <v>224226.64098428568</v>
      </c>
    </row>
    <row r="243" spans="1:13" x14ac:dyDescent="0.75">
      <c r="A243" s="40">
        <v>241</v>
      </c>
      <c r="B243" s="27">
        <v>510.43447447156359</v>
      </c>
      <c r="C243" s="27">
        <v>912.07071713397454</v>
      </c>
      <c r="D243" s="27">
        <v>1566.3772122320661</v>
      </c>
      <c r="E243" s="27">
        <v>2555.3283449595183</v>
      </c>
      <c r="F243" s="27">
        <v>4314.1275725912856</v>
      </c>
      <c r="G243" s="27">
        <v>6278.2713568219915</v>
      </c>
      <c r="H243" s="27">
        <v>9225.8947444610239</v>
      </c>
      <c r="I243" s="27">
        <v>12835.41526486128</v>
      </c>
      <c r="J243" s="27">
        <v>22172.135864126496</v>
      </c>
      <c r="K243" s="27">
        <v>44661.267158190618</v>
      </c>
      <c r="L243" s="27">
        <v>107881.49216526357</v>
      </c>
      <c r="M243" s="27">
        <v>212912.81487511337</v>
      </c>
    </row>
    <row r="244" spans="1:13" x14ac:dyDescent="0.75">
      <c r="A244" s="40">
        <v>242</v>
      </c>
      <c r="B244" s="27">
        <v>807.5232532844675</v>
      </c>
      <c r="C244" s="27">
        <v>1229.4210945747618</v>
      </c>
      <c r="D244" s="27">
        <v>2185.4878856118012</v>
      </c>
      <c r="E244" s="27">
        <v>3398.1090775889461</v>
      </c>
      <c r="F244" s="27">
        <v>5898.4071191827825</v>
      </c>
      <c r="G244" s="27">
        <v>7752.1198963824136</v>
      </c>
      <c r="H244" s="27">
        <v>10436.675718570215</v>
      </c>
      <c r="I244" s="27">
        <v>14042.157825894566</v>
      </c>
      <c r="J244" s="27">
        <v>23627.997319859976</v>
      </c>
      <c r="K244" s="27">
        <v>46689.230379839137</v>
      </c>
      <c r="L244" s="27">
        <v>118727.49932730033</v>
      </c>
      <c r="M244" s="27">
        <v>234794.6288980894</v>
      </c>
    </row>
    <row r="245" spans="1:13" x14ac:dyDescent="0.75">
      <c r="A245" s="40">
        <v>243</v>
      </c>
      <c r="B245" s="27">
        <v>1063.7822392841917</v>
      </c>
      <c r="C245" s="27">
        <v>1542.9456719453301</v>
      </c>
      <c r="D245" s="27">
        <v>2376.7275157280965</v>
      </c>
      <c r="E245" s="27">
        <v>3619.2557765771926</v>
      </c>
      <c r="F245" s="27">
        <v>6018.6265315845376</v>
      </c>
      <c r="G245" s="27">
        <v>8327.3435786320479</v>
      </c>
      <c r="H245" s="27">
        <v>10452.139569678111</v>
      </c>
      <c r="I245" s="27">
        <v>14702.287778300364</v>
      </c>
      <c r="J245" s="27">
        <v>23540.131714287636</v>
      </c>
      <c r="K245" s="27">
        <v>45690.784550033219</v>
      </c>
      <c r="L245" s="27">
        <v>121829.51901324687</v>
      </c>
      <c r="M245" s="27">
        <v>239163.54393929761</v>
      </c>
    </row>
    <row r="246" spans="1:13" x14ac:dyDescent="0.75">
      <c r="A246" s="40">
        <v>244</v>
      </c>
      <c r="B246" s="27">
        <v>472.01493921066867</v>
      </c>
      <c r="C246" s="27">
        <v>810.98401743729482</v>
      </c>
      <c r="D246" s="27">
        <v>1642.587968203472</v>
      </c>
      <c r="E246" s="27">
        <v>2743.6411738659372</v>
      </c>
      <c r="F246" s="27">
        <v>4879.369566876383</v>
      </c>
      <c r="G246" s="27">
        <v>7097.560182082525</v>
      </c>
      <c r="H246" s="27">
        <v>10234.686857027162</v>
      </c>
      <c r="I246" s="27">
        <v>14326.12095236298</v>
      </c>
      <c r="J246" s="27">
        <v>21727.422800969434</v>
      </c>
      <c r="K246" s="27">
        <v>47140.46916280991</v>
      </c>
      <c r="L246" s="27">
        <v>116093.85669396337</v>
      </c>
      <c r="M246" s="27">
        <v>227168.71431480913</v>
      </c>
    </row>
    <row r="247" spans="1:13" x14ac:dyDescent="0.75">
      <c r="A247" s="40">
        <v>245</v>
      </c>
      <c r="B247" s="27">
        <v>683.1253000642464</v>
      </c>
      <c r="C247" s="27">
        <v>915.10323186541791</v>
      </c>
      <c r="D247" s="27">
        <v>1756.4090735439677</v>
      </c>
      <c r="E247" s="27">
        <v>2841.5379912718054</v>
      </c>
      <c r="F247" s="27">
        <v>4667.3622681048437</v>
      </c>
      <c r="G247" s="27">
        <v>6899.1793115152686</v>
      </c>
      <c r="H247" s="27">
        <v>9227.5835855028563</v>
      </c>
      <c r="I247" s="27">
        <v>13491.25150483512</v>
      </c>
      <c r="J247" s="27">
        <v>23018.447059811835</v>
      </c>
      <c r="K247" s="27">
        <v>46691.022216636047</v>
      </c>
      <c r="L247" s="27">
        <v>115702.40358144342</v>
      </c>
      <c r="M247" s="27">
        <v>225893.42512459483</v>
      </c>
    </row>
    <row r="248" spans="1:13" x14ac:dyDescent="0.75">
      <c r="A248" s="40">
        <v>246</v>
      </c>
      <c r="B248" s="27">
        <v>617.5644754620298</v>
      </c>
      <c r="C248" s="27">
        <v>851.72098570801609</v>
      </c>
      <c r="D248" s="27">
        <v>1599.3028690877254</v>
      </c>
      <c r="E248" s="27">
        <v>2838.5344897840696</v>
      </c>
      <c r="F248" s="27">
        <v>4653.7066323410691</v>
      </c>
      <c r="G248" s="27">
        <v>6886.4778993482469</v>
      </c>
      <c r="H248" s="27">
        <v>9751.8486621407792</v>
      </c>
      <c r="I248" s="27">
        <v>12952.931850085239</v>
      </c>
      <c r="J248" s="27">
        <v>22251.856307258859</v>
      </c>
      <c r="K248" s="27">
        <v>44546.479397657822</v>
      </c>
      <c r="L248" s="27">
        <v>109697.98200916586</v>
      </c>
      <c r="M248" s="27">
        <v>216648.4055780397</v>
      </c>
    </row>
    <row r="249" spans="1:13" x14ac:dyDescent="0.75">
      <c r="A249" s="40">
        <v>247</v>
      </c>
      <c r="B249" s="27">
        <v>713.98068681973382</v>
      </c>
      <c r="C249" s="27">
        <v>1392.4993456223892</v>
      </c>
      <c r="D249" s="27">
        <v>2630.2846332567569</v>
      </c>
      <c r="E249" s="27">
        <v>3379.7962422525598</v>
      </c>
      <c r="F249" s="27">
        <v>5380.2890951104055</v>
      </c>
      <c r="G249" s="27">
        <v>7457.8906878547859</v>
      </c>
      <c r="H249" s="27">
        <v>10065.508713986332</v>
      </c>
      <c r="I249" s="27">
        <v>14528.417250022059</v>
      </c>
      <c r="J249" s="27">
        <v>23041.593261123184</v>
      </c>
      <c r="K249" s="27">
        <v>47828.083434451546</v>
      </c>
      <c r="L249" s="27">
        <v>109880.44339588983</v>
      </c>
      <c r="M249" s="27">
        <v>226298.78674638958</v>
      </c>
    </row>
    <row r="250" spans="1:13" x14ac:dyDescent="0.75">
      <c r="A250" s="40">
        <v>248</v>
      </c>
      <c r="B250" s="27">
        <v>779.81273960533144</v>
      </c>
      <c r="C250" s="27">
        <v>1599.5997141645494</v>
      </c>
      <c r="D250" s="27">
        <v>2518.7402366975002</v>
      </c>
      <c r="E250" s="27">
        <v>3833.2660362174211</v>
      </c>
      <c r="F250" s="27">
        <v>6024.0982306445367</v>
      </c>
      <c r="G250" s="27">
        <v>8657.8617252499098</v>
      </c>
      <c r="H250" s="27">
        <v>10674.085279201507</v>
      </c>
      <c r="I250" s="27">
        <v>15093.545914877905</v>
      </c>
      <c r="J250" s="27">
        <v>24347.056019646072</v>
      </c>
      <c r="K250" s="27">
        <v>48714.074593813435</v>
      </c>
      <c r="L250" s="27">
        <v>115735.26163453635</v>
      </c>
      <c r="M250" s="27">
        <v>237977.4021246545</v>
      </c>
    </row>
    <row r="251" spans="1:13" x14ac:dyDescent="0.75">
      <c r="A251" s="40">
        <v>249</v>
      </c>
      <c r="B251" s="27">
        <v>1323.6120573626977</v>
      </c>
      <c r="C251" s="27">
        <v>1928.0508945935289</v>
      </c>
      <c r="D251" s="27">
        <v>2707.7553913585434</v>
      </c>
      <c r="E251" s="27">
        <v>3929.6521844855451</v>
      </c>
      <c r="F251" s="27">
        <v>5512.2681839809957</v>
      </c>
      <c r="G251" s="27">
        <v>8530.0044046202092</v>
      </c>
      <c r="H251" s="27">
        <v>10750.331890347938</v>
      </c>
      <c r="I251" s="27">
        <v>14531.738837169847</v>
      </c>
      <c r="J251" s="27">
        <v>23070.916282532795</v>
      </c>
      <c r="K251" s="27">
        <v>45837.782616556273</v>
      </c>
      <c r="L251" s="27">
        <v>119724.73371484005</v>
      </c>
      <c r="M251" s="27">
        <v>237846.84645784844</v>
      </c>
    </row>
    <row r="252" spans="1:13" x14ac:dyDescent="0.75">
      <c r="A252" s="40">
        <v>250</v>
      </c>
      <c r="B252" s="27">
        <v>1073.8663499838149</v>
      </c>
      <c r="C252" s="27">
        <v>1789.1335338860517</v>
      </c>
      <c r="D252" s="27">
        <v>2662.0528035924362</v>
      </c>
      <c r="E252" s="27">
        <v>3562.5427402499336</v>
      </c>
      <c r="F252" s="27">
        <v>5582.5504634756944</v>
      </c>
      <c r="G252" s="27">
        <v>8589.0173584990262</v>
      </c>
      <c r="H252" s="27">
        <v>10797.328081312342</v>
      </c>
      <c r="I252" s="27">
        <v>13808.825547546017</v>
      </c>
      <c r="J252" s="27">
        <v>23005.470880883746</v>
      </c>
      <c r="K252" s="27">
        <v>46068.530579779879</v>
      </c>
      <c r="L252" s="27">
        <v>113603.81084120808</v>
      </c>
      <c r="M252" s="27">
        <v>230543.12918041702</v>
      </c>
    </row>
    <row r="253" spans="1:13" x14ac:dyDescent="0.75">
      <c r="A253" s="40">
        <v>251</v>
      </c>
      <c r="B253" s="27">
        <v>1061.7131213295652</v>
      </c>
      <c r="C253" s="27">
        <v>1453.3651984825556</v>
      </c>
      <c r="D253" s="27">
        <v>2739.0903873548086</v>
      </c>
      <c r="E253" s="27">
        <v>3769.0431293371075</v>
      </c>
      <c r="F253" s="27">
        <v>5540.0834149783914</v>
      </c>
      <c r="G253" s="27">
        <v>8161.9141455946374</v>
      </c>
      <c r="H253" s="27">
        <v>11221.311825030076</v>
      </c>
      <c r="I253" s="27">
        <v>15714.737242709147</v>
      </c>
      <c r="J253" s="27">
        <v>23760.871926550331</v>
      </c>
      <c r="K253" s="27">
        <v>48502.721263836458</v>
      </c>
      <c r="L253" s="27">
        <v>116496.5402690362</v>
      </c>
      <c r="M253" s="27">
        <v>238421.39192423929</v>
      </c>
    </row>
    <row r="254" spans="1:13" x14ac:dyDescent="0.75">
      <c r="A254" s="40">
        <v>252</v>
      </c>
      <c r="B254" s="27">
        <v>927.56624635308981</v>
      </c>
      <c r="C254" s="27">
        <v>1564.1761129133665</v>
      </c>
      <c r="D254" s="27">
        <v>2103.1563091726857</v>
      </c>
      <c r="E254" s="27">
        <v>3170.9268030595267</v>
      </c>
      <c r="F254" s="27">
        <v>5153.9404121286643</v>
      </c>
      <c r="G254" s="27">
        <v>7778.7833055385563</v>
      </c>
      <c r="H254" s="27">
        <v>10273.610843788018</v>
      </c>
      <c r="I254" s="27">
        <v>13643.670474197206</v>
      </c>
      <c r="J254" s="27">
        <v>23647.989509925654</v>
      </c>
      <c r="K254" s="27">
        <v>47244.073813841693</v>
      </c>
      <c r="L254" s="27">
        <v>117810.77509777203</v>
      </c>
      <c r="M254" s="27">
        <v>233318.66892869049</v>
      </c>
    </row>
    <row r="255" spans="1:13" x14ac:dyDescent="0.75">
      <c r="A255" s="40">
        <v>253</v>
      </c>
      <c r="B255" s="27">
        <v>778.77225318817364</v>
      </c>
      <c r="C255" s="27">
        <v>1012.313095423975</v>
      </c>
      <c r="D255" s="27">
        <v>1773.2141816867952</v>
      </c>
      <c r="E255" s="27">
        <v>3136.1057163813821</v>
      </c>
      <c r="F255" s="27">
        <v>5007.7053964262304</v>
      </c>
      <c r="G255" s="27">
        <v>7350.5460967863619</v>
      </c>
      <c r="H255" s="27">
        <v>9925.1841443222074</v>
      </c>
      <c r="I255" s="27">
        <v>13797.001875580172</v>
      </c>
      <c r="J255" s="27">
        <v>21819.27109920673</v>
      </c>
      <c r="K255" s="27">
        <v>45917.906931053527</v>
      </c>
      <c r="L255" s="27">
        <v>108743.15548371786</v>
      </c>
      <c r="M255" s="27">
        <v>219261.17627377342</v>
      </c>
    </row>
    <row r="256" spans="1:13" x14ac:dyDescent="0.75">
      <c r="A256" s="40">
        <v>254</v>
      </c>
      <c r="B256" s="27">
        <v>1424.5667797413189</v>
      </c>
      <c r="C256" s="27">
        <v>1928.6370844291523</v>
      </c>
      <c r="D256" s="27">
        <v>2899.5312707256962</v>
      </c>
      <c r="E256" s="27">
        <v>4041.8209648722259</v>
      </c>
      <c r="F256" s="27">
        <v>6131.1353707845847</v>
      </c>
      <c r="G256" s="27">
        <v>8071.6843859334476</v>
      </c>
      <c r="H256" s="27">
        <v>11242.139422157707</v>
      </c>
      <c r="I256" s="27">
        <v>15704.704422041075</v>
      </c>
      <c r="J256" s="27">
        <v>23257.817421669839</v>
      </c>
      <c r="K256" s="27">
        <v>49867.006452334317</v>
      </c>
      <c r="L256" s="27">
        <v>111074.85093038387</v>
      </c>
      <c r="M256" s="27">
        <v>235643.89450507323</v>
      </c>
    </row>
    <row r="257" spans="1:13" x14ac:dyDescent="0.75">
      <c r="A257" s="40">
        <v>255</v>
      </c>
      <c r="B257" s="27">
        <v>642.85753862294951</v>
      </c>
      <c r="C257" s="27">
        <v>1317.7071428368799</v>
      </c>
      <c r="D257" s="27">
        <v>2055.2128306416562</v>
      </c>
      <c r="E257" s="27">
        <v>3483.601367411713</v>
      </c>
      <c r="F257" s="27">
        <v>5344.1685023416358</v>
      </c>
      <c r="G257" s="27">
        <v>8076.3134054658585</v>
      </c>
      <c r="H257" s="27">
        <v>10572.49039301736</v>
      </c>
      <c r="I257" s="27">
        <v>15315.929209998823</v>
      </c>
      <c r="J257" s="27">
        <v>23143.446272189947</v>
      </c>
      <c r="K257" s="27">
        <v>49244.634993915679</v>
      </c>
      <c r="L257" s="27">
        <v>110877.43554001462</v>
      </c>
      <c r="M257" s="27">
        <v>230073.7971964571</v>
      </c>
    </row>
    <row r="258" spans="1:13" x14ac:dyDescent="0.75">
      <c r="A258" s="40">
        <v>256</v>
      </c>
      <c r="B258" s="27">
        <v>1187.6074783476797</v>
      </c>
      <c r="C258" s="27">
        <v>1665.636804861686</v>
      </c>
      <c r="D258" s="27">
        <v>2483.1330267161393</v>
      </c>
      <c r="E258" s="27">
        <v>3667.4495829875668</v>
      </c>
      <c r="F258" s="27">
        <v>5723.5906690308184</v>
      </c>
      <c r="G258" s="27">
        <v>7774.0643231121358</v>
      </c>
      <c r="H258" s="27">
        <v>10311.529780135141</v>
      </c>
      <c r="I258" s="27">
        <v>14253.193596515906</v>
      </c>
      <c r="J258" s="27">
        <v>23188.21909752785</v>
      </c>
      <c r="K258" s="27">
        <v>47512.235378035606</v>
      </c>
      <c r="L258" s="27">
        <v>115765.31140316458</v>
      </c>
      <c r="M258" s="27">
        <v>233531.97114043511</v>
      </c>
    </row>
    <row r="259" spans="1:13" x14ac:dyDescent="0.75">
      <c r="A259" s="40">
        <v>257</v>
      </c>
      <c r="B259" s="27">
        <v>515.21137239792733</v>
      </c>
      <c r="C259" s="27">
        <v>983.37705095291312</v>
      </c>
      <c r="D259" s="27">
        <v>2235.674174241547</v>
      </c>
      <c r="E259" s="27">
        <v>3331.7566667627543</v>
      </c>
      <c r="F259" s="27">
        <v>5304.1637032050348</v>
      </c>
      <c r="G259" s="27">
        <v>7631.2814435806649</v>
      </c>
      <c r="H259" s="27">
        <v>9902.5537359076552</v>
      </c>
      <c r="I259" s="27">
        <v>14276.24371033613</v>
      </c>
      <c r="J259" s="27">
        <v>21648.766347556404</v>
      </c>
      <c r="K259" s="27">
        <v>45685.979404628364</v>
      </c>
      <c r="L259" s="27">
        <v>101258.88036625818</v>
      </c>
      <c r="M259" s="27">
        <v>212773.88797582756</v>
      </c>
    </row>
    <row r="260" spans="1:13" x14ac:dyDescent="0.75">
      <c r="A260" s="40">
        <v>258</v>
      </c>
      <c r="B260" s="27">
        <v>1100.5979694529378</v>
      </c>
      <c r="C260" s="27">
        <v>1804.0048161817394</v>
      </c>
      <c r="D260" s="27">
        <v>2767.688629785378</v>
      </c>
      <c r="E260" s="27">
        <v>3862.6963713011792</v>
      </c>
      <c r="F260" s="27">
        <v>5916.8249390671554</v>
      </c>
      <c r="G260" s="27">
        <v>7976.9986647680926</v>
      </c>
      <c r="H260" s="27">
        <v>10875.957404899556</v>
      </c>
      <c r="I260" s="27">
        <v>14826.668070323911</v>
      </c>
      <c r="J260" s="27">
        <v>24006.327871784699</v>
      </c>
      <c r="K260" s="27">
        <v>45205.211941336922</v>
      </c>
      <c r="L260" s="27">
        <v>106588.84938448848</v>
      </c>
      <c r="M260" s="27">
        <v>224931.82606339006</v>
      </c>
    </row>
    <row r="261" spans="1:13" x14ac:dyDescent="0.75">
      <c r="A261" s="40">
        <v>259</v>
      </c>
      <c r="B261" s="27">
        <v>805.11788019181404</v>
      </c>
      <c r="C261" s="27">
        <v>1596.9374163854955</v>
      </c>
      <c r="D261" s="27">
        <v>2386.2649189571384</v>
      </c>
      <c r="E261" s="27">
        <v>3727.9240591436392</v>
      </c>
      <c r="F261" s="27">
        <v>5383.9296307494515</v>
      </c>
      <c r="G261" s="27">
        <v>7541.7497154769371</v>
      </c>
      <c r="H261" s="27">
        <v>10367.943865143985</v>
      </c>
      <c r="I261" s="27">
        <v>14449.100469347948</v>
      </c>
      <c r="J261" s="27">
        <v>23064.556434776241</v>
      </c>
      <c r="K261" s="27">
        <v>47082.757302080805</v>
      </c>
      <c r="L261" s="27">
        <v>112153.84094086973</v>
      </c>
      <c r="M261" s="27">
        <v>228560.12263312319</v>
      </c>
    </row>
    <row r="262" spans="1:13" x14ac:dyDescent="0.75">
      <c r="A262" s="40">
        <v>260</v>
      </c>
      <c r="B262" s="27">
        <v>866.15051195616252</v>
      </c>
      <c r="C262" s="27">
        <v>1295.3462069867674</v>
      </c>
      <c r="D262" s="27">
        <v>2062.9379179979442</v>
      </c>
      <c r="E262" s="27">
        <v>2998.1902559020527</v>
      </c>
      <c r="F262" s="27">
        <v>4840.0084402757348</v>
      </c>
      <c r="G262" s="27">
        <v>7145.5776672176144</v>
      </c>
      <c r="H262" s="27">
        <v>9677.2319944469782</v>
      </c>
      <c r="I262" s="27">
        <v>13272.965674666484</v>
      </c>
      <c r="J262" s="27">
        <v>22807.521051705553</v>
      </c>
      <c r="K262" s="27">
        <v>44628.400323138092</v>
      </c>
      <c r="L262" s="27">
        <v>112007.84375483036</v>
      </c>
      <c r="M262" s="27">
        <v>221602.17379912373</v>
      </c>
    </row>
    <row r="263" spans="1:13" x14ac:dyDescent="0.75">
      <c r="A263" s="40">
        <v>261</v>
      </c>
      <c r="B263" s="27">
        <v>1060.0017504926946</v>
      </c>
      <c r="C263" s="27">
        <v>1696.8055108405097</v>
      </c>
      <c r="D263" s="27">
        <v>3093.7288332621247</v>
      </c>
      <c r="E263" s="27">
        <v>4335.4515970974608</v>
      </c>
      <c r="F263" s="27">
        <v>6223.7142794058163</v>
      </c>
      <c r="G263" s="27">
        <v>9162.0535896740039</v>
      </c>
      <c r="H263" s="27">
        <v>11776.071364447416</v>
      </c>
      <c r="I263" s="27">
        <v>15399.699657488571</v>
      </c>
      <c r="J263" s="27">
        <v>23060.24741594214</v>
      </c>
      <c r="K263" s="27">
        <v>46852.112354375742</v>
      </c>
      <c r="L263" s="27">
        <v>110909.52092746462</v>
      </c>
      <c r="M263" s="27">
        <v>233569.40728049108</v>
      </c>
    </row>
    <row r="264" spans="1:13" x14ac:dyDescent="0.75">
      <c r="A264" s="40">
        <v>262</v>
      </c>
      <c r="B264" s="27">
        <v>212.73785547501757</v>
      </c>
      <c r="C264" s="27">
        <v>691.82449623946741</v>
      </c>
      <c r="D264" s="27">
        <v>1826.4671012495237</v>
      </c>
      <c r="E264" s="27">
        <v>2990.4923009382328</v>
      </c>
      <c r="F264" s="27">
        <v>4482.5443834917678</v>
      </c>
      <c r="G264" s="27">
        <v>6971.933144172217</v>
      </c>
      <c r="H264" s="27">
        <v>9944.0008058299427</v>
      </c>
      <c r="I264" s="27">
        <v>13735.049676958428</v>
      </c>
      <c r="J264" s="27">
        <v>21858.775005160132</v>
      </c>
      <c r="K264" s="27">
        <v>45830.308789390459</v>
      </c>
      <c r="L264" s="27">
        <v>104084.86396548663</v>
      </c>
      <c r="M264" s="27">
        <v>212628.9975243918</v>
      </c>
    </row>
    <row r="265" spans="1:13" x14ac:dyDescent="0.75">
      <c r="A265" s="40">
        <v>263</v>
      </c>
      <c r="B265" s="27">
        <v>808.95531164278509</v>
      </c>
      <c r="C265" s="27">
        <v>1203.6143363573356</v>
      </c>
      <c r="D265" s="27">
        <v>2156.3830637407664</v>
      </c>
      <c r="E265" s="27">
        <v>3229.8851202651276</v>
      </c>
      <c r="F265" s="27">
        <v>5657.5663284678012</v>
      </c>
      <c r="G265" s="27">
        <v>7627.8638372214627</v>
      </c>
      <c r="H265" s="27">
        <v>10043.108734932262</v>
      </c>
      <c r="I265" s="27">
        <v>14809.631554637119</v>
      </c>
      <c r="J265" s="27">
        <v>23479.011488524688</v>
      </c>
      <c r="K265" s="27">
        <v>49723.171275687288</v>
      </c>
      <c r="L265" s="27">
        <v>112539.96090881297</v>
      </c>
      <c r="M265" s="27">
        <v>231279.1519602896</v>
      </c>
    </row>
    <row r="266" spans="1:13" x14ac:dyDescent="0.75">
      <c r="A266" s="40">
        <v>264</v>
      </c>
      <c r="B266" s="27">
        <v>973.94022792638862</v>
      </c>
      <c r="C266" s="27">
        <v>1356.4527150052163</v>
      </c>
      <c r="D266" s="27">
        <v>2636.1292261114868</v>
      </c>
      <c r="E266" s="27">
        <v>3439.018206270237</v>
      </c>
      <c r="F266" s="27">
        <v>5155.8992532341654</v>
      </c>
      <c r="G266" s="27">
        <v>7089.3327589917753</v>
      </c>
      <c r="H266" s="27">
        <v>10048.23706021934</v>
      </c>
      <c r="I266" s="27">
        <v>14565.429940401838</v>
      </c>
      <c r="J266" s="27">
        <v>23372.861644373173</v>
      </c>
      <c r="K266" s="27">
        <v>46345.073199692648</v>
      </c>
      <c r="L266" s="27">
        <v>114384.38837862981</v>
      </c>
      <c r="M266" s="27">
        <v>229366.76261085609</v>
      </c>
    </row>
    <row r="267" spans="1:13" x14ac:dyDescent="0.75">
      <c r="A267" s="40">
        <v>265</v>
      </c>
      <c r="B267" s="27">
        <v>814.51457570311322</v>
      </c>
      <c r="C267" s="27">
        <v>1457.6823984587827</v>
      </c>
      <c r="D267" s="27">
        <v>2007.576480924341</v>
      </c>
      <c r="E267" s="27">
        <v>3375.828510770807</v>
      </c>
      <c r="F267" s="27">
        <v>5185.1056393259496</v>
      </c>
      <c r="G267" s="27">
        <v>7505.1082769916393</v>
      </c>
      <c r="H267" s="27">
        <v>10103.486263496248</v>
      </c>
      <c r="I267" s="27">
        <v>13646.515486382224</v>
      </c>
      <c r="J267" s="27">
        <v>23187.861439044529</v>
      </c>
      <c r="K267" s="27">
        <v>44544.747856021218</v>
      </c>
      <c r="L267" s="27">
        <v>107683.07828421739</v>
      </c>
      <c r="M267" s="27">
        <v>219511.50521133625</v>
      </c>
    </row>
    <row r="268" spans="1:13" x14ac:dyDescent="0.75">
      <c r="A268" s="40">
        <v>266</v>
      </c>
      <c r="B268" s="27">
        <v>877.28093976984383</v>
      </c>
      <c r="C268" s="27">
        <v>1406.2722286108037</v>
      </c>
      <c r="D268" s="27">
        <v>2220.0711356010579</v>
      </c>
      <c r="E268" s="27">
        <v>3295.9275374779972</v>
      </c>
      <c r="F268" s="27">
        <v>5303.2669756272808</v>
      </c>
      <c r="G268" s="27">
        <v>7758.3509010741836</v>
      </c>
      <c r="H268" s="27">
        <v>10159.522151005047</v>
      </c>
      <c r="I268" s="27">
        <v>13853.733413303999</v>
      </c>
      <c r="J268" s="27">
        <v>23507.572130698027</v>
      </c>
      <c r="K268" s="27">
        <v>46983.730507842527</v>
      </c>
      <c r="L268" s="27">
        <v>112072.32471033791</v>
      </c>
      <c r="M268" s="27">
        <v>227438.05263134866</v>
      </c>
    </row>
    <row r="269" spans="1:13" x14ac:dyDescent="0.75">
      <c r="A269" s="40">
        <v>267</v>
      </c>
      <c r="B269" s="27">
        <v>537.88267642706342</v>
      </c>
      <c r="C269" s="27">
        <v>856.56969064912118</v>
      </c>
      <c r="D269" s="27">
        <v>1772.4401585878513</v>
      </c>
      <c r="E269" s="27">
        <v>2863.1355267151084</v>
      </c>
      <c r="F269" s="27">
        <v>4744.2180617231497</v>
      </c>
      <c r="G269" s="27">
        <v>6101.6571050062048</v>
      </c>
      <c r="H269" s="27">
        <v>9118.4444782648352</v>
      </c>
      <c r="I269" s="27">
        <v>12303.228815440176</v>
      </c>
      <c r="J269" s="27">
        <v>21804.914467023977</v>
      </c>
      <c r="K269" s="27">
        <v>41869.742763551971</v>
      </c>
      <c r="L269" s="27">
        <v>108459.51362676616</v>
      </c>
      <c r="M269" s="27">
        <v>210431.74737015562</v>
      </c>
    </row>
    <row r="270" spans="1:13" x14ac:dyDescent="0.75">
      <c r="A270" s="40">
        <v>268</v>
      </c>
      <c r="B270" s="27">
        <v>1332.4085199533583</v>
      </c>
      <c r="C270" s="27">
        <v>1827.885209738859</v>
      </c>
      <c r="D270" s="27">
        <v>2603.8687447775737</v>
      </c>
      <c r="E270" s="27">
        <v>3570.9671102104912</v>
      </c>
      <c r="F270" s="27">
        <v>5725.635009174177</v>
      </c>
      <c r="G270" s="27">
        <v>8090.5234148567542</v>
      </c>
      <c r="H270" s="27">
        <v>10304.399432436156</v>
      </c>
      <c r="I270" s="27">
        <v>14074.285978535147</v>
      </c>
      <c r="J270" s="27">
        <v>24146.574369563459</v>
      </c>
      <c r="K270" s="27">
        <v>45776.755447207237</v>
      </c>
      <c r="L270" s="27">
        <v>109245.9938811344</v>
      </c>
      <c r="M270" s="27">
        <v>226699.29711758762</v>
      </c>
    </row>
    <row r="271" spans="1:13" x14ac:dyDescent="0.75">
      <c r="A271" s="40">
        <v>269</v>
      </c>
      <c r="B271" s="27">
        <v>698.9884640846285</v>
      </c>
      <c r="C271" s="27">
        <v>1292.5160847414663</v>
      </c>
      <c r="D271" s="27">
        <v>2342.6473354101763</v>
      </c>
      <c r="E271" s="27">
        <v>3264.8656887979305</v>
      </c>
      <c r="F271" s="27">
        <v>4980.1733587539202</v>
      </c>
      <c r="G271" s="27">
        <v>7718.0920468855184</v>
      </c>
      <c r="H271" s="27">
        <v>9828.4383499605901</v>
      </c>
      <c r="I271" s="27">
        <v>13777.428778111047</v>
      </c>
      <c r="J271" s="27">
        <v>22915.686918248117</v>
      </c>
      <c r="K271" s="27">
        <v>45946.719469563977</v>
      </c>
      <c r="L271" s="27">
        <v>106587.39314581084</v>
      </c>
      <c r="M271" s="27">
        <v>219352.94964036823</v>
      </c>
    </row>
    <row r="272" spans="1:13" x14ac:dyDescent="0.75">
      <c r="A272" s="40">
        <v>270</v>
      </c>
      <c r="B272" s="27">
        <v>835.16642692482856</v>
      </c>
      <c r="C272" s="27">
        <v>1190.2366185447172</v>
      </c>
      <c r="D272" s="27">
        <v>2056.0804329498351</v>
      </c>
      <c r="E272" s="27">
        <v>3207.0070494851825</v>
      </c>
      <c r="F272" s="27">
        <v>5383.4091528226563</v>
      </c>
      <c r="G272" s="27">
        <v>7605.1275802581222</v>
      </c>
      <c r="H272" s="27">
        <v>9968.9673259335541</v>
      </c>
      <c r="I272" s="27">
        <v>14854.915865968709</v>
      </c>
      <c r="J272" s="27">
        <v>23124.52610124537</v>
      </c>
      <c r="K272" s="27">
        <v>49563.731081617603</v>
      </c>
      <c r="L272" s="27">
        <v>119349.3189101114</v>
      </c>
      <c r="M272" s="27">
        <v>237138.48654586199</v>
      </c>
    </row>
    <row r="273" spans="1:13" x14ac:dyDescent="0.75">
      <c r="A273" s="40">
        <v>271</v>
      </c>
      <c r="B273" s="27">
        <v>507.62278664806217</v>
      </c>
      <c r="C273" s="27">
        <v>1244.9840472598298</v>
      </c>
      <c r="D273" s="27">
        <v>2071.2966205303965</v>
      </c>
      <c r="E273" s="27">
        <v>2969.6957827099104</v>
      </c>
      <c r="F273" s="27">
        <v>4906.7955917609797</v>
      </c>
      <c r="G273" s="27">
        <v>7521.8366723932268</v>
      </c>
      <c r="H273" s="27">
        <v>9762.0263809827593</v>
      </c>
      <c r="I273" s="27">
        <v>13759.816005542816</v>
      </c>
      <c r="J273" s="27">
        <v>22844.555736567039</v>
      </c>
      <c r="K273" s="27">
        <v>46682.527941791501</v>
      </c>
      <c r="L273" s="27">
        <v>118190.74785316241</v>
      </c>
      <c r="M273" s="27">
        <v>230461.90541934891</v>
      </c>
    </row>
    <row r="274" spans="1:13" x14ac:dyDescent="0.75">
      <c r="A274" s="40">
        <v>272</v>
      </c>
      <c r="B274" s="27">
        <v>632.14273832167964</v>
      </c>
      <c r="C274" s="27">
        <v>1377.2037859632546</v>
      </c>
      <c r="D274" s="27">
        <v>2108.8822337968159</v>
      </c>
      <c r="E274" s="27">
        <v>3172.8428775406501</v>
      </c>
      <c r="F274" s="27">
        <v>4752.8008287101547</v>
      </c>
      <c r="G274" s="27">
        <v>7643.1474264622957</v>
      </c>
      <c r="H274" s="27">
        <v>10077.135242812685</v>
      </c>
      <c r="I274" s="27">
        <v>13370.703467502128</v>
      </c>
      <c r="J274" s="27">
        <v>22791.077153690538</v>
      </c>
      <c r="K274" s="27">
        <v>46629.750584147943</v>
      </c>
      <c r="L274" s="27">
        <v>114040.97900026926</v>
      </c>
      <c r="M274" s="27">
        <v>226596.6653392174</v>
      </c>
    </row>
    <row r="275" spans="1:13" x14ac:dyDescent="0.75">
      <c r="A275" s="40">
        <v>273</v>
      </c>
      <c r="B275" s="27">
        <v>1021.1047932138317</v>
      </c>
      <c r="C275" s="27">
        <v>1439.5790089601651</v>
      </c>
      <c r="D275" s="27">
        <v>2523.4864677845908</v>
      </c>
      <c r="E275" s="27">
        <v>3592.5810507519054</v>
      </c>
      <c r="F275" s="27">
        <v>5282.8886479255452</v>
      </c>
      <c r="G275" s="27">
        <v>7363.9427331551851</v>
      </c>
      <c r="H275" s="27">
        <v>10297.362265733289</v>
      </c>
      <c r="I275" s="27">
        <v>14306.244796398125</v>
      </c>
      <c r="J275" s="27">
        <v>23493.431803352287</v>
      </c>
      <c r="K275" s="27">
        <v>49356.027498032578</v>
      </c>
      <c r="L275" s="27">
        <v>113509.67513920949</v>
      </c>
      <c r="M275" s="27">
        <v>232186.324204517</v>
      </c>
    </row>
    <row r="276" spans="1:13" x14ac:dyDescent="0.75">
      <c r="A276" s="40">
        <v>274</v>
      </c>
      <c r="B276" s="27">
        <v>717.44612519897055</v>
      </c>
      <c r="C276" s="27">
        <v>1094.6497527647152</v>
      </c>
      <c r="D276" s="27">
        <v>1786.4224571459781</v>
      </c>
      <c r="E276" s="27">
        <v>3168.5476836751332</v>
      </c>
      <c r="F276" s="27">
        <v>4794.6034139348485</v>
      </c>
      <c r="G276" s="27">
        <v>8005.861179182597</v>
      </c>
      <c r="H276" s="27">
        <v>10402.593330307383</v>
      </c>
      <c r="I276" s="27">
        <v>14406.292328042473</v>
      </c>
      <c r="J276" s="27">
        <v>23682.597360709071</v>
      </c>
      <c r="K276" s="27">
        <v>44889.243904733914</v>
      </c>
      <c r="L276" s="27">
        <v>110911.31248561875</v>
      </c>
      <c r="M276" s="27">
        <v>223859.57002131385</v>
      </c>
    </row>
    <row r="277" spans="1:13" x14ac:dyDescent="0.75">
      <c r="A277" s="40">
        <v>275</v>
      </c>
      <c r="B277" s="27">
        <v>665.43277180437872</v>
      </c>
      <c r="C277" s="27">
        <v>1239.8333673986344</v>
      </c>
      <c r="D277" s="27">
        <v>2125.6588633650972</v>
      </c>
      <c r="E277" s="27">
        <v>3643.7277609598677</v>
      </c>
      <c r="F277" s="27">
        <v>5789.9798764723673</v>
      </c>
      <c r="G277" s="27">
        <v>8425.5767862409994</v>
      </c>
      <c r="H277" s="27">
        <v>11039.39606288365</v>
      </c>
      <c r="I277" s="27">
        <v>14615.447500754395</v>
      </c>
      <c r="J277" s="27">
        <v>23627.968337772021</v>
      </c>
      <c r="K277" s="27">
        <v>46654.757921128912</v>
      </c>
      <c r="L277" s="27">
        <v>112601.88158178538</v>
      </c>
      <c r="M277" s="27">
        <v>230429.6608305657</v>
      </c>
    </row>
    <row r="278" spans="1:13" x14ac:dyDescent="0.75">
      <c r="A278" s="40">
        <v>276</v>
      </c>
      <c r="B278" s="27">
        <v>991.10284090138157</v>
      </c>
      <c r="C278" s="27">
        <v>1502.9745240500633</v>
      </c>
      <c r="D278" s="27">
        <v>2416.9805592635821</v>
      </c>
      <c r="E278" s="27">
        <v>3493.3991592454404</v>
      </c>
      <c r="F278" s="27">
        <v>5724.4026835472323</v>
      </c>
      <c r="G278" s="27">
        <v>7546.6397382059949</v>
      </c>
      <c r="H278" s="27">
        <v>9971.1023001861467</v>
      </c>
      <c r="I278" s="27">
        <v>13974.200327679122</v>
      </c>
      <c r="J278" s="27">
        <v>22518.352445562399</v>
      </c>
      <c r="K278" s="27">
        <v>49189.737461764686</v>
      </c>
      <c r="L278" s="27">
        <v>114629.21344697164</v>
      </c>
      <c r="M278" s="27">
        <v>231958.10548737767</v>
      </c>
    </row>
    <row r="279" spans="1:13" x14ac:dyDescent="0.75">
      <c r="A279" s="40">
        <v>277</v>
      </c>
      <c r="B279" s="27">
        <v>1049.3015926631633</v>
      </c>
      <c r="C279" s="27">
        <v>1503.1691218712513</v>
      </c>
      <c r="D279" s="27">
        <v>2161.2183851619047</v>
      </c>
      <c r="E279" s="27">
        <v>3478.7278072689514</v>
      </c>
      <c r="F279" s="27">
        <v>5153.1600715246605</v>
      </c>
      <c r="G279" s="27">
        <v>7866.6915215722111</v>
      </c>
      <c r="H279" s="27">
        <v>10566.329853295596</v>
      </c>
      <c r="I279" s="27">
        <v>14299.207926312811</v>
      </c>
      <c r="J279" s="27">
        <v>23021.215673104889</v>
      </c>
      <c r="K279" s="27">
        <v>47834.699987548345</v>
      </c>
      <c r="L279" s="27">
        <v>112078.38127870701</v>
      </c>
      <c r="M279" s="27">
        <v>229012.10321903077</v>
      </c>
    </row>
    <row r="280" spans="1:13" x14ac:dyDescent="0.75">
      <c r="A280" s="40">
        <v>278</v>
      </c>
      <c r="B280" s="27">
        <v>789.93231751737767</v>
      </c>
      <c r="C280" s="27">
        <v>1151.2571409294324</v>
      </c>
      <c r="D280" s="27">
        <v>1889.3108695652918</v>
      </c>
      <c r="E280" s="27">
        <v>3095.851042607188</v>
      </c>
      <c r="F280" s="27">
        <v>5161.7422353493166</v>
      </c>
      <c r="G280" s="27">
        <v>7419.8617689705279</v>
      </c>
      <c r="H280" s="27">
        <v>10800.14231299836</v>
      </c>
      <c r="I280" s="27">
        <v>13973.672925264109</v>
      </c>
      <c r="J280" s="27">
        <v>23610.687536602141</v>
      </c>
      <c r="K280" s="27">
        <v>47871.43541287593</v>
      </c>
      <c r="L280" s="27">
        <v>112588.04317242053</v>
      </c>
      <c r="M280" s="27">
        <v>228351.9367351002</v>
      </c>
    </row>
    <row r="281" spans="1:13" x14ac:dyDescent="0.75">
      <c r="A281" s="40">
        <v>279</v>
      </c>
      <c r="B281" s="27">
        <v>573.93791879602941</v>
      </c>
      <c r="C281" s="27">
        <v>1273.1417443390965</v>
      </c>
      <c r="D281" s="27">
        <v>2144.7982469698327</v>
      </c>
      <c r="E281" s="27">
        <v>3492.0188850287814</v>
      </c>
      <c r="F281" s="27">
        <v>5579.9344223805238</v>
      </c>
      <c r="G281" s="27">
        <v>7757.1755807277514</v>
      </c>
      <c r="H281" s="27">
        <v>10453.875823467475</v>
      </c>
      <c r="I281" s="27">
        <v>15378.960566777358</v>
      </c>
      <c r="J281" s="27">
        <v>23880.959409022602</v>
      </c>
      <c r="K281" s="27">
        <v>46521.500166385376</v>
      </c>
      <c r="L281" s="27">
        <v>105155.47583893374</v>
      </c>
      <c r="M281" s="27">
        <v>222211.77860282856</v>
      </c>
    </row>
    <row r="282" spans="1:13" x14ac:dyDescent="0.75">
      <c r="A282" s="40">
        <v>280</v>
      </c>
      <c r="B282" s="27">
        <v>784.64619657363801</v>
      </c>
      <c r="C282" s="27">
        <v>1431.4796601167327</v>
      </c>
      <c r="D282" s="27">
        <v>2065.9944501570571</v>
      </c>
      <c r="E282" s="27">
        <v>3277.4910373758612</v>
      </c>
      <c r="F282" s="27">
        <v>5316.5147997329186</v>
      </c>
      <c r="G282" s="27">
        <v>7607.0503709288896</v>
      </c>
      <c r="H282" s="27">
        <v>10686.034381162681</v>
      </c>
      <c r="I282" s="27">
        <v>14353.166817958831</v>
      </c>
      <c r="J282" s="27">
        <v>23867.897105255906</v>
      </c>
      <c r="K282" s="27">
        <v>48626.979570504642</v>
      </c>
      <c r="L282" s="27">
        <v>117209.76877747895</v>
      </c>
      <c r="M282" s="27">
        <v>235227.02316724611</v>
      </c>
    </row>
    <row r="283" spans="1:13" x14ac:dyDescent="0.75">
      <c r="A283" s="40">
        <v>281</v>
      </c>
      <c r="B283" s="27">
        <v>1051.1889803062804</v>
      </c>
      <c r="C283" s="27">
        <v>1596.9795040031458</v>
      </c>
      <c r="D283" s="27">
        <v>2654.0481840517023</v>
      </c>
      <c r="E283" s="27">
        <v>3984.7739901328896</v>
      </c>
      <c r="F283" s="27">
        <v>5633.8725420953851</v>
      </c>
      <c r="G283" s="27">
        <v>8345.1480048645171</v>
      </c>
      <c r="H283" s="27">
        <v>11384.20165978375</v>
      </c>
      <c r="I283" s="27">
        <v>14954.288617758357</v>
      </c>
      <c r="J283" s="27">
        <v>23966.832830530198</v>
      </c>
      <c r="K283" s="27">
        <v>50283.198134888604</v>
      </c>
      <c r="L283" s="27">
        <v>111728.73722552309</v>
      </c>
      <c r="M283" s="27">
        <v>235583.26967393793</v>
      </c>
    </row>
    <row r="284" spans="1:13" x14ac:dyDescent="0.75">
      <c r="A284" s="40">
        <v>282</v>
      </c>
      <c r="B284" s="27">
        <v>1170.2556827191438</v>
      </c>
      <c r="C284" s="27">
        <v>1714.7304730767501</v>
      </c>
      <c r="D284" s="27">
        <v>2481.7189590806229</v>
      </c>
      <c r="E284" s="27">
        <v>3414.7948231499322</v>
      </c>
      <c r="F284" s="27">
        <v>5562.7558248608402</v>
      </c>
      <c r="G284" s="27">
        <v>7710.1384304930689</v>
      </c>
      <c r="H284" s="27">
        <v>10925.398647519876</v>
      </c>
      <c r="I284" s="27">
        <v>15037.560338722062</v>
      </c>
      <c r="J284" s="27">
        <v>23754.344155819606</v>
      </c>
      <c r="K284" s="27">
        <v>46005.758426329907</v>
      </c>
      <c r="L284" s="27">
        <v>108951.52664825892</v>
      </c>
      <c r="M284" s="27">
        <v>226728.98241003073</v>
      </c>
    </row>
    <row r="285" spans="1:13" x14ac:dyDescent="0.75">
      <c r="A285" s="40">
        <v>283</v>
      </c>
      <c r="B285" s="27">
        <v>998.2999515683623</v>
      </c>
      <c r="C285" s="27">
        <v>1342.1211324359319</v>
      </c>
      <c r="D285" s="27">
        <v>2405.8210647529922</v>
      </c>
      <c r="E285" s="27">
        <v>3518.8232145868969</v>
      </c>
      <c r="F285" s="27">
        <v>5669.9432867114374</v>
      </c>
      <c r="G285" s="27">
        <v>8338.3693628763722</v>
      </c>
      <c r="H285" s="27">
        <v>10569.762074065162</v>
      </c>
      <c r="I285" s="27">
        <v>14228.281952695877</v>
      </c>
      <c r="J285" s="27">
        <v>24579.27457214988</v>
      </c>
      <c r="K285" s="27">
        <v>43687.37081541495</v>
      </c>
      <c r="L285" s="27">
        <v>107340.14638063456</v>
      </c>
      <c r="M285" s="27">
        <v>222678.2138078924</v>
      </c>
    </row>
    <row r="286" spans="1:13" x14ac:dyDescent="0.75">
      <c r="A286" s="40">
        <v>284</v>
      </c>
      <c r="B286" s="27">
        <v>1137.0080603607639</v>
      </c>
      <c r="C286" s="27">
        <v>1527.9360211695166</v>
      </c>
      <c r="D286" s="27">
        <v>2337.5831968157581</v>
      </c>
      <c r="E286" s="27">
        <v>3305.6528110355866</v>
      </c>
      <c r="F286" s="27">
        <v>5103.8708898844779</v>
      </c>
      <c r="G286" s="27">
        <v>7405.8191011678427</v>
      </c>
      <c r="H286" s="27">
        <v>10335.972182222904</v>
      </c>
      <c r="I286" s="27">
        <v>14757.4703610172</v>
      </c>
      <c r="J286" s="27">
        <v>22713.643551900983</v>
      </c>
      <c r="K286" s="27">
        <v>48779.393527377018</v>
      </c>
      <c r="L286" s="27">
        <v>108898.08547685023</v>
      </c>
      <c r="M286" s="27">
        <v>226302.4351798023</v>
      </c>
    </row>
    <row r="287" spans="1:13" x14ac:dyDescent="0.75">
      <c r="A287" s="40">
        <v>285</v>
      </c>
      <c r="B287" s="27">
        <v>1066.0011075593793</v>
      </c>
      <c r="C287" s="27">
        <v>1579.040188517014</v>
      </c>
      <c r="D287" s="27">
        <v>2507.0731334791053</v>
      </c>
      <c r="E287" s="27">
        <v>3525.6971035645111</v>
      </c>
      <c r="F287" s="27">
        <v>5520.0739384895132</v>
      </c>
      <c r="G287" s="27">
        <v>7997.2488703899144</v>
      </c>
      <c r="H287" s="27">
        <v>10421.03772392252</v>
      </c>
      <c r="I287" s="27">
        <v>14590.114225105499</v>
      </c>
      <c r="J287" s="27">
        <v>22983.890964398481</v>
      </c>
      <c r="K287" s="27">
        <v>46398.519849216478</v>
      </c>
      <c r="L287" s="27">
        <v>117825.19448692907</v>
      </c>
      <c r="M287" s="27">
        <v>234413.8915915715</v>
      </c>
    </row>
    <row r="288" spans="1:13" x14ac:dyDescent="0.75">
      <c r="A288" s="40">
        <v>286</v>
      </c>
      <c r="B288" s="27">
        <v>1458.3028419263283</v>
      </c>
      <c r="C288" s="27">
        <v>2184.9270035882946</v>
      </c>
      <c r="D288" s="27">
        <v>3413.0294889408397</v>
      </c>
      <c r="E288" s="27">
        <v>4570.2229521335394</v>
      </c>
      <c r="F288" s="27">
        <v>6843.4037624141201</v>
      </c>
      <c r="G288" s="27">
        <v>9058.1708420558425</v>
      </c>
      <c r="H288" s="27">
        <v>11875.504927063681</v>
      </c>
      <c r="I288" s="27">
        <v>15863.569797771474</v>
      </c>
      <c r="J288" s="27">
        <v>25061.115619084216</v>
      </c>
      <c r="K288" s="27">
        <v>49989.365435652886</v>
      </c>
      <c r="L288" s="27">
        <v>113550.2394095684</v>
      </c>
      <c r="M288" s="27">
        <v>243867.85208019963</v>
      </c>
    </row>
    <row r="289" spans="1:13" x14ac:dyDescent="0.75">
      <c r="A289" s="40">
        <v>287</v>
      </c>
      <c r="B289" s="27">
        <v>520.73258801588963</v>
      </c>
      <c r="C289" s="27">
        <v>1049.9397859722376</v>
      </c>
      <c r="D289" s="27">
        <v>1958.9064041804231</v>
      </c>
      <c r="E289" s="27">
        <v>3219.4014465375367</v>
      </c>
      <c r="F289" s="27">
        <v>4772.8369256492733</v>
      </c>
      <c r="G289" s="27">
        <v>7171.2415691651695</v>
      </c>
      <c r="H289" s="27">
        <v>9869.7012663796631</v>
      </c>
      <c r="I289" s="27">
        <v>13170.510499839875</v>
      </c>
      <c r="J289" s="27">
        <v>22323.572971172165</v>
      </c>
      <c r="K289" s="27">
        <v>46862.0746368861</v>
      </c>
      <c r="L289" s="27">
        <v>108076.45059141121</v>
      </c>
      <c r="M289" s="27">
        <v>218995.36868520954</v>
      </c>
    </row>
    <row r="290" spans="1:13" x14ac:dyDescent="0.75">
      <c r="A290" s="40">
        <v>288</v>
      </c>
      <c r="B290" s="27">
        <v>272.92159518238623</v>
      </c>
      <c r="C290" s="27">
        <v>962.00863928880426</v>
      </c>
      <c r="D290" s="27">
        <v>1927.3875071886723</v>
      </c>
      <c r="E290" s="27">
        <v>2897.6627938381862</v>
      </c>
      <c r="F290" s="27">
        <v>4908.5748481761548</v>
      </c>
      <c r="G290" s="27">
        <v>7058.7827185834467</v>
      </c>
      <c r="H290" s="27">
        <v>9435.9919460224628</v>
      </c>
      <c r="I290" s="27">
        <v>13974.244012702562</v>
      </c>
      <c r="J290" s="27">
        <v>21779.217726485571</v>
      </c>
      <c r="K290" s="27">
        <v>44115.216127089225</v>
      </c>
      <c r="L290" s="27">
        <v>105707.51335134322</v>
      </c>
      <c r="M290" s="27">
        <v>213039.52126590069</v>
      </c>
    </row>
    <row r="291" spans="1:13" x14ac:dyDescent="0.75">
      <c r="A291" s="40">
        <v>289</v>
      </c>
      <c r="B291" s="27">
        <v>955.34327108084108</v>
      </c>
      <c r="C291" s="27">
        <v>1697.102932040958</v>
      </c>
      <c r="D291" s="27">
        <v>2563.1362432484893</v>
      </c>
      <c r="E291" s="27">
        <v>3869.3143578148447</v>
      </c>
      <c r="F291" s="27">
        <v>5840.8936503338628</v>
      </c>
      <c r="G291" s="27">
        <v>8435.018336658628</v>
      </c>
      <c r="H291" s="27">
        <v>10731.611549285153</v>
      </c>
      <c r="I291" s="27">
        <v>14913.210299912491</v>
      </c>
      <c r="J291" s="27">
        <v>22864.124744345783</v>
      </c>
      <c r="K291" s="27">
        <v>46341.075877322204</v>
      </c>
      <c r="L291" s="27">
        <v>111696.80286898345</v>
      </c>
      <c r="M291" s="27">
        <v>229907.63413102669</v>
      </c>
    </row>
    <row r="292" spans="1:13" x14ac:dyDescent="0.75">
      <c r="A292" s="40">
        <v>290</v>
      </c>
      <c r="B292" s="27">
        <v>839.43120568794257</v>
      </c>
      <c r="C292" s="27">
        <v>1486.3686869264493</v>
      </c>
      <c r="D292" s="27">
        <v>2570.9086576630652</v>
      </c>
      <c r="E292" s="27">
        <v>3797.5258673967328</v>
      </c>
      <c r="F292" s="27">
        <v>5724.6045994646993</v>
      </c>
      <c r="G292" s="27">
        <v>7906.5284659734752</v>
      </c>
      <c r="H292" s="27">
        <v>9884.42109154223</v>
      </c>
      <c r="I292" s="27">
        <v>14533.241111962168</v>
      </c>
      <c r="J292" s="27">
        <v>22900.530920442689</v>
      </c>
      <c r="K292" s="27">
        <v>44237.907020500599</v>
      </c>
      <c r="L292" s="27">
        <v>112460.25642379752</v>
      </c>
      <c r="M292" s="27">
        <v>226341.72405135757</v>
      </c>
    </row>
    <row r="293" spans="1:13" x14ac:dyDescent="0.75">
      <c r="A293" s="40">
        <v>291</v>
      </c>
      <c r="B293" s="27">
        <v>966.79928488987207</v>
      </c>
      <c r="C293" s="27">
        <v>1258.3801592668024</v>
      </c>
      <c r="D293" s="27">
        <v>2308.4668411659804</v>
      </c>
      <c r="E293" s="27">
        <v>3806.4477174166095</v>
      </c>
      <c r="F293" s="27">
        <v>5803.1371556944796</v>
      </c>
      <c r="G293" s="27">
        <v>8146.2269957049575</v>
      </c>
      <c r="H293" s="27">
        <v>10481.11174151412</v>
      </c>
      <c r="I293" s="27">
        <v>14802.232452997254</v>
      </c>
      <c r="J293" s="27">
        <v>22782.526310838206</v>
      </c>
      <c r="K293" s="27">
        <v>48009.638170847291</v>
      </c>
      <c r="L293" s="27">
        <v>111486.75632382045</v>
      </c>
      <c r="M293" s="27">
        <v>229851.723154156</v>
      </c>
    </row>
    <row r="294" spans="1:13" x14ac:dyDescent="0.75">
      <c r="A294" s="40">
        <v>292</v>
      </c>
      <c r="B294" s="27">
        <v>1506.7204060418444</v>
      </c>
      <c r="C294" s="27">
        <v>1995.1144209089543</v>
      </c>
      <c r="D294" s="27">
        <v>2801.5316914505238</v>
      </c>
      <c r="E294" s="27">
        <v>4188.0132738201646</v>
      </c>
      <c r="F294" s="27">
        <v>6298.2898987973749</v>
      </c>
      <c r="G294" s="27">
        <v>9023.0045992744563</v>
      </c>
      <c r="H294" s="27">
        <v>11025.161886085887</v>
      </c>
      <c r="I294" s="27">
        <v>15882.644180641219</v>
      </c>
      <c r="J294" s="27">
        <v>23388.901513158256</v>
      </c>
      <c r="K294" s="27">
        <v>49950.971528170223</v>
      </c>
      <c r="L294" s="27">
        <v>120732.02904976734</v>
      </c>
      <c r="M294" s="27">
        <v>246792.38244811626</v>
      </c>
    </row>
    <row r="295" spans="1:13" x14ac:dyDescent="0.75">
      <c r="A295" s="40">
        <v>293</v>
      </c>
      <c r="B295" s="27">
        <v>1417.8048419858096</v>
      </c>
      <c r="C295" s="27">
        <v>2163.1847244327364</v>
      </c>
      <c r="D295" s="27">
        <v>3144.0992986175115</v>
      </c>
      <c r="E295" s="27">
        <v>4794.5468956439436</v>
      </c>
      <c r="F295" s="27">
        <v>6889.4174035199685</v>
      </c>
      <c r="G295" s="27">
        <v>8716.7722339962784</v>
      </c>
      <c r="H295" s="27">
        <v>11727.44583901696</v>
      </c>
      <c r="I295" s="27">
        <v>15111.009513718935</v>
      </c>
      <c r="J295" s="27">
        <v>24887.869422597709</v>
      </c>
      <c r="K295" s="27">
        <v>48797.096430646401</v>
      </c>
      <c r="L295" s="27">
        <v>117779.66578757443</v>
      </c>
      <c r="M295" s="27">
        <v>245428.91239175067</v>
      </c>
    </row>
    <row r="296" spans="1:13" x14ac:dyDescent="0.75">
      <c r="A296" s="40">
        <v>294</v>
      </c>
      <c r="B296" s="27">
        <v>757.2560789273266</v>
      </c>
      <c r="C296" s="27">
        <v>1042.9795770579512</v>
      </c>
      <c r="D296" s="27">
        <v>1959.7145035871072</v>
      </c>
      <c r="E296" s="27">
        <v>2924.7535651509534</v>
      </c>
      <c r="F296" s="27">
        <v>4828.1668525650166</v>
      </c>
      <c r="G296" s="27">
        <v>7180.0607576268958</v>
      </c>
      <c r="H296" s="27">
        <v>9756.7106143016281</v>
      </c>
      <c r="I296" s="27">
        <v>13976.61543730936</v>
      </c>
      <c r="J296" s="27">
        <v>22126.376266029838</v>
      </c>
      <c r="K296" s="27">
        <v>46471.349419433885</v>
      </c>
      <c r="L296" s="27">
        <v>105395.1020526723</v>
      </c>
      <c r="M296" s="27">
        <v>216419.08512466226</v>
      </c>
    </row>
    <row r="297" spans="1:13" x14ac:dyDescent="0.75">
      <c r="A297" s="40">
        <v>295</v>
      </c>
      <c r="B297" s="27">
        <v>1200.146129607383</v>
      </c>
      <c r="C297" s="27">
        <v>1841.9897890771972</v>
      </c>
      <c r="D297" s="27">
        <v>2824.9155756075052</v>
      </c>
      <c r="E297" s="27">
        <v>3921.1396146632032</v>
      </c>
      <c r="F297" s="27">
        <v>5551.5899863888335</v>
      </c>
      <c r="G297" s="27">
        <v>8492.8344342469063</v>
      </c>
      <c r="H297" s="27">
        <v>10628.857253673603</v>
      </c>
      <c r="I297" s="27">
        <v>14474.939459891626</v>
      </c>
      <c r="J297" s="27">
        <v>21929.66436673807</v>
      </c>
      <c r="K297" s="27">
        <v>44521.095085500478</v>
      </c>
      <c r="L297" s="27">
        <v>116982.80369780341</v>
      </c>
      <c r="M297" s="27">
        <v>232369.9753931982</v>
      </c>
    </row>
    <row r="298" spans="1:13" x14ac:dyDescent="0.75">
      <c r="A298" s="40">
        <v>296</v>
      </c>
      <c r="B298" s="27">
        <v>1221.142589624651</v>
      </c>
      <c r="C298" s="27">
        <v>1648.7614188814041</v>
      </c>
      <c r="D298" s="27">
        <v>2454.1775577813241</v>
      </c>
      <c r="E298" s="27">
        <v>3624.0900006658194</v>
      </c>
      <c r="F298" s="27">
        <v>5090.3042722544487</v>
      </c>
      <c r="G298" s="27">
        <v>7650.7132808502065</v>
      </c>
      <c r="H298" s="27">
        <v>10294.977892624738</v>
      </c>
      <c r="I298" s="27">
        <v>14774.803855467049</v>
      </c>
      <c r="J298" s="27">
        <v>24594.916697948254</v>
      </c>
      <c r="K298" s="27">
        <v>47697.519170546526</v>
      </c>
      <c r="L298" s="27">
        <v>117051.34122122501</v>
      </c>
      <c r="M298" s="27">
        <v>236102.74795786943</v>
      </c>
    </row>
    <row r="299" spans="1:13" x14ac:dyDescent="0.75">
      <c r="A299" s="40">
        <v>297</v>
      </c>
      <c r="B299" s="27">
        <v>761.04883353415062</v>
      </c>
      <c r="C299" s="27">
        <v>927.78109559607401</v>
      </c>
      <c r="D299" s="27">
        <v>1696.9842732838151</v>
      </c>
      <c r="E299" s="27">
        <v>2889.7844313017995</v>
      </c>
      <c r="F299" s="27">
        <v>4629.8183019886492</v>
      </c>
      <c r="G299" s="27">
        <v>6819.8601438601327</v>
      </c>
      <c r="H299" s="27">
        <v>9142.1415487502236</v>
      </c>
      <c r="I299" s="27">
        <v>13528.91818839591</v>
      </c>
      <c r="J299" s="27">
        <v>22299.65018926523</v>
      </c>
      <c r="K299" s="27">
        <v>44349.159037574485</v>
      </c>
      <c r="L299" s="27">
        <v>105820.84173235342</v>
      </c>
      <c r="M299" s="27">
        <v>212865.98777590389</v>
      </c>
    </row>
    <row r="300" spans="1:13" x14ac:dyDescent="0.75">
      <c r="A300" s="40">
        <v>298</v>
      </c>
      <c r="B300" s="27">
        <v>580.17744364887767</v>
      </c>
      <c r="C300" s="27">
        <v>815.00140918900433</v>
      </c>
      <c r="D300" s="27">
        <v>1330.8403166004719</v>
      </c>
      <c r="E300" s="27">
        <v>2420.7271246858727</v>
      </c>
      <c r="F300" s="27">
        <v>4419.0508413059579</v>
      </c>
      <c r="G300" s="27">
        <v>6601.232820153411</v>
      </c>
      <c r="H300" s="27">
        <v>9816.769747747865</v>
      </c>
      <c r="I300" s="27">
        <v>14355.091050383751</v>
      </c>
      <c r="J300" s="27">
        <v>24310.654055458595</v>
      </c>
      <c r="K300" s="27">
        <v>46959.182753280722</v>
      </c>
      <c r="L300" s="27">
        <v>105836.90536969701</v>
      </c>
      <c r="M300" s="27">
        <v>217445.63293215155</v>
      </c>
    </row>
    <row r="301" spans="1:13" x14ac:dyDescent="0.75">
      <c r="A301" s="40">
        <v>299</v>
      </c>
      <c r="B301" s="27">
        <v>1140.9918433593411</v>
      </c>
      <c r="C301" s="27">
        <v>1472.5367336576601</v>
      </c>
      <c r="D301" s="27">
        <v>2256.1901147803146</v>
      </c>
      <c r="E301" s="27">
        <v>3170.9996557750273</v>
      </c>
      <c r="F301" s="27">
        <v>5115.7411657486664</v>
      </c>
      <c r="G301" s="27">
        <v>8018.3339176128793</v>
      </c>
      <c r="H301" s="27">
        <v>10630.711242288948</v>
      </c>
      <c r="I301" s="27">
        <v>14158.151162993105</v>
      </c>
      <c r="J301" s="27">
        <v>23900.300038899222</v>
      </c>
      <c r="K301" s="27">
        <v>46291.535250857138</v>
      </c>
      <c r="L301" s="27">
        <v>111846.33047846277</v>
      </c>
      <c r="M301" s="27">
        <v>228001.82160443507</v>
      </c>
    </row>
    <row r="302" spans="1:13" x14ac:dyDescent="0.75">
      <c r="A302" s="40">
        <v>300</v>
      </c>
      <c r="B302" s="27">
        <v>1158.4071837210504</v>
      </c>
      <c r="C302" s="27">
        <v>2022.0337943657505</v>
      </c>
      <c r="D302" s="27">
        <v>3022.8801040443213</v>
      </c>
      <c r="E302" s="27">
        <v>4021.2934206198697</v>
      </c>
      <c r="F302" s="27">
        <v>6104.0704622474732</v>
      </c>
      <c r="G302" s="27">
        <v>7819.3238967912912</v>
      </c>
      <c r="H302" s="27">
        <v>10734.454776237559</v>
      </c>
      <c r="I302" s="27">
        <v>14434.673259788397</v>
      </c>
      <c r="J302" s="27">
        <v>23226.092681809037</v>
      </c>
      <c r="K302" s="27">
        <v>45645.839976230724</v>
      </c>
      <c r="L302" s="27">
        <v>104522.74962673875</v>
      </c>
      <c r="M302" s="27">
        <v>222711.81918259422</v>
      </c>
    </row>
    <row r="303" spans="1:13" x14ac:dyDescent="0.75">
      <c r="A303" s="40">
        <v>301</v>
      </c>
      <c r="B303" s="27">
        <v>769.51619164872682</v>
      </c>
      <c r="C303" s="27">
        <v>1062.2199049499468</v>
      </c>
      <c r="D303" s="27">
        <v>2201.4599510297412</v>
      </c>
      <c r="E303" s="27">
        <v>3290.905350901201</v>
      </c>
      <c r="F303" s="27">
        <v>5090.4797952144872</v>
      </c>
      <c r="G303" s="27">
        <v>7484.7941303479602</v>
      </c>
      <c r="H303" s="27">
        <v>9384.526832318923</v>
      </c>
      <c r="I303" s="27">
        <v>14369.655823440495</v>
      </c>
      <c r="J303" s="27">
        <v>23740.507703075637</v>
      </c>
      <c r="K303" s="27">
        <v>48233.343623282024</v>
      </c>
      <c r="L303" s="27">
        <v>105429.06848821146</v>
      </c>
      <c r="M303" s="27">
        <v>221056.47779442061</v>
      </c>
    </row>
    <row r="304" spans="1:13" x14ac:dyDescent="0.75">
      <c r="A304" s="40">
        <v>302</v>
      </c>
      <c r="B304" s="27">
        <v>1252.1927054908883</v>
      </c>
      <c r="C304" s="27">
        <v>1966.2276212430443</v>
      </c>
      <c r="D304" s="27">
        <v>2946.4777203018457</v>
      </c>
      <c r="E304" s="27">
        <v>4253.3024035660055</v>
      </c>
      <c r="F304" s="27">
        <v>6285.0110556463478</v>
      </c>
      <c r="G304" s="27">
        <v>8574.4814135701454</v>
      </c>
      <c r="H304" s="27">
        <v>11062.572718984069</v>
      </c>
      <c r="I304" s="27">
        <v>14890.000660311431</v>
      </c>
      <c r="J304" s="27">
        <v>23505.430376197808</v>
      </c>
      <c r="K304" s="27">
        <v>46969.797687664221</v>
      </c>
      <c r="L304" s="27">
        <v>107387.51287027023</v>
      </c>
      <c r="M304" s="27">
        <v>229093.00723324605</v>
      </c>
    </row>
    <row r="305" spans="1:13" x14ac:dyDescent="0.75">
      <c r="A305" s="40">
        <v>303</v>
      </c>
      <c r="B305" s="27">
        <v>280.02464259135013</v>
      </c>
      <c r="C305" s="27">
        <v>800.18076055284473</v>
      </c>
      <c r="D305" s="27">
        <v>1444.6792301952955</v>
      </c>
      <c r="E305" s="27">
        <v>2492.6428512796265</v>
      </c>
      <c r="F305" s="27">
        <v>4524.6790073595621</v>
      </c>
      <c r="G305" s="27">
        <v>6852.2474637248379</v>
      </c>
      <c r="H305" s="27">
        <v>10229.620179296122</v>
      </c>
      <c r="I305" s="27">
        <v>13963.616947081799</v>
      </c>
      <c r="J305" s="27">
        <v>22320.633746492065</v>
      </c>
      <c r="K305" s="27">
        <v>48033.2367763605</v>
      </c>
      <c r="L305" s="27">
        <v>109775.08808740339</v>
      </c>
      <c r="M305" s="27">
        <v>220716.64969233738</v>
      </c>
    </row>
    <row r="306" spans="1:13" x14ac:dyDescent="0.75">
      <c r="A306" s="40">
        <v>304</v>
      </c>
      <c r="B306" s="27">
        <v>537.53848449939687</v>
      </c>
      <c r="C306" s="27">
        <v>1064.0055959802849</v>
      </c>
      <c r="D306" s="27">
        <v>1772.1877796815097</v>
      </c>
      <c r="E306" s="27">
        <v>2928.5615450344048</v>
      </c>
      <c r="F306" s="27">
        <v>4537.0810326794599</v>
      </c>
      <c r="G306" s="27">
        <v>6881.7231095594179</v>
      </c>
      <c r="H306" s="27">
        <v>9467.8465258472861</v>
      </c>
      <c r="I306" s="27">
        <v>13919.718261566857</v>
      </c>
      <c r="J306" s="27">
        <v>21548.894271711775</v>
      </c>
      <c r="K306" s="27">
        <v>43859.992816076498</v>
      </c>
      <c r="L306" s="27">
        <v>103017.117976147</v>
      </c>
      <c r="M306" s="27">
        <v>209534.6673987839</v>
      </c>
    </row>
    <row r="307" spans="1:13" x14ac:dyDescent="0.75">
      <c r="A307" s="40">
        <v>305</v>
      </c>
      <c r="B307" s="27">
        <v>1131.1455006041069</v>
      </c>
      <c r="C307" s="27">
        <v>1947.074439381875</v>
      </c>
      <c r="D307" s="27">
        <v>2702.9163213264546</v>
      </c>
      <c r="E307" s="27">
        <v>3610.0393334109249</v>
      </c>
      <c r="F307" s="27">
        <v>5858.887067566975</v>
      </c>
      <c r="G307" s="27">
        <v>8360.5295396717847</v>
      </c>
      <c r="H307" s="27">
        <v>10875.533353160601</v>
      </c>
      <c r="I307" s="27">
        <v>14901.27518630508</v>
      </c>
      <c r="J307" s="27">
        <v>23546.419673538971</v>
      </c>
      <c r="K307" s="27">
        <v>46388.971628319996</v>
      </c>
      <c r="L307" s="27">
        <v>116418.03068279815</v>
      </c>
      <c r="M307" s="27">
        <v>235740.82272608491</v>
      </c>
    </row>
    <row r="308" spans="1:13" x14ac:dyDescent="0.75">
      <c r="A308" s="40">
        <v>306</v>
      </c>
      <c r="B308" s="27">
        <v>1278.4236322333018</v>
      </c>
      <c r="C308" s="27">
        <v>1905.0786986883031</v>
      </c>
      <c r="D308" s="27">
        <v>2795.457707231224</v>
      </c>
      <c r="E308" s="27">
        <v>4405.4414818004734</v>
      </c>
      <c r="F308" s="27">
        <v>6149.4814306609624</v>
      </c>
      <c r="G308" s="27">
        <v>8907.2152391374111</v>
      </c>
      <c r="H308" s="27">
        <v>11005.578786377504</v>
      </c>
      <c r="I308" s="27">
        <v>15069.034619678889</v>
      </c>
      <c r="J308" s="27">
        <v>22917.02741034326</v>
      </c>
      <c r="K308" s="27">
        <v>48374.09240585423</v>
      </c>
      <c r="L308" s="27">
        <v>103627.88977907482</v>
      </c>
      <c r="M308" s="27">
        <v>226434.72119108037</v>
      </c>
    </row>
    <row r="309" spans="1:13" x14ac:dyDescent="0.75">
      <c r="A309" s="40">
        <v>307</v>
      </c>
      <c r="B309" s="27">
        <v>447.73289585769817</v>
      </c>
      <c r="C309" s="27">
        <v>579.42589824780589</v>
      </c>
      <c r="D309" s="27">
        <v>1534.7438140213926</v>
      </c>
      <c r="E309" s="27">
        <v>2399.2579083400778</v>
      </c>
      <c r="F309" s="27">
        <v>4458.3972830015991</v>
      </c>
      <c r="G309" s="27">
        <v>6649.8310699679423</v>
      </c>
      <c r="H309" s="27">
        <v>9740.9859779728286</v>
      </c>
      <c r="I309" s="27">
        <v>13588.441328226574</v>
      </c>
      <c r="J309" s="27">
        <v>23370.648797810791</v>
      </c>
      <c r="K309" s="27">
        <v>44786.168122749179</v>
      </c>
      <c r="L309" s="27">
        <v>110353.7910493895</v>
      </c>
      <c r="M309" s="27">
        <v>217909.42414558539</v>
      </c>
    </row>
    <row r="310" spans="1:13" x14ac:dyDescent="0.75">
      <c r="A310" s="40">
        <v>308</v>
      </c>
      <c r="B310" s="27">
        <v>1215.9095555959357</v>
      </c>
      <c r="C310" s="27">
        <v>1472.1232251419424</v>
      </c>
      <c r="D310" s="27">
        <v>2460.4881611357123</v>
      </c>
      <c r="E310" s="27">
        <v>3490.6515336441371</v>
      </c>
      <c r="F310" s="27">
        <v>5078.1541705708951</v>
      </c>
      <c r="G310" s="27">
        <v>7605.3285773993121</v>
      </c>
      <c r="H310" s="27">
        <v>10380.427722769862</v>
      </c>
      <c r="I310" s="27">
        <v>15304.851974302248</v>
      </c>
      <c r="J310" s="27">
        <v>23389.787270078319</v>
      </c>
      <c r="K310" s="27">
        <v>44934.605442942498</v>
      </c>
      <c r="L310" s="27">
        <v>114641.01112686582</v>
      </c>
      <c r="M310" s="27">
        <v>229973.3387604467</v>
      </c>
    </row>
    <row r="311" spans="1:13" x14ac:dyDescent="0.75">
      <c r="A311" s="40">
        <v>309</v>
      </c>
      <c r="B311" s="27">
        <v>356.39175390919263</v>
      </c>
      <c r="C311" s="27">
        <v>809.14398620372231</v>
      </c>
      <c r="D311" s="27">
        <v>1717.5098969260289</v>
      </c>
      <c r="E311" s="27">
        <v>3071.9862859547284</v>
      </c>
      <c r="F311" s="27">
        <v>4981.901841703424</v>
      </c>
      <c r="G311" s="27">
        <v>7358.4607553890673</v>
      </c>
      <c r="H311" s="27">
        <v>9664.4169179938035</v>
      </c>
      <c r="I311" s="27">
        <v>14328.093452734727</v>
      </c>
      <c r="J311" s="27">
        <v>22736.954258748796</v>
      </c>
      <c r="K311" s="27">
        <v>46420.192837543</v>
      </c>
      <c r="L311" s="27">
        <v>108449.09862525002</v>
      </c>
      <c r="M311" s="27">
        <v>219894.15061235649</v>
      </c>
    </row>
    <row r="312" spans="1:13" x14ac:dyDescent="0.75">
      <c r="A312" s="40">
        <v>310</v>
      </c>
      <c r="B312" s="27">
        <v>767.62717691675061</v>
      </c>
      <c r="C312" s="27">
        <v>1605.6433610753884</v>
      </c>
      <c r="D312" s="27">
        <v>2366.8169152179034</v>
      </c>
      <c r="E312" s="27">
        <v>3684.7448701300891</v>
      </c>
      <c r="F312" s="27">
        <v>5588.3291840528836</v>
      </c>
      <c r="G312" s="27">
        <v>7939.0230444108893</v>
      </c>
      <c r="H312" s="27">
        <v>10222.217038508737</v>
      </c>
      <c r="I312" s="27">
        <v>14191.956334234215</v>
      </c>
      <c r="J312" s="27">
        <v>22374.077089690443</v>
      </c>
      <c r="K312" s="27">
        <v>44929.887664038397</v>
      </c>
      <c r="L312" s="27">
        <v>106526.533393233</v>
      </c>
      <c r="M312" s="27">
        <v>220196.85607150869</v>
      </c>
    </row>
    <row r="313" spans="1:13" x14ac:dyDescent="0.75">
      <c r="A313" s="40">
        <v>311</v>
      </c>
      <c r="B313" s="27">
        <v>282.32575264663319</v>
      </c>
      <c r="C313" s="27">
        <v>703.23236901330529</v>
      </c>
      <c r="D313" s="27">
        <v>1225.5608421581564</v>
      </c>
      <c r="E313" s="27">
        <v>2187.4802403979556</v>
      </c>
      <c r="F313" s="27">
        <v>4011.2252961444028</v>
      </c>
      <c r="G313" s="27">
        <v>6436.1898138084798</v>
      </c>
      <c r="H313" s="27">
        <v>8430.9537536548014</v>
      </c>
      <c r="I313" s="27">
        <v>13255.237030213437</v>
      </c>
      <c r="J313" s="27">
        <v>22468.656790715904</v>
      </c>
      <c r="K313" s="27">
        <v>45783.311225688696</v>
      </c>
      <c r="L313" s="27">
        <v>104190.2986615471</v>
      </c>
      <c r="M313" s="27">
        <v>208974.47177598887</v>
      </c>
    </row>
    <row r="314" spans="1:13" x14ac:dyDescent="0.75">
      <c r="A314" s="40">
        <v>312</v>
      </c>
      <c r="B314" s="27">
        <v>761.10294095908466</v>
      </c>
      <c r="C314" s="27">
        <v>1419.8537412410951</v>
      </c>
      <c r="D314" s="27">
        <v>2221.7074667491834</v>
      </c>
      <c r="E314" s="27">
        <v>3434.7514939015819</v>
      </c>
      <c r="F314" s="27">
        <v>5295.9916914454079</v>
      </c>
      <c r="G314" s="27">
        <v>6937.7246770416969</v>
      </c>
      <c r="H314" s="27">
        <v>9576.0394596960541</v>
      </c>
      <c r="I314" s="27">
        <v>13796.093047902614</v>
      </c>
      <c r="J314" s="27">
        <v>24169.101944047055</v>
      </c>
      <c r="K314" s="27">
        <v>46557.31416812852</v>
      </c>
      <c r="L314" s="27">
        <v>114730.99796075624</v>
      </c>
      <c r="M314" s="27">
        <v>228900.67859186855</v>
      </c>
    </row>
    <row r="315" spans="1:13" x14ac:dyDescent="0.75">
      <c r="A315" s="40">
        <v>313</v>
      </c>
      <c r="B315" s="27">
        <v>1269.7353054868727</v>
      </c>
      <c r="C315" s="27">
        <v>1541.4202510894247</v>
      </c>
      <c r="D315" s="27">
        <v>2644.9874090347294</v>
      </c>
      <c r="E315" s="27">
        <v>3609.2937584111642</v>
      </c>
      <c r="F315" s="27">
        <v>5353.8669319490436</v>
      </c>
      <c r="G315" s="27">
        <v>7562.1938133508957</v>
      </c>
      <c r="H315" s="27">
        <v>10905.181083511852</v>
      </c>
      <c r="I315" s="27">
        <v>14185.4737441584</v>
      </c>
      <c r="J315" s="27">
        <v>22802.030089316235</v>
      </c>
      <c r="K315" s="27">
        <v>43658.525116512668</v>
      </c>
      <c r="L315" s="27">
        <v>116846.48112443773</v>
      </c>
      <c r="M315" s="27">
        <v>230379.18862725902</v>
      </c>
    </row>
    <row r="316" spans="1:13" x14ac:dyDescent="0.75">
      <c r="A316" s="40">
        <v>314</v>
      </c>
      <c r="B316" s="27">
        <v>639.15736939650378</v>
      </c>
      <c r="C316" s="27">
        <v>1048.3434519931034</v>
      </c>
      <c r="D316" s="27">
        <v>1959.1082918682077</v>
      </c>
      <c r="E316" s="27">
        <v>3177.1521371175622</v>
      </c>
      <c r="F316" s="27">
        <v>5531.4473193384765</v>
      </c>
      <c r="G316" s="27">
        <v>7563.8104080740013</v>
      </c>
      <c r="H316" s="27">
        <v>9943.2720185538637</v>
      </c>
      <c r="I316" s="27">
        <v>13425.117724218042</v>
      </c>
      <c r="J316" s="27">
        <v>22252.494274921119</v>
      </c>
      <c r="K316" s="27">
        <v>45685.329619600176</v>
      </c>
      <c r="L316" s="27">
        <v>112265.34745755635</v>
      </c>
      <c r="M316" s="27">
        <v>223490.58007263741</v>
      </c>
    </row>
    <row r="317" spans="1:13" x14ac:dyDescent="0.75">
      <c r="A317" s="40">
        <v>315</v>
      </c>
      <c r="B317" s="27">
        <v>283.03272591208224</v>
      </c>
      <c r="C317" s="27">
        <v>783.80474102235166</v>
      </c>
      <c r="D317" s="27">
        <v>1662.0272717373591</v>
      </c>
      <c r="E317" s="27">
        <v>2656.0381906303373</v>
      </c>
      <c r="F317" s="27">
        <v>3914.2848336852912</v>
      </c>
      <c r="G317" s="27">
        <v>6454.6883441616665</v>
      </c>
      <c r="H317" s="27">
        <v>9059.9090017353883</v>
      </c>
      <c r="I317" s="27">
        <v>13912.119294201431</v>
      </c>
      <c r="J317" s="27">
        <v>21787.627922361658</v>
      </c>
      <c r="K317" s="27">
        <v>45379.502724556427</v>
      </c>
      <c r="L317" s="27">
        <v>106290.48534311498</v>
      </c>
      <c r="M317" s="27">
        <v>212183.52039311896</v>
      </c>
    </row>
    <row r="318" spans="1:13" x14ac:dyDescent="0.75">
      <c r="A318" s="40">
        <v>316</v>
      </c>
      <c r="B318" s="27">
        <v>1117.8351606749929</v>
      </c>
      <c r="C318" s="27">
        <v>1629.989282057606</v>
      </c>
      <c r="D318" s="27">
        <v>2660.8779907464777</v>
      </c>
      <c r="E318" s="27">
        <v>4194.5407517306012</v>
      </c>
      <c r="F318" s="27">
        <v>5709.651832688076</v>
      </c>
      <c r="G318" s="27">
        <v>7752.4279207703075</v>
      </c>
      <c r="H318" s="27">
        <v>10478.50477708978</v>
      </c>
      <c r="I318" s="27">
        <v>14681.548415682773</v>
      </c>
      <c r="J318" s="27">
        <v>23988.363996402913</v>
      </c>
      <c r="K318" s="27">
        <v>48142.378614161105</v>
      </c>
      <c r="L318" s="27">
        <v>105451.37597704989</v>
      </c>
      <c r="M318" s="27">
        <v>225807.49471905452</v>
      </c>
    </row>
    <row r="319" spans="1:13" x14ac:dyDescent="0.75">
      <c r="A319" s="40">
        <v>317</v>
      </c>
      <c r="B319" s="27">
        <v>742.06742382660741</v>
      </c>
      <c r="C319" s="27">
        <v>1309.1178342066123</v>
      </c>
      <c r="D319" s="27">
        <v>2352.8224497851916</v>
      </c>
      <c r="E319" s="27">
        <v>3608.6078026183386</v>
      </c>
      <c r="F319" s="27">
        <v>5834.1454224274203</v>
      </c>
      <c r="G319" s="27">
        <v>7609.6595229230879</v>
      </c>
      <c r="H319" s="27">
        <v>10123.002323872468</v>
      </c>
      <c r="I319" s="27">
        <v>13715.795467101969</v>
      </c>
      <c r="J319" s="27">
        <v>23421.869150757862</v>
      </c>
      <c r="K319" s="27">
        <v>47070.081052305599</v>
      </c>
      <c r="L319" s="27">
        <v>114360.77707458731</v>
      </c>
      <c r="M319" s="27">
        <v>230147.94552441247</v>
      </c>
    </row>
    <row r="320" spans="1:13" x14ac:dyDescent="0.75">
      <c r="A320" s="40">
        <v>318</v>
      </c>
      <c r="B320" s="27">
        <v>1089.7949434171023</v>
      </c>
      <c r="C320" s="27">
        <v>1759.7928593617835</v>
      </c>
      <c r="D320" s="27">
        <v>2617.1644072005583</v>
      </c>
      <c r="E320" s="27">
        <v>3653.1185844079882</v>
      </c>
      <c r="F320" s="27">
        <v>5410.0980071390513</v>
      </c>
      <c r="G320" s="27">
        <v>7343.4721639418858</v>
      </c>
      <c r="H320" s="27">
        <v>9795.5014129559713</v>
      </c>
      <c r="I320" s="27">
        <v>15247.789961341769</v>
      </c>
      <c r="J320" s="27">
        <v>22966.950854056166</v>
      </c>
      <c r="K320" s="27">
        <v>46761.958368791151</v>
      </c>
      <c r="L320" s="27">
        <v>109497.27129489041</v>
      </c>
      <c r="M320" s="27">
        <v>226142.91285750383</v>
      </c>
    </row>
    <row r="321" spans="1:13" x14ac:dyDescent="0.75">
      <c r="A321" s="40">
        <v>319</v>
      </c>
      <c r="B321" s="27">
        <v>731.69752925228386</v>
      </c>
      <c r="C321" s="27">
        <v>974.91320830878976</v>
      </c>
      <c r="D321" s="27">
        <v>1902.8814389308827</v>
      </c>
      <c r="E321" s="27">
        <v>2757.5477637845324</v>
      </c>
      <c r="F321" s="27">
        <v>4495.9090247330314</v>
      </c>
      <c r="G321" s="27">
        <v>6932.4877708162239</v>
      </c>
      <c r="H321" s="27">
        <v>9687.7973548959417</v>
      </c>
      <c r="I321" s="27">
        <v>13689.035470991919</v>
      </c>
      <c r="J321" s="27">
        <v>21849.866761421494</v>
      </c>
      <c r="K321" s="27">
        <v>44788.777845194782</v>
      </c>
      <c r="L321" s="27">
        <v>113746.13018601612</v>
      </c>
      <c r="M321" s="27">
        <v>221557.044354346</v>
      </c>
    </row>
    <row r="322" spans="1:13" x14ac:dyDescent="0.75">
      <c r="A322" s="40">
        <v>320</v>
      </c>
      <c r="B322" s="27">
        <v>196.35407908652269</v>
      </c>
      <c r="C322" s="27">
        <v>574.87303668280947</v>
      </c>
      <c r="D322" s="27">
        <v>1517.3437405924633</v>
      </c>
      <c r="E322" s="27">
        <v>2718.6286651973496</v>
      </c>
      <c r="F322" s="27">
        <v>4293.9802819872712</v>
      </c>
      <c r="G322" s="27">
        <v>6424.8268762111256</v>
      </c>
      <c r="H322" s="27">
        <v>9617.2113803543325</v>
      </c>
      <c r="I322" s="27">
        <v>13810.899163260008</v>
      </c>
      <c r="J322" s="27">
        <v>20763.622202942832</v>
      </c>
      <c r="K322" s="27">
        <v>42496.097924140515</v>
      </c>
      <c r="L322" s="27">
        <v>107245.4990991705</v>
      </c>
      <c r="M322" s="27">
        <v>209659.33644962573</v>
      </c>
    </row>
    <row r="323" spans="1:13" x14ac:dyDescent="0.75">
      <c r="A323" s="40">
        <v>321</v>
      </c>
      <c r="B323" s="27">
        <v>796.59729543053254</v>
      </c>
      <c r="C323" s="27">
        <v>983.60602790543635</v>
      </c>
      <c r="D323" s="27">
        <v>1945.7224705917761</v>
      </c>
      <c r="E323" s="27">
        <v>2926.3125183899392</v>
      </c>
      <c r="F323" s="27">
        <v>5006.2593817228917</v>
      </c>
      <c r="G323" s="27">
        <v>7521.5859357786539</v>
      </c>
      <c r="H323" s="27">
        <v>9791.3278112057742</v>
      </c>
      <c r="I323" s="27">
        <v>13836.648274083069</v>
      </c>
      <c r="J323" s="27">
        <v>23269.995097629668</v>
      </c>
      <c r="K323" s="27">
        <v>46474.267280105938</v>
      </c>
      <c r="L323" s="27">
        <v>101433.99775219779</v>
      </c>
      <c r="M323" s="27">
        <v>213986.31984504146</v>
      </c>
    </row>
    <row r="324" spans="1:13" x14ac:dyDescent="0.75">
      <c r="A324" s="40">
        <v>322</v>
      </c>
      <c r="B324" s="27">
        <v>1169.2861804565619</v>
      </c>
      <c r="C324" s="27">
        <v>1433.5475634555332</v>
      </c>
      <c r="D324" s="27">
        <v>2423.6098050180299</v>
      </c>
      <c r="E324" s="27">
        <v>3762.7080348999298</v>
      </c>
      <c r="F324" s="27">
        <v>5642.254015540384</v>
      </c>
      <c r="G324" s="27">
        <v>7955.4774424707575</v>
      </c>
      <c r="H324" s="27">
        <v>10233.037440005312</v>
      </c>
      <c r="I324" s="27">
        <v>14060.093853183716</v>
      </c>
      <c r="J324" s="27">
        <v>22478.360902219327</v>
      </c>
      <c r="K324" s="27">
        <v>49853.023524835065</v>
      </c>
      <c r="L324" s="27">
        <v>108418.79439114046</v>
      </c>
      <c r="M324" s="27">
        <v>227430.19315322506</v>
      </c>
    </row>
    <row r="325" spans="1:13" x14ac:dyDescent="0.75">
      <c r="A325" s="40">
        <v>323</v>
      </c>
      <c r="B325" s="27">
        <v>812.6204240299121</v>
      </c>
      <c r="C325" s="27">
        <v>1340.0167532007035</v>
      </c>
      <c r="D325" s="27">
        <v>2064.304591411812</v>
      </c>
      <c r="E325" s="27">
        <v>3249.6055035021709</v>
      </c>
      <c r="F325" s="27">
        <v>5075.5100478638778</v>
      </c>
      <c r="G325" s="27">
        <v>7168.9498464674689</v>
      </c>
      <c r="H325" s="27">
        <v>10118.779443280335</v>
      </c>
      <c r="I325" s="27">
        <v>13677.719242534309</v>
      </c>
      <c r="J325" s="27">
        <v>22579.237852840044</v>
      </c>
      <c r="K325" s="27">
        <v>46216.87618776373</v>
      </c>
      <c r="L325" s="27">
        <v>108170.53863544858</v>
      </c>
      <c r="M325" s="27">
        <v>220474.15852834296</v>
      </c>
    </row>
    <row r="326" spans="1:13" x14ac:dyDescent="0.75">
      <c r="A326" s="40">
        <v>324</v>
      </c>
      <c r="B326" s="27">
        <v>991.71538274359773</v>
      </c>
      <c r="C326" s="27">
        <v>1908.46148960352</v>
      </c>
      <c r="D326" s="27">
        <v>2554.8024110744009</v>
      </c>
      <c r="E326" s="27">
        <v>3645.0105803168262</v>
      </c>
      <c r="F326" s="27">
        <v>5676.2366445327352</v>
      </c>
      <c r="G326" s="27">
        <v>8436.3813047990843</v>
      </c>
      <c r="H326" s="27">
        <v>11266.327111486928</v>
      </c>
      <c r="I326" s="27">
        <v>15703.547868089488</v>
      </c>
      <c r="J326" s="27">
        <v>24465.349568705831</v>
      </c>
      <c r="K326" s="27">
        <v>48741.398424571613</v>
      </c>
      <c r="L326" s="27">
        <v>113310.97103483323</v>
      </c>
      <c r="M326" s="27">
        <v>236700.20182075724</v>
      </c>
    </row>
    <row r="327" spans="1:13" x14ac:dyDescent="0.75">
      <c r="A327" s="40">
        <v>325</v>
      </c>
      <c r="B327" s="27">
        <v>1061.6242274136312</v>
      </c>
      <c r="C327" s="27">
        <v>1351.6831982260919</v>
      </c>
      <c r="D327" s="27">
        <v>2045.2918794821453</v>
      </c>
      <c r="E327" s="27">
        <v>3177.3027404407621</v>
      </c>
      <c r="F327" s="27">
        <v>5148.6143335228844</v>
      </c>
      <c r="G327" s="27">
        <v>7093.4885396463796</v>
      </c>
      <c r="H327" s="27">
        <v>10397.208437510242</v>
      </c>
      <c r="I327" s="27">
        <v>14243.491051174933</v>
      </c>
      <c r="J327" s="27">
        <v>22581.967988906399</v>
      </c>
      <c r="K327" s="27">
        <v>45694.524571835034</v>
      </c>
      <c r="L327" s="27">
        <v>108481.73948332467</v>
      </c>
      <c r="M327" s="27">
        <v>221276.93645148317</v>
      </c>
    </row>
    <row r="328" spans="1:13" x14ac:dyDescent="0.75">
      <c r="A328" s="40">
        <v>326</v>
      </c>
      <c r="B328" s="27">
        <v>700.11561690938834</v>
      </c>
      <c r="C328" s="27">
        <v>1023.108418027914</v>
      </c>
      <c r="D328" s="27">
        <v>1975.8228896896326</v>
      </c>
      <c r="E328" s="27">
        <v>3017.0568725532066</v>
      </c>
      <c r="F328" s="27">
        <v>4775.2731742581818</v>
      </c>
      <c r="G328" s="27">
        <v>6861.6608645904926</v>
      </c>
      <c r="H328" s="27">
        <v>9918.8995283023105</v>
      </c>
      <c r="I328" s="27">
        <v>13771.218390406604</v>
      </c>
      <c r="J328" s="27">
        <v>22853.198433354861</v>
      </c>
      <c r="K328" s="27">
        <v>43490.182403455037</v>
      </c>
      <c r="L328" s="27">
        <v>116368.50451442596</v>
      </c>
      <c r="M328" s="27">
        <v>224755.04110597359</v>
      </c>
    </row>
    <row r="329" spans="1:13" x14ac:dyDescent="0.75">
      <c r="A329" s="40">
        <v>327</v>
      </c>
      <c r="B329" s="27">
        <v>671.32904262313969</v>
      </c>
      <c r="C329" s="27">
        <v>1019.0775995461154</v>
      </c>
      <c r="D329" s="27">
        <v>1769.97495257009</v>
      </c>
      <c r="E329" s="27">
        <v>3096.4886254213634</v>
      </c>
      <c r="F329" s="27">
        <v>5215.3287949815276</v>
      </c>
      <c r="G329" s="27">
        <v>7765.9651966700039</v>
      </c>
      <c r="H329" s="27">
        <v>10280.956051568937</v>
      </c>
      <c r="I329" s="27">
        <v>14475.24440440716</v>
      </c>
      <c r="J329" s="27">
        <v>24168.118680899439</v>
      </c>
      <c r="K329" s="27">
        <v>45249.458527608047</v>
      </c>
      <c r="L329" s="27">
        <v>110330.23528025654</v>
      </c>
      <c r="M329" s="27">
        <v>224042.17715655238</v>
      </c>
    </row>
    <row r="330" spans="1:13" x14ac:dyDescent="0.75">
      <c r="A330" s="40">
        <v>328</v>
      </c>
      <c r="B330" s="27">
        <v>953.45790353340271</v>
      </c>
      <c r="C330" s="27">
        <v>1625.6450638733368</v>
      </c>
      <c r="D330" s="27">
        <v>2468.0056457610626</v>
      </c>
      <c r="E330" s="27">
        <v>3588.8182245979406</v>
      </c>
      <c r="F330" s="27">
        <v>5544.8133661152679</v>
      </c>
      <c r="G330" s="27">
        <v>8059.7933637024253</v>
      </c>
      <c r="H330" s="27">
        <v>9632.9396838949469</v>
      </c>
      <c r="I330" s="27">
        <v>14434.460842328321</v>
      </c>
      <c r="J330" s="27">
        <v>24413.424699949101</v>
      </c>
      <c r="K330" s="27">
        <v>46565.66765749437</v>
      </c>
      <c r="L330" s="27">
        <v>108416.15291702357</v>
      </c>
      <c r="M330" s="27">
        <v>225703.17936827376</v>
      </c>
    </row>
    <row r="331" spans="1:13" x14ac:dyDescent="0.75">
      <c r="A331" s="40">
        <v>329</v>
      </c>
      <c r="B331" s="27">
        <v>814.59389180950529</v>
      </c>
      <c r="C331" s="27">
        <v>1174.8213605269702</v>
      </c>
      <c r="D331" s="27">
        <v>1949.5691135664674</v>
      </c>
      <c r="E331" s="27">
        <v>3104.1614890773635</v>
      </c>
      <c r="F331" s="27">
        <v>5032.7874126499519</v>
      </c>
      <c r="G331" s="27">
        <v>7277.9860253053193</v>
      </c>
      <c r="H331" s="27">
        <v>9737.810246494395</v>
      </c>
      <c r="I331" s="27">
        <v>14302.808827017536</v>
      </c>
      <c r="J331" s="27">
        <v>22604.662167314935</v>
      </c>
      <c r="K331" s="27">
        <v>47053.784502816707</v>
      </c>
      <c r="L331" s="27">
        <v>106552.80744283696</v>
      </c>
      <c r="M331" s="27">
        <v>219605.79247941612</v>
      </c>
    </row>
    <row r="332" spans="1:13" x14ac:dyDescent="0.75">
      <c r="A332" s="40">
        <v>330</v>
      </c>
      <c r="B332" s="27">
        <v>694.76347760630597</v>
      </c>
      <c r="C332" s="27">
        <v>1474.18272915548</v>
      </c>
      <c r="D332" s="27">
        <v>2274.712329125221</v>
      </c>
      <c r="E332" s="27">
        <v>3675.5184091016854</v>
      </c>
      <c r="F332" s="27">
        <v>5346.1785818894423</v>
      </c>
      <c r="G332" s="27">
        <v>8086.1182604835776</v>
      </c>
      <c r="H332" s="27">
        <v>10259.204805798698</v>
      </c>
      <c r="I332" s="27">
        <v>14681.19181289502</v>
      </c>
      <c r="J332" s="27">
        <v>22945.592488389157</v>
      </c>
      <c r="K332" s="27">
        <v>44615.62513080817</v>
      </c>
      <c r="L332" s="27">
        <v>107718.33469447846</v>
      </c>
      <c r="M332" s="27">
        <v>221771.42271973123</v>
      </c>
    </row>
    <row r="333" spans="1:13" x14ac:dyDescent="0.75">
      <c r="A333" s="40">
        <v>331</v>
      </c>
      <c r="B333" s="27">
        <v>1052.6069003882003</v>
      </c>
      <c r="C333" s="27">
        <v>1808.2357818873861</v>
      </c>
      <c r="D333" s="27">
        <v>2577.8320085513551</v>
      </c>
      <c r="E333" s="27">
        <v>3854.1222248210543</v>
      </c>
      <c r="F333" s="27">
        <v>5434.0762784895487</v>
      </c>
      <c r="G333" s="27">
        <v>7723.075652724423</v>
      </c>
      <c r="H333" s="27">
        <v>9808.5534051757422</v>
      </c>
      <c r="I333" s="27">
        <v>14570.25936674558</v>
      </c>
      <c r="J333" s="27">
        <v>23266.456411895313</v>
      </c>
      <c r="K333" s="27">
        <v>47281.480225750216</v>
      </c>
      <c r="L333" s="27">
        <v>123589.88733967593</v>
      </c>
      <c r="M333" s="27">
        <v>240966.58559610473</v>
      </c>
    </row>
    <row r="334" spans="1:13" x14ac:dyDescent="0.75">
      <c r="A334" s="40">
        <v>332</v>
      </c>
      <c r="B334" s="27">
        <v>1038.1505454194994</v>
      </c>
      <c r="C334" s="27">
        <v>1837.6079026443913</v>
      </c>
      <c r="D334" s="27">
        <v>2951.9949690995418</v>
      </c>
      <c r="E334" s="27">
        <v>4113.3121513538499</v>
      </c>
      <c r="F334" s="27">
        <v>6503.8831613983202</v>
      </c>
      <c r="G334" s="27">
        <v>8660.6848789009673</v>
      </c>
      <c r="H334" s="27">
        <v>11542.031222602498</v>
      </c>
      <c r="I334" s="27">
        <v>15408.984031125263</v>
      </c>
      <c r="J334" s="27">
        <v>24141.041528056521</v>
      </c>
      <c r="K334" s="27">
        <v>45775.045069578613</v>
      </c>
      <c r="L334" s="27">
        <v>114546.12384151202</v>
      </c>
      <c r="M334" s="27">
        <v>236518.85930169147</v>
      </c>
    </row>
    <row r="335" spans="1:13" x14ac:dyDescent="0.75">
      <c r="A335" s="40">
        <v>333</v>
      </c>
      <c r="B335" s="27">
        <v>796.3915611791308</v>
      </c>
      <c r="C335" s="27">
        <v>1104.2862470480613</v>
      </c>
      <c r="D335" s="27">
        <v>2037.4806227095978</v>
      </c>
      <c r="E335" s="27">
        <v>3071.0159105203202</v>
      </c>
      <c r="F335" s="27">
        <v>5168.83802901936</v>
      </c>
      <c r="G335" s="27">
        <v>7542.1922655341914</v>
      </c>
      <c r="H335" s="27">
        <v>9756.4785272159643</v>
      </c>
      <c r="I335" s="27">
        <v>14426.078390868555</v>
      </c>
      <c r="J335" s="27">
        <v>23675.3596560554</v>
      </c>
      <c r="K335" s="27">
        <v>47916.699339950166</v>
      </c>
      <c r="L335" s="27">
        <v>109952.67057521225</v>
      </c>
      <c r="M335" s="27">
        <v>225447.49112531298</v>
      </c>
    </row>
    <row r="336" spans="1:13" x14ac:dyDescent="0.75">
      <c r="A336" s="40">
        <v>334</v>
      </c>
      <c r="B336" s="27">
        <v>743.04311367361515</v>
      </c>
      <c r="C336" s="27">
        <v>1173.7980443594861</v>
      </c>
      <c r="D336" s="27">
        <v>2121.2192983535788</v>
      </c>
      <c r="E336" s="27">
        <v>3498.2919096709957</v>
      </c>
      <c r="F336" s="27">
        <v>5226.8412448267336</v>
      </c>
      <c r="G336" s="27">
        <v>7405.3288920919003</v>
      </c>
      <c r="H336" s="27">
        <v>9979.8187918963376</v>
      </c>
      <c r="I336" s="27">
        <v>13855.449715035589</v>
      </c>
      <c r="J336" s="27">
        <v>24099.788894211029</v>
      </c>
      <c r="K336" s="27">
        <v>46434.124249118962</v>
      </c>
      <c r="L336" s="27">
        <v>113419.2412654825</v>
      </c>
      <c r="M336" s="27">
        <v>227956.94541872072</v>
      </c>
    </row>
    <row r="337" spans="1:13" x14ac:dyDescent="0.75">
      <c r="A337" s="40">
        <v>335</v>
      </c>
      <c r="B337" s="27">
        <v>1080.7863818814076</v>
      </c>
      <c r="C337" s="27">
        <v>1738.035293447916</v>
      </c>
      <c r="D337" s="27">
        <v>2655.0897759354557</v>
      </c>
      <c r="E337" s="27">
        <v>3908.6255587776832</v>
      </c>
      <c r="F337" s="27">
        <v>6543.4661898694758</v>
      </c>
      <c r="G337" s="27">
        <v>7950.6033137920895</v>
      </c>
      <c r="H337" s="27">
        <v>10572.692702051674</v>
      </c>
      <c r="I337" s="27">
        <v>14452.579421137532</v>
      </c>
      <c r="J337" s="27">
        <v>23454.181861000223</v>
      </c>
      <c r="K337" s="27">
        <v>46638.285644025163</v>
      </c>
      <c r="L337" s="27">
        <v>108265.10912667016</v>
      </c>
      <c r="M337" s="27">
        <v>227259.45526858879</v>
      </c>
    </row>
    <row r="338" spans="1:13" x14ac:dyDescent="0.75">
      <c r="A338" s="40">
        <v>336</v>
      </c>
      <c r="B338" s="27">
        <v>282.60318077872216</v>
      </c>
      <c r="C338" s="27">
        <v>731.68057053205848</v>
      </c>
      <c r="D338" s="27">
        <v>1618.4047693916073</v>
      </c>
      <c r="E338" s="27">
        <v>2792.8164159913722</v>
      </c>
      <c r="F338" s="27">
        <v>5105.0203410450486</v>
      </c>
      <c r="G338" s="27">
        <v>7083.8824756538961</v>
      </c>
      <c r="H338" s="27">
        <v>11069.198660911235</v>
      </c>
      <c r="I338" s="27">
        <v>14162.31420378793</v>
      </c>
      <c r="J338" s="27">
        <v>23648.943258881773</v>
      </c>
      <c r="K338" s="27">
        <v>47896.095417130709</v>
      </c>
      <c r="L338" s="27">
        <v>109475.81007696838</v>
      </c>
      <c r="M338" s="27">
        <v>223866.76937107273</v>
      </c>
    </row>
    <row r="339" spans="1:13" x14ac:dyDescent="0.75">
      <c r="A339" s="40">
        <v>337</v>
      </c>
      <c r="B339" s="27">
        <v>1080.9346209145442</v>
      </c>
      <c r="C339" s="27">
        <v>1751.5486843676917</v>
      </c>
      <c r="D339" s="27">
        <v>2619.8101952170255</v>
      </c>
      <c r="E339" s="27">
        <v>3996.6090091313963</v>
      </c>
      <c r="F339" s="27">
        <v>5847.378421185902</v>
      </c>
      <c r="G339" s="27">
        <v>8175.0193385194289</v>
      </c>
      <c r="H339" s="27">
        <v>10951.493276572204</v>
      </c>
      <c r="I339" s="27">
        <v>15582.214699509554</v>
      </c>
      <c r="J339" s="27">
        <v>24355.277734856878</v>
      </c>
      <c r="K339" s="27">
        <v>49879.81031788743</v>
      </c>
      <c r="L339" s="27">
        <v>118802.01381334905</v>
      </c>
      <c r="M339" s="27">
        <v>243042.11011151111</v>
      </c>
    </row>
    <row r="340" spans="1:13" x14ac:dyDescent="0.75">
      <c r="A340" s="40">
        <v>338</v>
      </c>
      <c r="B340" s="27">
        <v>1348.9227077718242</v>
      </c>
      <c r="C340" s="27">
        <v>1936.2708765850984</v>
      </c>
      <c r="D340" s="27">
        <v>2877.5784226799005</v>
      </c>
      <c r="E340" s="27">
        <v>3879.7323568683787</v>
      </c>
      <c r="F340" s="27">
        <v>6045.7381883311027</v>
      </c>
      <c r="G340" s="27">
        <v>8349.310675095534</v>
      </c>
      <c r="H340" s="27">
        <v>10373.248189983351</v>
      </c>
      <c r="I340" s="27">
        <v>14898.056339168528</v>
      </c>
      <c r="J340" s="27">
        <v>23401.25985241626</v>
      </c>
      <c r="K340" s="27">
        <v>47312.045110715233</v>
      </c>
      <c r="L340" s="27">
        <v>109080.56151805949</v>
      </c>
      <c r="M340" s="27">
        <v>229502.7242376747</v>
      </c>
    </row>
    <row r="341" spans="1:13" x14ac:dyDescent="0.75">
      <c r="A341" s="40">
        <v>339</v>
      </c>
      <c r="B341" s="27">
        <v>575.34520806033106</v>
      </c>
      <c r="C341" s="27">
        <v>1227.6566977677285</v>
      </c>
      <c r="D341" s="27">
        <v>2109.6532067256921</v>
      </c>
      <c r="E341" s="27">
        <v>3111.0541780655767</v>
      </c>
      <c r="F341" s="27">
        <v>5359.661076207296</v>
      </c>
      <c r="G341" s="27">
        <v>7424.8865197433042</v>
      </c>
      <c r="H341" s="27">
        <v>10076.881336696038</v>
      </c>
      <c r="I341" s="27">
        <v>14797.569881627482</v>
      </c>
      <c r="J341" s="27">
        <v>23878.635176528129</v>
      </c>
      <c r="K341" s="27">
        <v>45884.907961130666</v>
      </c>
      <c r="L341" s="27">
        <v>114963.94587910875</v>
      </c>
      <c r="M341" s="27">
        <v>229410.19712166098</v>
      </c>
    </row>
    <row r="342" spans="1:13" x14ac:dyDescent="0.75">
      <c r="A342" s="40">
        <v>340</v>
      </c>
      <c r="B342" s="27">
        <v>935.98011734358442</v>
      </c>
      <c r="C342" s="27">
        <v>1505.072374871248</v>
      </c>
      <c r="D342" s="27">
        <v>2490.0959394726524</v>
      </c>
      <c r="E342" s="27">
        <v>3177.4787894353503</v>
      </c>
      <c r="F342" s="27">
        <v>4786.3283223508915</v>
      </c>
      <c r="G342" s="27">
        <v>7074.0155989673804</v>
      </c>
      <c r="H342" s="27">
        <v>10367.413760941417</v>
      </c>
      <c r="I342" s="27">
        <v>14364.802671450059</v>
      </c>
      <c r="J342" s="27">
        <v>22966.096551759183</v>
      </c>
      <c r="K342" s="27">
        <v>45550.923036449283</v>
      </c>
      <c r="L342" s="27">
        <v>114557.45730911798</v>
      </c>
      <c r="M342" s="27">
        <v>227775.66447215903</v>
      </c>
    </row>
    <row r="343" spans="1:13" x14ac:dyDescent="0.75">
      <c r="A343" s="40">
        <v>341</v>
      </c>
      <c r="B343" s="27">
        <v>1123.9500040270505</v>
      </c>
      <c r="C343" s="27">
        <v>1514.2510534790927</v>
      </c>
      <c r="D343" s="27">
        <v>2645.4034785127005</v>
      </c>
      <c r="E343" s="27">
        <v>4014.5263400308468</v>
      </c>
      <c r="F343" s="27">
        <v>6055.05364573322</v>
      </c>
      <c r="G343" s="27">
        <v>8629.7427859182353</v>
      </c>
      <c r="H343" s="27">
        <v>10956.133409599148</v>
      </c>
      <c r="I343" s="27">
        <v>15296.069146914975</v>
      </c>
      <c r="J343" s="27">
        <v>24650.795797743354</v>
      </c>
      <c r="K343" s="27">
        <v>49209.104776454958</v>
      </c>
      <c r="L343" s="27">
        <v>117382.92168212702</v>
      </c>
      <c r="M343" s="27">
        <v>241477.95212054061</v>
      </c>
    </row>
    <row r="344" spans="1:13" x14ac:dyDescent="0.75">
      <c r="A344" s="40">
        <v>342</v>
      </c>
      <c r="B344" s="27">
        <v>1258.8475566321285</v>
      </c>
      <c r="C344" s="27">
        <v>1473.8471079117298</v>
      </c>
      <c r="D344" s="27">
        <v>2558.2960898469173</v>
      </c>
      <c r="E344" s="27">
        <v>3635.2831261192041</v>
      </c>
      <c r="F344" s="27">
        <v>5656.5717556815653</v>
      </c>
      <c r="G344" s="27">
        <v>7899.4330855389417</v>
      </c>
      <c r="H344" s="27">
        <v>9990.8921788820298</v>
      </c>
      <c r="I344" s="27">
        <v>14588.110425091916</v>
      </c>
      <c r="J344" s="27">
        <v>23627.045731775113</v>
      </c>
      <c r="K344" s="27">
        <v>48094.791559946229</v>
      </c>
      <c r="L344" s="27">
        <v>107909.81803766784</v>
      </c>
      <c r="M344" s="27">
        <v>226692.93665509362</v>
      </c>
    </row>
    <row r="345" spans="1:13" x14ac:dyDescent="0.75">
      <c r="A345" s="40">
        <v>343</v>
      </c>
      <c r="B345" s="27">
        <v>1141.2428177198308</v>
      </c>
      <c r="C345" s="27">
        <v>1808.6423997777893</v>
      </c>
      <c r="D345" s="27">
        <v>2408.8763287227921</v>
      </c>
      <c r="E345" s="27">
        <v>3423.9348472788115</v>
      </c>
      <c r="F345" s="27">
        <v>5223.7455379008316</v>
      </c>
      <c r="G345" s="27">
        <v>7545.5035282190656</v>
      </c>
      <c r="H345" s="27">
        <v>10625.221880767989</v>
      </c>
      <c r="I345" s="27">
        <v>14387.883284592041</v>
      </c>
      <c r="J345" s="27">
        <v>24666.416220030747</v>
      </c>
      <c r="K345" s="27">
        <v>50573.636523377529</v>
      </c>
      <c r="L345" s="27">
        <v>109976.93689510861</v>
      </c>
      <c r="M345" s="27">
        <v>231782.04026349605</v>
      </c>
    </row>
    <row r="346" spans="1:13" x14ac:dyDescent="0.75">
      <c r="A346" s="40">
        <v>344</v>
      </c>
      <c r="B346" s="27">
        <v>727.01912859530421</v>
      </c>
      <c r="C346" s="27">
        <v>903.369110818021</v>
      </c>
      <c r="D346" s="27">
        <v>1956.9216484639619</v>
      </c>
      <c r="E346" s="27">
        <v>3491.1082394038094</v>
      </c>
      <c r="F346" s="27">
        <v>5280.8417440854828</v>
      </c>
      <c r="G346" s="27">
        <v>7649.8785473130119</v>
      </c>
      <c r="H346" s="27">
        <v>10472.034022996508</v>
      </c>
      <c r="I346" s="27">
        <v>13707.038127379084</v>
      </c>
      <c r="J346" s="27">
        <v>22325.120711089112</v>
      </c>
      <c r="K346" s="27">
        <v>44084.601507752581</v>
      </c>
      <c r="L346" s="27">
        <v>100842.58247499698</v>
      </c>
      <c r="M346" s="27">
        <v>211440.51526289387</v>
      </c>
    </row>
    <row r="347" spans="1:13" x14ac:dyDescent="0.75">
      <c r="A347" s="40">
        <v>345</v>
      </c>
      <c r="B347" s="27">
        <v>763.63686786577455</v>
      </c>
      <c r="C347" s="27">
        <v>1194.8102132852655</v>
      </c>
      <c r="D347" s="27">
        <v>1950.0480554315873</v>
      </c>
      <c r="E347" s="27">
        <v>2931.7773508935352</v>
      </c>
      <c r="F347" s="27">
        <v>4911.4346196471888</v>
      </c>
      <c r="G347" s="27">
        <v>7458.882219842606</v>
      </c>
      <c r="H347" s="27">
        <v>10063.263958060939</v>
      </c>
      <c r="I347" s="27">
        <v>14118.455818002039</v>
      </c>
      <c r="J347" s="27">
        <v>23007.466046272792</v>
      </c>
      <c r="K347" s="27">
        <v>44974.085555728976</v>
      </c>
      <c r="L347" s="27">
        <v>107042.24127913739</v>
      </c>
      <c r="M347" s="27">
        <v>218416.10198416811</v>
      </c>
    </row>
    <row r="348" spans="1:13" x14ac:dyDescent="0.75">
      <c r="A348" s="40">
        <v>346</v>
      </c>
      <c r="B348" s="27">
        <v>954.57863275821728</v>
      </c>
      <c r="C348" s="27">
        <v>1455.8003688244935</v>
      </c>
      <c r="D348" s="27">
        <v>2517.6631402638886</v>
      </c>
      <c r="E348" s="27">
        <v>3652.4925896346394</v>
      </c>
      <c r="F348" s="27">
        <v>5648.1875266766292</v>
      </c>
      <c r="G348" s="27">
        <v>7915.9874218127225</v>
      </c>
      <c r="H348" s="27">
        <v>10711.498443789998</v>
      </c>
      <c r="I348" s="27">
        <v>15682.390643712919</v>
      </c>
      <c r="J348" s="27">
        <v>24557.680726180814</v>
      </c>
      <c r="K348" s="27">
        <v>48402.792112898693</v>
      </c>
      <c r="L348" s="27">
        <v>117640.38387662631</v>
      </c>
      <c r="M348" s="27">
        <v>239139.45548317931</v>
      </c>
    </row>
    <row r="349" spans="1:13" x14ac:dyDescent="0.75">
      <c r="A349" s="40">
        <v>347</v>
      </c>
      <c r="B349" s="27">
        <v>916.54393195154262</v>
      </c>
      <c r="C349" s="27">
        <v>1349.3461804224935</v>
      </c>
      <c r="D349" s="27">
        <v>2183.0172117408074</v>
      </c>
      <c r="E349" s="27">
        <v>3345.0175078006432</v>
      </c>
      <c r="F349" s="27">
        <v>5124.4814599570818</v>
      </c>
      <c r="G349" s="27">
        <v>7552.6970500885218</v>
      </c>
      <c r="H349" s="27">
        <v>9481.0332762811886</v>
      </c>
      <c r="I349" s="27">
        <v>14805.839231111691</v>
      </c>
      <c r="J349" s="27">
        <v>23372.900302780996</v>
      </c>
      <c r="K349" s="27">
        <v>45468.386810820986</v>
      </c>
      <c r="L349" s="27">
        <v>103351.71719664722</v>
      </c>
      <c r="M349" s="27">
        <v>216950.98015960318</v>
      </c>
    </row>
    <row r="350" spans="1:13" x14ac:dyDescent="0.75">
      <c r="A350" s="40">
        <v>348</v>
      </c>
      <c r="B350" s="27">
        <v>516.08054655045271</v>
      </c>
      <c r="C350" s="27">
        <v>1118.7131703537452</v>
      </c>
      <c r="D350" s="27">
        <v>1861.5600135073037</v>
      </c>
      <c r="E350" s="27">
        <v>2992.4555867512972</v>
      </c>
      <c r="F350" s="27">
        <v>5013.5489161372534</v>
      </c>
      <c r="G350" s="27">
        <v>7550.9252391632181</v>
      </c>
      <c r="H350" s="27">
        <v>10379.818917477416</v>
      </c>
      <c r="I350" s="27">
        <v>13782.418253465614</v>
      </c>
      <c r="J350" s="27">
        <v>22740.84147721919</v>
      </c>
      <c r="K350" s="27">
        <v>46835.719887874962</v>
      </c>
      <c r="L350" s="27">
        <v>106523.12135561781</v>
      </c>
      <c r="M350" s="27">
        <v>219315.20336411826</v>
      </c>
    </row>
    <row r="351" spans="1:13" x14ac:dyDescent="0.75">
      <c r="A351" s="40">
        <v>349</v>
      </c>
      <c r="B351" s="27">
        <v>1114.3498726225953</v>
      </c>
      <c r="C351" s="27">
        <v>1717.3376731921453</v>
      </c>
      <c r="D351" s="27">
        <v>2838.5016239062388</v>
      </c>
      <c r="E351" s="27">
        <v>4064.4485032802622</v>
      </c>
      <c r="F351" s="27">
        <v>6173.5843190482119</v>
      </c>
      <c r="G351" s="27">
        <v>8566.434980986669</v>
      </c>
      <c r="H351" s="27">
        <v>11669.302513197763</v>
      </c>
      <c r="I351" s="27">
        <v>15993.949873560428</v>
      </c>
      <c r="J351" s="27">
        <v>23747.752523793068</v>
      </c>
      <c r="K351" s="27">
        <v>46728.739346633869</v>
      </c>
      <c r="L351" s="27">
        <v>122986.78058881077</v>
      </c>
      <c r="M351" s="27">
        <v>245601.181819032</v>
      </c>
    </row>
    <row r="352" spans="1:13" x14ac:dyDescent="0.75">
      <c r="A352" s="40">
        <v>350</v>
      </c>
      <c r="B352" s="27">
        <v>1127.1686529268482</v>
      </c>
      <c r="C352" s="27">
        <v>1540.7821264290105</v>
      </c>
      <c r="D352" s="27">
        <v>2343.7327905810671</v>
      </c>
      <c r="E352" s="27">
        <v>3512.601228120926</v>
      </c>
      <c r="F352" s="27">
        <v>5744.9805209141341</v>
      </c>
      <c r="G352" s="27">
        <v>8583.9992709276848</v>
      </c>
      <c r="H352" s="27">
        <v>11074.997342389732</v>
      </c>
      <c r="I352" s="27">
        <v>15480.264301582138</v>
      </c>
      <c r="J352" s="27">
        <v>24869.19835511253</v>
      </c>
      <c r="K352" s="27">
        <v>49103.831128138554</v>
      </c>
      <c r="L352" s="27">
        <v>112772.21650819469</v>
      </c>
      <c r="M352" s="27">
        <v>236153.77222531731</v>
      </c>
    </row>
    <row r="353" spans="1:13" x14ac:dyDescent="0.75">
      <c r="A353" s="40">
        <v>351</v>
      </c>
      <c r="B353" s="27">
        <v>922.91182060175925</v>
      </c>
      <c r="C353" s="27">
        <v>1238.069773910931</v>
      </c>
      <c r="D353" s="27">
        <v>2280.6001901724521</v>
      </c>
      <c r="E353" s="27">
        <v>3503.3160286799975</v>
      </c>
      <c r="F353" s="27">
        <v>5257.6860856092826</v>
      </c>
      <c r="G353" s="27">
        <v>7790.9354093449074</v>
      </c>
      <c r="H353" s="27">
        <v>11512.542788564111</v>
      </c>
      <c r="I353" s="27">
        <v>14591.044899937027</v>
      </c>
      <c r="J353" s="27">
        <v>22613.183434275154</v>
      </c>
      <c r="K353" s="27">
        <v>45097.28113803234</v>
      </c>
      <c r="L353" s="27">
        <v>105208.26220650089</v>
      </c>
      <c r="M353" s="27">
        <v>220015.83377562885</v>
      </c>
    </row>
    <row r="354" spans="1:13" x14ac:dyDescent="0.75">
      <c r="A354" s="40">
        <v>352</v>
      </c>
      <c r="B354" s="27">
        <v>699.37074372523057</v>
      </c>
      <c r="C354" s="27">
        <v>1230.5816843495122</v>
      </c>
      <c r="D354" s="27">
        <v>2160.7277032006095</v>
      </c>
      <c r="E354" s="27">
        <v>3434.3495622210175</v>
      </c>
      <c r="F354" s="27">
        <v>5282.6704072748835</v>
      </c>
      <c r="G354" s="27">
        <v>7303.9121290333569</v>
      </c>
      <c r="H354" s="27">
        <v>9934.7153311256116</v>
      </c>
      <c r="I354" s="27">
        <v>14091.452667791018</v>
      </c>
      <c r="J354" s="27">
        <v>23381.239926542476</v>
      </c>
      <c r="K354" s="27">
        <v>45743.706975000823</v>
      </c>
      <c r="L354" s="27">
        <v>116951.91022261533</v>
      </c>
      <c r="M354" s="27">
        <v>230214.63735287986</v>
      </c>
    </row>
    <row r="355" spans="1:13" x14ac:dyDescent="0.75">
      <c r="A355" s="40">
        <v>353</v>
      </c>
      <c r="B355" s="27">
        <v>739.61723633472866</v>
      </c>
      <c r="C355" s="27">
        <v>1186.1613270351372</v>
      </c>
      <c r="D355" s="27">
        <v>2044.2844327850617</v>
      </c>
      <c r="E355" s="27">
        <v>3320.5840301361604</v>
      </c>
      <c r="F355" s="27">
        <v>5297.3203150636109</v>
      </c>
      <c r="G355" s="27">
        <v>7453.5962531504629</v>
      </c>
      <c r="H355" s="27">
        <v>10014.842886086</v>
      </c>
      <c r="I355" s="27">
        <v>14451.674473917883</v>
      </c>
      <c r="J355" s="27">
        <v>22490.169615352803</v>
      </c>
      <c r="K355" s="27">
        <v>45997.887061740737</v>
      </c>
      <c r="L355" s="27">
        <v>119862.99051775035</v>
      </c>
      <c r="M355" s="27">
        <v>232859.12814935294</v>
      </c>
    </row>
    <row r="356" spans="1:13" x14ac:dyDescent="0.75">
      <c r="A356" s="40">
        <v>354</v>
      </c>
      <c r="B356" s="27">
        <v>1131.4520451501885</v>
      </c>
      <c r="C356" s="27">
        <v>1575.3876150310243</v>
      </c>
      <c r="D356" s="27">
        <v>2662.2592052479304</v>
      </c>
      <c r="E356" s="27">
        <v>3975.7976890005666</v>
      </c>
      <c r="F356" s="27">
        <v>5773.8555060159706</v>
      </c>
      <c r="G356" s="27">
        <v>8042.014565387828</v>
      </c>
      <c r="H356" s="27">
        <v>11317.224192556459</v>
      </c>
      <c r="I356" s="27">
        <v>14981.617010020738</v>
      </c>
      <c r="J356" s="27">
        <v>24145.042179555545</v>
      </c>
      <c r="K356" s="27">
        <v>45300.263655459479</v>
      </c>
      <c r="L356" s="27">
        <v>110772.58517768155</v>
      </c>
      <c r="M356" s="27">
        <v>229677.4988411073</v>
      </c>
    </row>
    <row r="357" spans="1:13" x14ac:dyDescent="0.75">
      <c r="A357" s="40">
        <v>355</v>
      </c>
      <c r="B357" s="27">
        <v>691.16344166250201</v>
      </c>
      <c r="C357" s="27">
        <v>1431.094135637235</v>
      </c>
      <c r="D357" s="27">
        <v>2374.8419858228444</v>
      </c>
      <c r="E357" s="27">
        <v>3564.208646995874</v>
      </c>
      <c r="F357" s="27">
        <v>5851.872356912907</v>
      </c>
      <c r="G357" s="27">
        <v>7974.3249875705515</v>
      </c>
      <c r="H357" s="27">
        <v>10317.864128951347</v>
      </c>
      <c r="I357" s="27">
        <v>15150.548002141324</v>
      </c>
      <c r="J357" s="27">
        <v>23351.640786789794</v>
      </c>
      <c r="K357" s="27">
        <v>49805.001520830498</v>
      </c>
      <c r="L357" s="27">
        <v>110818.71171233212</v>
      </c>
      <c r="M357" s="27">
        <v>231331.271705647</v>
      </c>
    </row>
    <row r="358" spans="1:13" x14ac:dyDescent="0.75">
      <c r="A358" s="40">
        <v>356</v>
      </c>
      <c r="B358" s="27">
        <v>1008.3750165296806</v>
      </c>
      <c r="C358" s="27">
        <v>1695.1675252484274</v>
      </c>
      <c r="D358" s="27">
        <v>2498.874678228327</v>
      </c>
      <c r="E358" s="27">
        <v>3785.4788076122641</v>
      </c>
      <c r="F358" s="27">
        <v>5402.2165167202475</v>
      </c>
      <c r="G358" s="27">
        <v>8325.1158532220579</v>
      </c>
      <c r="H358" s="27">
        <v>10995.142880404324</v>
      </c>
      <c r="I358" s="27">
        <v>14832.998700312062</v>
      </c>
      <c r="J358" s="27">
        <v>24278.797269042072</v>
      </c>
      <c r="K358" s="27">
        <v>46717.917186938401</v>
      </c>
      <c r="L358" s="27">
        <v>111886.68819683426</v>
      </c>
      <c r="M358" s="27">
        <v>231426.77263109211</v>
      </c>
    </row>
    <row r="359" spans="1:13" x14ac:dyDescent="0.75">
      <c r="A359" s="40">
        <v>357</v>
      </c>
      <c r="B359" s="27">
        <v>795.00896534697677</v>
      </c>
      <c r="C359" s="27">
        <v>1208.88964452644</v>
      </c>
      <c r="D359" s="27">
        <v>2326.6825670133549</v>
      </c>
      <c r="E359" s="27">
        <v>3559.3771823582501</v>
      </c>
      <c r="F359" s="27">
        <v>5188.9622936441738</v>
      </c>
      <c r="G359" s="27">
        <v>7165.7738670599647</v>
      </c>
      <c r="H359" s="27">
        <v>9730.186977948877</v>
      </c>
      <c r="I359" s="27">
        <v>13924.913202626485</v>
      </c>
      <c r="J359" s="27">
        <v>23550.103872576554</v>
      </c>
      <c r="K359" s="27">
        <v>45898.998750395607</v>
      </c>
      <c r="L359" s="27">
        <v>116932.68538519758</v>
      </c>
      <c r="M359" s="27">
        <v>230281.58270869427</v>
      </c>
    </row>
    <row r="360" spans="1:13" x14ac:dyDescent="0.75">
      <c r="A360" s="40">
        <v>358</v>
      </c>
      <c r="B360" s="27">
        <v>1195.011220432425</v>
      </c>
      <c r="C360" s="27">
        <v>1707.7659756640205</v>
      </c>
      <c r="D360" s="27">
        <v>2698.6300354519917</v>
      </c>
      <c r="E360" s="27">
        <v>4171.2112265996693</v>
      </c>
      <c r="F360" s="27">
        <v>5958.8912842609425</v>
      </c>
      <c r="G360" s="27">
        <v>8869.0419301030925</v>
      </c>
      <c r="H360" s="27">
        <v>11089.800535028597</v>
      </c>
      <c r="I360" s="27">
        <v>15422.910082135306</v>
      </c>
      <c r="J360" s="27">
        <v>24636.942621608207</v>
      </c>
      <c r="K360" s="27">
        <v>47442.977027047484</v>
      </c>
      <c r="L360" s="27">
        <v>108848.05277047789</v>
      </c>
      <c r="M360" s="27">
        <v>232041.23470880964</v>
      </c>
    </row>
    <row r="361" spans="1:13" x14ac:dyDescent="0.75">
      <c r="A361" s="40">
        <v>359</v>
      </c>
      <c r="B361" s="27">
        <v>696.21408979484113</v>
      </c>
      <c r="C361" s="27">
        <v>1321.0491510542779</v>
      </c>
      <c r="D361" s="27">
        <v>1937.9391548755666</v>
      </c>
      <c r="E361" s="27">
        <v>3157.2491276364162</v>
      </c>
      <c r="F361" s="27">
        <v>4873.4081515684375</v>
      </c>
      <c r="G361" s="27">
        <v>6797.5000345462176</v>
      </c>
      <c r="H361" s="27">
        <v>9627.6627566589741</v>
      </c>
      <c r="I361" s="27">
        <v>14241.899964313488</v>
      </c>
      <c r="J361" s="27">
        <v>22577.832444543077</v>
      </c>
      <c r="K361" s="27">
        <v>48883.820458873641</v>
      </c>
      <c r="L361" s="27">
        <v>109998.25133575493</v>
      </c>
      <c r="M361" s="27">
        <v>224112.82666961988</v>
      </c>
    </row>
    <row r="362" spans="1:13" x14ac:dyDescent="0.75">
      <c r="A362" s="40">
        <v>360</v>
      </c>
      <c r="B362" s="27">
        <v>719.46488492385834</v>
      </c>
      <c r="C362" s="27">
        <v>1273.9320975338342</v>
      </c>
      <c r="D362" s="27">
        <v>2224.0132768826879</v>
      </c>
      <c r="E362" s="27">
        <v>3090.6914194140118</v>
      </c>
      <c r="F362" s="27">
        <v>5120.0219284951454</v>
      </c>
      <c r="G362" s="27">
        <v>7295.6989104298991</v>
      </c>
      <c r="H362" s="27">
        <v>10403.150871791731</v>
      </c>
      <c r="I362" s="27">
        <v>14707.411639885104</v>
      </c>
      <c r="J362" s="27">
        <v>22389.014558907729</v>
      </c>
      <c r="K362" s="27">
        <v>47147.013678566873</v>
      </c>
      <c r="L362" s="27">
        <v>108931.10005975235</v>
      </c>
      <c r="M362" s="27">
        <v>223301.51332658323</v>
      </c>
    </row>
    <row r="363" spans="1:13" x14ac:dyDescent="0.75">
      <c r="A363" s="40">
        <v>361</v>
      </c>
      <c r="B363" s="27">
        <v>738.42253503990651</v>
      </c>
      <c r="C363" s="27">
        <v>1326.2541781339824</v>
      </c>
      <c r="D363" s="27">
        <v>2101.4700767697213</v>
      </c>
      <c r="E363" s="27">
        <v>3341.1939503989124</v>
      </c>
      <c r="F363" s="27">
        <v>4885.9088521023223</v>
      </c>
      <c r="G363" s="27">
        <v>6924.2873850036121</v>
      </c>
      <c r="H363" s="27">
        <v>9546.0843388778303</v>
      </c>
      <c r="I363" s="27">
        <v>14064.389561813296</v>
      </c>
      <c r="J363" s="27">
        <v>21846.350490959478</v>
      </c>
      <c r="K363" s="27">
        <v>48715.301452961838</v>
      </c>
      <c r="L363" s="27">
        <v>117681.25219742817</v>
      </c>
      <c r="M363" s="27">
        <v>231170.91501948907</v>
      </c>
    </row>
    <row r="364" spans="1:13" x14ac:dyDescent="0.75">
      <c r="A364" s="40">
        <v>362</v>
      </c>
      <c r="B364" s="27">
        <v>777.27189274480043</v>
      </c>
      <c r="C364" s="27">
        <v>1280.4469974815584</v>
      </c>
      <c r="D364" s="27">
        <v>2545.3541350000014</v>
      </c>
      <c r="E364" s="27">
        <v>3584.1904304851632</v>
      </c>
      <c r="F364" s="27">
        <v>5467.4086530757631</v>
      </c>
      <c r="G364" s="27">
        <v>8485.3145152639481</v>
      </c>
      <c r="H364" s="27">
        <v>10880.517755839552</v>
      </c>
      <c r="I364" s="27">
        <v>14593.453512410837</v>
      </c>
      <c r="J364" s="27">
        <v>23656.786609389601</v>
      </c>
      <c r="K364" s="27">
        <v>48249.865540778628</v>
      </c>
      <c r="L364" s="27">
        <v>110880.41867407449</v>
      </c>
      <c r="M364" s="27">
        <v>230401.02871654433</v>
      </c>
    </row>
    <row r="365" spans="1:13" x14ac:dyDescent="0.75">
      <c r="A365" s="40">
        <v>363</v>
      </c>
      <c r="B365" s="27">
        <v>1144.7481297085178</v>
      </c>
      <c r="C365" s="27">
        <v>1618.2378825522028</v>
      </c>
      <c r="D365" s="27">
        <v>2905.4303688026412</v>
      </c>
      <c r="E365" s="27">
        <v>3821.7544363307534</v>
      </c>
      <c r="F365" s="27">
        <v>5940.0858484896598</v>
      </c>
      <c r="G365" s="27">
        <v>7779.8075260280748</v>
      </c>
      <c r="H365" s="27">
        <v>10137.857415036575</v>
      </c>
      <c r="I365" s="27">
        <v>13940.108134138718</v>
      </c>
      <c r="J365" s="27">
        <v>23627.393634951819</v>
      </c>
      <c r="K365" s="27">
        <v>45908.465823182138</v>
      </c>
      <c r="L365" s="27">
        <v>120179.4946551168</v>
      </c>
      <c r="M365" s="27">
        <v>237003.38385433791</v>
      </c>
    </row>
    <row r="366" spans="1:13" x14ac:dyDescent="0.75">
      <c r="A366" s="40">
        <v>364</v>
      </c>
      <c r="B366" s="27">
        <v>213.80980155394354</v>
      </c>
      <c r="C366" s="27">
        <v>442.37518097214343</v>
      </c>
      <c r="D366" s="27">
        <v>1025.2250045436231</v>
      </c>
      <c r="E366" s="27">
        <v>1956.409054079777</v>
      </c>
      <c r="F366" s="27">
        <v>3811.7811690292729</v>
      </c>
      <c r="G366" s="27">
        <v>5907.7646856555657</v>
      </c>
      <c r="H366" s="27">
        <v>8267.6224426048575</v>
      </c>
      <c r="I366" s="27">
        <v>12442.615110492407</v>
      </c>
      <c r="J366" s="27">
        <v>21533.923488716682</v>
      </c>
      <c r="K366" s="27">
        <v>43763.288752588327</v>
      </c>
      <c r="L366" s="27">
        <v>115473.92725051509</v>
      </c>
      <c r="M366" s="27">
        <v>214838.74194075167</v>
      </c>
    </row>
    <row r="367" spans="1:13" x14ac:dyDescent="0.75">
      <c r="A367" s="40">
        <v>365</v>
      </c>
      <c r="B367" s="27">
        <v>1062.7495992505574</v>
      </c>
      <c r="C367" s="27">
        <v>1709.362888460746</v>
      </c>
      <c r="D367" s="27">
        <v>2539.2205319380591</v>
      </c>
      <c r="E367" s="27">
        <v>3650.7206021882303</v>
      </c>
      <c r="F367" s="27">
        <v>5730.5649455891398</v>
      </c>
      <c r="G367" s="27">
        <v>8240.0161699396558</v>
      </c>
      <c r="H367" s="27">
        <v>10480.633085139372</v>
      </c>
      <c r="I367" s="27">
        <v>14725.205214044065</v>
      </c>
      <c r="J367" s="27">
        <v>22480.07675274447</v>
      </c>
      <c r="K367" s="27">
        <v>46316.960424029676</v>
      </c>
      <c r="L367" s="27">
        <v>112549.64626312981</v>
      </c>
      <c r="M367" s="27">
        <v>229485.15647645376</v>
      </c>
    </row>
    <row r="368" spans="1:13" x14ac:dyDescent="0.75">
      <c r="A368" s="40">
        <v>366</v>
      </c>
      <c r="B368" s="27">
        <v>994.45460544717207</v>
      </c>
      <c r="C368" s="27">
        <v>1557.7931272264104</v>
      </c>
      <c r="D368" s="27">
        <v>2519.3594676531502</v>
      </c>
      <c r="E368" s="27">
        <v>3869.6493532316526</v>
      </c>
      <c r="F368" s="27">
        <v>5633.9837217287131</v>
      </c>
      <c r="G368" s="27">
        <v>8436.3203580958652</v>
      </c>
      <c r="H368" s="27">
        <v>12021.523686225672</v>
      </c>
      <c r="I368" s="27">
        <v>15205.096663883029</v>
      </c>
      <c r="J368" s="27">
        <v>24797.398160528392</v>
      </c>
      <c r="K368" s="27">
        <v>47362.447053408803</v>
      </c>
      <c r="L368" s="27">
        <v>107156.19354186085</v>
      </c>
      <c r="M368" s="27">
        <v>229554.21973928972</v>
      </c>
    </row>
    <row r="369" spans="1:13" x14ac:dyDescent="0.75">
      <c r="A369" s="40">
        <v>367</v>
      </c>
      <c r="B369" s="27">
        <v>958.80673980619758</v>
      </c>
      <c r="C369" s="27">
        <v>1426.9987323257956</v>
      </c>
      <c r="D369" s="27">
        <v>2458.2443343874038</v>
      </c>
      <c r="E369" s="27">
        <v>3181.6607574684749</v>
      </c>
      <c r="F369" s="27">
        <v>5195.2423571988475</v>
      </c>
      <c r="G369" s="27">
        <v>7494.2807196757349</v>
      </c>
      <c r="H369" s="27">
        <v>10257.832482285885</v>
      </c>
      <c r="I369" s="27">
        <v>14382.64660368934</v>
      </c>
      <c r="J369" s="27">
        <v>22622.303752621781</v>
      </c>
      <c r="K369" s="27">
        <v>44844.687626530853</v>
      </c>
      <c r="L369" s="27">
        <v>108625.9887975266</v>
      </c>
      <c r="M369" s="27">
        <v>221448.69290351693</v>
      </c>
    </row>
    <row r="370" spans="1:13" x14ac:dyDescent="0.75">
      <c r="A370" s="40">
        <v>368</v>
      </c>
      <c r="B370" s="27">
        <v>1089.0046793191868</v>
      </c>
      <c r="C370" s="27">
        <v>1611.7481718428171</v>
      </c>
      <c r="D370" s="27">
        <v>2264.9348807676433</v>
      </c>
      <c r="E370" s="27">
        <v>3361.2110429465683</v>
      </c>
      <c r="F370" s="27">
        <v>5369.7931918911054</v>
      </c>
      <c r="G370" s="27">
        <v>8016.6631253567757</v>
      </c>
      <c r="H370" s="27">
        <v>10446.710598468781</v>
      </c>
      <c r="I370" s="27">
        <v>15131.965105935145</v>
      </c>
      <c r="J370" s="27">
        <v>23693.315384755231</v>
      </c>
      <c r="K370" s="27">
        <v>46570.176237245469</v>
      </c>
      <c r="L370" s="27">
        <v>112893.28727986573</v>
      </c>
      <c r="M370" s="27">
        <v>230448.80969839444</v>
      </c>
    </row>
    <row r="371" spans="1:13" x14ac:dyDescent="0.75">
      <c r="A371" s="40">
        <v>369</v>
      </c>
      <c r="B371" s="27">
        <v>863.12784784988617</v>
      </c>
      <c r="C371" s="27">
        <v>1093.9301236917818</v>
      </c>
      <c r="D371" s="27">
        <v>2020.5032248067873</v>
      </c>
      <c r="E371" s="27">
        <v>3260.7749178642262</v>
      </c>
      <c r="F371" s="27">
        <v>5181.855346868746</v>
      </c>
      <c r="G371" s="27">
        <v>7416.7940666525101</v>
      </c>
      <c r="H371" s="27">
        <v>10305.154028995399</v>
      </c>
      <c r="I371" s="27">
        <v>13574.848461426474</v>
      </c>
      <c r="J371" s="27">
        <v>22632.375144352554</v>
      </c>
      <c r="K371" s="27">
        <v>46268.74648456517</v>
      </c>
      <c r="L371" s="27">
        <v>114452.97463679533</v>
      </c>
      <c r="M371" s="27">
        <v>227071.08428386887</v>
      </c>
    </row>
    <row r="372" spans="1:13" x14ac:dyDescent="0.75">
      <c r="A372" s="40">
        <v>370</v>
      </c>
      <c r="B372" s="27">
        <v>417.35410134217818</v>
      </c>
      <c r="C372" s="27">
        <v>675.17407158509013</v>
      </c>
      <c r="D372" s="27">
        <v>1336.2831919633609</v>
      </c>
      <c r="E372" s="27">
        <v>2354.9008459218749</v>
      </c>
      <c r="F372" s="27">
        <v>4008.8938607888122</v>
      </c>
      <c r="G372" s="27">
        <v>5892.7853148341819</v>
      </c>
      <c r="H372" s="27">
        <v>8846.9174703003227</v>
      </c>
      <c r="I372" s="27">
        <v>13560.582754857925</v>
      </c>
      <c r="J372" s="27">
        <v>22527.05808021914</v>
      </c>
      <c r="K372" s="27">
        <v>46339.872599303737</v>
      </c>
      <c r="L372" s="27">
        <v>120845.06392499612</v>
      </c>
      <c r="M372" s="27">
        <v>226804.88621611276</v>
      </c>
    </row>
    <row r="373" spans="1:13" x14ac:dyDescent="0.75">
      <c r="A373" s="40">
        <v>371</v>
      </c>
      <c r="B373" s="27">
        <v>1453.8393674462422</v>
      </c>
      <c r="C373" s="27">
        <v>2123.629289131306</v>
      </c>
      <c r="D373" s="27">
        <v>3238.4082154001662</v>
      </c>
      <c r="E373" s="27">
        <v>4497.2876019164542</v>
      </c>
      <c r="F373" s="27">
        <v>6258.8758647897921</v>
      </c>
      <c r="G373" s="27">
        <v>8365.6388993450673</v>
      </c>
      <c r="H373" s="27">
        <v>11118.176015943172</v>
      </c>
      <c r="I373" s="27">
        <v>15189.917756316689</v>
      </c>
      <c r="J373" s="27">
        <v>24532.820591794647</v>
      </c>
      <c r="K373" s="27">
        <v>49294.622132636316</v>
      </c>
      <c r="L373" s="27">
        <v>109031.19781537872</v>
      </c>
      <c r="M373" s="27">
        <v>235104.41355009857</v>
      </c>
    </row>
    <row r="374" spans="1:13" x14ac:dyDescent="0.75">
      <c r="A374" s="40">
        <v>372</v>
      </c>
      <c r="B374" s="27">
        <v>279.09757935727248</v>
      </c>
      <c r="C374" s="27">
        <v>578.68933695023588</v>
      </c>
      <c r="D374" s="27">
        <v>1242.5877620074752</v>
      </c>
      <c r="E374" s="27">
        <v>2230.0086401538429</v>
      </c>
      <c r="F374" s="27">
        <v>4018.1016560812132</v>
      </c>
      <c r="G374" s="27">
        <v>6178.530223387148</v>
      </c>
      <c r="H374" s="27">
        <v>8781.0375200925919</v>
      </c>
      <c r="I374" s="27">
        <v>12460.808132706516</v>
      </c>
      <c r="J374" s="27">
        <v>21269.133228323699</v>
      </c>
      <c r="K374" s="27">
        <v>48095.42291266541</v>
      </c>
      <c r="L374" s="27">
        <v>106209.60207288869</v>
      </c>
      <c r="M374" s="27">
        <v>211343.01906461408</v>
      </c>
    </row>
    <row r="375" spans="1:13" x14ac:dyDescent="0.75">
      <c r="A375" s="40">
        <v>373</v>
      </c>
      <c r="B375" s="27">
        <v>261.74145015902468</v>
      </c>
      <c r="C375" s="27">
        <v>468.96896385920991</v>
      </c>
      <c r="D375" s="27">
        <v>1225.3558417778841</v>
      </c>
      <c r="E375" s="27">
        <v>2340.4378512205585</v>
      </c>
      <c r="F375" s="27">
        <v>4718.7983710824628</v>
      </c>
      <c r="G375" s="27">
        <v>6886.7016959297762</v>
      </c>
      <c r="H375" s="27">
        <v>9825.1056389702135</v>
      </c>
      <c r="I375" s="27">
        <v>13729.532751565581</v>
      </c>
      <c r="J375" s="27">
        <v>22852.455385917492</v>
      </c>
      <c r="K375" s="27">
        <v>45715.874106113071</v>
      </c>
      <c r="L375" s="27">
        <v>106118.85829014117</v>
      </c>
      <c r="M375" s="27">
        <v>214143.83034673645</v>
      </c>
    </row>
    <row r="376" spans="1:13" x14ac:dyDescent="0.75">
      <c r="A376" s="40">
        <v>374</v>
      </c>
      <c r="B376" s="27">
        <v>795.2189673040557</v>
      </c>
      <c r="C376" s="27">
        <v>1524.4404490139132</v>
      </c>
      <c r="D376" s="27">
        <v>2377.6972897592204</v>
      </c>
      <c r="E376" s="27">
        <v>3477.8445389860863</v>
      </c>
      <c r="F376" s="27">
        <v>5710.1040035248152</v>
      </c>
      <c r="G376" s="27">
        <v>7793.4908594569715</v>
      </c>
      <c r="H376" s="27">
        <v>10507.858900305204</v>
      </c>
      <c r="I376" s="27">
        <v>14352.501956333916</v>
      </c>
      <c r="J376" s="27">
        <v>23297.98151210419</v>
      </c>
      <c r="K376" s="27">
        <v>46101.994863949047</v>
      </c>
      <c r="L376" s="27">
        <v>108784.18979036751</v>
      </c>
      <c r="M376" s="27">
        <v>224723.32313110493</v>
      </c>
    </row>
    <row r="377" spans="1:13" x14ac:dyDescent="0.75">
      <c r="A377" s="40">
        <v>375</v>
      </c>
      <c r="B377" s="27">
        <v>1450.9982195525226</v>
      </c>
      <c r="C377" s="27">
        <v>2278.3770039929223</v>
      </c>
      <c r="D377" s="27">
        <v>3148.6742386890692</v>
      </c>
      <c r="E377" s="27">
        <v>4185.6850852397911</v>
      </c>
      <c r="F377" s="27">
        <v>6706.694574402849</v>
      </c>
      <c r="G377" s="27">
        <v>9133.3379423257429</v>
      </c>
      <c r="H377" s="27">
        <v>11396.160221445927</v>
      </c>
      <c r="I377" s="27">
        <v>15126.495435811376</v>
      </c>
      <c r="J377" s="27">
        <v>24562.893740598229</v>
      </c>
      <c r="K377" s="27">
        <v>48386.773816294663</v>
      </c>
      <c r="L377" s="27">
        <v>112408.16679069387</v>
      </c>
      <c r="M377" s="27">
        <v>238784.25706904696</v>
      </c>
    </row>
    <row r="378" spans="1:13" x14ac:dyDescent="0.75">
      <c r="A378" s="40">
        <v>376</v>
      </c>
      <c r="B378" s="27">
        <v>747.55527060956229</v>
      </c>
      <c r="C378" s="27">
        <v>1213.0689567735972</v>
      </c>
      <c r="D378" s="27">
        <v>2002.7281508020824</v>
      </c>
      <c r="E378" s="27">
        <v>3084.176866670372</v>
      </c>
      <c r="F378" s="27">
        <v>4952.4445059766294</v>
      </c>
      <c r="G378" s="27">
        <v>7436.548986265756</v>
      </c>
      <c r="H378" s="27">
        <v>9622.2247039335634</v>
      </c>
      <c r="I378" s="27">
        <v>13968.734095523061</v>
      </c>
      <c r="J378" s="27">
        <v>24191.022719543427</v>
      </c>
      <c r="K378" s="27">
        <v>48876.07796685354</v>
      </c>
      <c r="L378" s="27">
        <v>108823.82184684227</v>
      </c>
      <c r="M378" s="27">
        <v>224918.40406979388</v>
      </c>
    </row>
    <row r="379" spans="1:13" x14ac:dyDescent="0.75">
      <c r="A379" s="40">
        <v>377</v>
      </c>
      <c r="B379" s="27">
        <v>901.16112649688148</v>
      </c>
      <c r="C379" s="27">
        <v>1357.0901900267636</v>
      </c>
      <c r="D379" s="27">
        <v>2297.7452469795971</v>
      </c>
      <c r="E379" s="27">
        <v>3260.5476610725163</v>
      </c>
      <c r="F379" s="27">
        <v>4865.0324887855386</v>
      </c>
      <c r="G379" s="27">
        <v>7463.475438843132</v>
      </c>
      <c r="H379" s="27">
        <v>10244.840732889454</v>
      </c>
      <c r="I379" s="27">
        <v>14211.108718305157</v>
      </c>
      <c r="J379" s="27">
        <v>22377.134211808298</v>
      </c>
      <c r="K379" s="27">
        <v>45788.526701214738</v>
      </c>
      <c r="L379" s="27">
        <v>116966.12904407467</v>
      </c>
      <c r="M379" s="27">
        <v>229732.79156049673</v>
      </c>
    </row>
    <row r="380" spans="1:13" x14ac:dyDescent="0.75">
      <c r="A380" s="40">
        <v>378</v>
      </c>
      <c r="B380" s="27">
        <v>466.79287063855736</v>
      </c>
      <c r="C380" s="27">
        <v>989.75752391695278</v>
      </c>
      <c r="D380" s="27">
        <v>1835.6521477525821</v>
      </c>
      <c r="E380" s="27">
        <v>2934.5844730107638</v>
      </c>
      <c r="F380" s="27">
        <v>4740.0398844045703</v>
      </c>
      <c r="G380" s="27">
        <v>6639.8366068362084</v>
      </c>
      <c r="H380" s="27">
        <v>9057.677618513495</v>
      </c>
      <c r="I380" s="27">
        <v>13596.921094769583</v>
      </c>
      <c r="J380" s="27">
        <v>22858.169226120983</v>
      </c>
      <c r="K380" s="27">
        <v>48543.770922335942</v>
      </c>
      <c r="L380" s="27">
        <v>110514.08261250099</v>
      </c>
      <c r="M380" s="27">
        <v>222177.28498080064</v>
      </c>
    </row>
    <row r="381" spans="1:13" x14ac:dyDescent="0.75">
      <c r="A381" s="40">
        <v>379</v>
      </c>
      <c r="B381" s="27">
        <v>569.37069834915746</v>
      </c>
      <c r="C381" s="27">
        <v>1288.5345867147989</v>
      </c>
      <c r="D381" s="27">
        <v>2141.828731129106</v>
      </c>
      <c r="E381" s="27">
        <v>3016.4278165893629</v>
      </c>
      <c r="F381" s="27">
        <v>4841.2662450371863</v>
      </c>
      <c r="G381" s="27">
        <v>7856.696873785666</v>
      </c>
      <c r="H381" s="27">
        <v>10172.497429796756</v>
      </c>
      <c r="I381" s="27">
        <v>14153.352685470367</v>
      </c>
      <c r="J381" s="27">
        <v>23809.49412338878</v>
      </c>
      <c r="K381" s="27">
        <v>45689.282549273004</v>
      </c>
      <c r="L381" s="27">
        <v>104464.88121000238</v>
      </c>
      <c r="M381" s="27">
        <v>218003.63294953655</v>
      </c>
    </row>
    <row r="382" spans="1:13" x14ac:dyDescent="0.75">
      <c r="A382" s="40">
        <v>380</v>
      </c>
      <c r="B382" s="27">
        <v>823.39223097368085</v>
      </c>
      <c r="C382" s="27">
        <v>1139.9860628138413</v>
      </c>
      <c r="D382" s="27">
        <v>2019.3811971789983</v>
      </c>
      <c r="E382" s="27">
        <v>3118.6795804158319</v>
      </c>
      <c r="F382" s="27">
        <v>5047.4573300640914</v>
      </c>
      <c r="G382" s="27">
        <v>6866.6037107177835</v>
      </c>
      <c r="H382" s="27">
        <v>9731.7525608897122</v>
      </c>
      <c r="I382" s="27">
        <v>14194.830628861237</v>
      </c>
      <c r="J382" s="27">
        <v>23666.859696306958</v>
      </c>
      <c r="K382" s="27">
        <v>47175.834520066739</v>
      </c>
      <c r="L382" s="27">
        <v>118936.82037188299</v>
      </c>
      <c r="M382" s="27">
        <v>232721.59789017186</v>
      </c>
    </row>
    <row r="383" spans="1:13" x14ac:dyDescent="0.75">
      <c r="A383" s="40">
        <v>381</v>
      </c>
      <c r="B383" s="27">
        <v>1149.3438135619217</v>
      </c>
      <c r="C383" s="27">
        <v>1758.9148457436968</v>
      </c>
      <c r="D383" s="27">
        <v>2255.448251427224</v>
      </c>
      <c r="E383" s="27">
        <v>3460.8706060093537</v>
      </c>
      <c r="F383" s="27">
        <v>5189.612589162236</v>
      </c>
      <c r="G383" s="27">
        <v>7555.7269859223743</v>
      </c>
      <c r="H383" s="27">
        <v>10122.424049734604</v>
      </c>
      <c r="I383" s="27">
        <v>14211.143936345048</v>
      </c>
      <c r="J383" s="27">
        <v>23140.928263665934</v>
      </c>
      <c r="K383" s="27">
        <v>45449.979151351581</v>
      </c>
      <c r="L383" s="27">
        <v>114344.29461032474</v>
      </c>
      <c r="M383" s="27">
        <v>228638.68710324873</v>
      </c>
    </row>
    <row r="384" spans="1:13" x14ac:dyDescent="0.75">
      <c r="A384" s="40">
        <v>382</v>
      </c>
      <c r="B384" s="27">
        <v>688.41454496791994</v>
      </c>
      <c r="C384" s="27">
        <v>1156.6731116198935</v>
      </c>
      <c r="D384" s="27">
        <v>1837.1021211884508</v>
      </c>
      <c r="E384" s="27">
        <v>2747.6555138886615</v>
      </c>
      <c r="F384" s="27">
        <v>4753.5367323846731</v>
      </c>
      <c r="G384" s="27">
        <v>7296.3963881115487</v>
      </c>
      <c r="H384" s="27">
        <v>9925.2900311725389</v>
      </c>
      <c r="I384" s="27">
        <v>14126.386758990237</v>
      </c>
      <c r="J384" s="27">
        <v>23308.92784769283</v>
      </c>
      <c r="K384" s="27">
        <v>44614.936853509906</v>
      </c>
      <c r="L384" s="27">
        <v>118031.25626799607</v>
      </c>
      <c r="M384" s="27">
        <v>228486.57617152273</v>
      </c>
    </row>
    <row r="385" spans="1:13" x14ac:dyDescent="0.75">
      <c r="A385" s="40">
        <v>383</v>
      </c>
      <c r="B385" s="27">
        <v>475.740964498822</v>
      </c>
      <c r="C385" s="27">
        <v>1010.7327607301268</v>
      </c>
      <c r="D385" s="27">
        <v>2101.253708576769</v>
      </c>
      <c r="E385" s="27">
        <v>3536.0423778836412</v>
      </c>
      <c r="F385" s="27">
        <v>5692.3087864812696</v>
      </c>
      <c r="G385" s="27">
        <v>7955.3050098496315</v>
      </c>
      <c r="H385" s="27">
        <v>10501.879005784387</v>
      </c>
      <c r="I385" s="27">
        <v>14835.310645019141</v>
      </c>
      <c r="J385" s="27">
        <v>24666.895976550542</v>
      </c>
      <c r="K385" s="27">
        <v>46720.026687541962</v>
      </c>
      <c r="L385" s="27">
        <v>113766.4654741681</v>
      </c>
      <c r="M385" s="27">
        <v>231261.96139708441</v>
      </c>
    </row>
    <row r="386" spans="1:13" x14ac:dyDescent="0.75">
      <c r="A386" s="40">
        <v>384</v>
      </c>
      <c r="B386" s="27">
        <v>1154.9721379482944</v>
      </c>
      <c r="C386" s="27">
        <v>1541.7602197254164</v>
      </c>
      <c r="D386" s="27">
        <v>2419.1854312384239</v>
      </c>
      <c r="E386" s="27">
        <v>3531.1534748186968</v>
      </c>
      <c r="F386" s="27">
        <v>5440.4621080492798</v>
      </c>
      <c r="G386" s="27">
        <v>7560.0118169563357</v>
      </c>
      <c r="H386" s="27">
        <v>9805.5540594883932</v>
      </c>
      <c r="I386" s="27">
        <v>13793.37185453187</v>
      </c>
      <c r="J386" s="27">
        <v>23435.049428909697</v>
      </c>
      <c r="K386" s="27">
        <v>46732.977313199895</v>
      </c>
      <c r="L386" s="27">
        <v>117274.84547890865</v>
      </c>
      <c r="M386" s="27">
        <v>232689.34332377496</v>
      </c>
    </row>
    <row r="387" spans="1:13" x14ac:dyDescent="0.75">
      <c r="A387" s="40">
        <v>385</v>
      </c>
      <c r="B387" s="27">
        <v>588.17371251525765</v>
      </c>
      <c r="C387" s="27">
        <v>1107.4556137519103</v>
      </c>
      <c r="D387" s="27">
        <v>2082.6953113352502</v>
      </c>
      <c r="E387" s="27">
        <v>3147.4156578049442</v>
      </c>
      <c r="F387" s="27">
        <v>4869.269218728703</v>
      </c>
      <c r="G387" s="27">
        <v>7057.0435630581342</v>
      </c>
      <c r="H387" s="27">
        <v>9718.9054457618477</v>
      </c>
      <c r="I387" s="27">
        <v>14578.084483247992</v>
      </c>
      <c r="J387" s="27">
        <v>24304.776929669519</v>
      </c>
      <c r="K387" s="27">
        <v>46397.092062994023</v>
      </c>
      <c r="L387" s="27">
        <v>112485.72105151541</v>
      </c>
      <c r="M387" s="27">
        <v>226336.63305038301</v>
      </c>
    </row>
    <row r="388" spans="1:13" x14ac:dyDescent="0.75">
      <c r="A388" s="40">
        <v>386</v>
      </c>
      <c r="B388" s="27">
        <v>584.73298236251867</v>
      </c>
      <c r="C388" s="27">
        <v>1042.2983092059003</v>
      </c>
      <c r="D388" s="27">
        <v>1894.8025081164087</v>
      </c>
      <c r="E388" s="27">
        <v>3260.5809698802914</v>
      </c>
      <c r="F388" s="27">
        <v>4931.7798783484468</v>
      </c>
      <c r="G388" s="27">
        <v>7855.9590886099904</v>
      </c>
      <c r="H388" s="27">
        <v>10640.825705606243</v>
      </c>
      <c r="I388" s="27">
        <v>14363.674448481368</v>
      </c>
      <c r="J388" s="27">
        <v>22779.866108176473</v>
      </c>
      <c r="K388" s="27">
        <v>48235.328240692063</v>
      </c>
      <c r="L388" s="27">
        <v>113223.96872971856</v>
      </c>
      <c r="M388" s="27">
        <v>228813.81696919826</v>
      </c>
    </row>
    <row r="389" spans="1:13" x14ac:dyDescent="0.75">
      <c r="A389" s="40">
        <v>387</v>
      </c>
      <c r="B389" s="27">
        <v>792.3086650428304</v>
      </c>
      <c r="C389" s="27">
        <v>1279.8377311233635</v>
      </c>
      <c r="D389" s="27">
        <v>1910.900614618964</v>
      </c>
      <c r="E389" s="27">
        <v>3094.9586362927075</v>
      </c>
      <c r="F389" s="27">
        <v>5150.3299436977541</v>
      </c>
      <c r="G389" s="27">
        <v>7950.1334204776795</v>
      </c>
      <c r="H389" s="27">
        <v>10002.91368334397</v>
      </c>
      <c r="I389" s="27">
        <v>13146.027573498795</v>
      </c>
      <c r="J389" s="27">
        <v>22001.12813024479</v>
      </c>
      <c r="K389" s="27">
        <v>45877.549785966257</v>
      </c>
      <c r="L389" s="27">
        <v>117026.15936683083</v>
      </c>
      <c r="M389" s="27">
        <v>228232.24755113793</v>
      </c>
    </row>
    <row r="390" spans="1:13" x14ac:dyDescent="0.75">
      <c r="A390" s="40">
        <v>388</v>
      </c>
      <c r="B390" s="27">
        <v>1098.5860364457767</v>
      </c>
      <c r="C390" s="27">
        <v>1276.0516666909534</v>
      </c>
      <c r="D390" s="27">
        <v>2400.2853361421294</v>
      </c>
      <c r="E390" s="27">
        <v>3435.9127521014161</v>
      </c>
      <c r="F390" s="27">
        <v>5599.1335607949004</v>
      </c>
      <c r="G390" s="27">
        <v>8234.9339948065754</v>
      </c>
      <c r="H390" s="27">
        <v>10423.429757171354</v>
      </c>
      <c r="I390" s="27">
        <v>14945.40938669836</v>
      </c>
      <c r="J390" s="27">
        <v>23046.461362630245</v>
      </c>
      <c r="K390" s="27">
        <v>47994.863043212594</v>
      </c>
      <c r="L390" s="27">
        <v>121388.50437009343</v>
      </c>
      <c r="M390" s="27">
        <v>239843.57126678774</v>
      </c>
    </row>
    <row r="391" spans="1:13" x14ac:dyDescent="0.75">
      <c r="A391" s="40">
        <v>389</v>
      </c>
      <c r="B391" s="27">
        <v>1082.5095642910746</v>
      </c>
      <c r="C391" s="27">
        <v>1759.6865038815304</v>
      </c>
      <c r="D391" s="27">
        <v>2745.6180540943169</v>
      </c>
      <c r="E391" s="27">
        <v>3894.10897675452</v>
      </c>
      <c r="F391" s="27">
        <v>5707.3850932154455</v>
      </c>
      <c r="G391" s="27">
        <v>7885.5399438939348</v>
      </c>
      <c r="H391" s="27">
        <v>10797.516038323432</v>
      </c>
      <c r="I391" s="27">
        <v>14630.668993393119</v>
      </c>
      <c r="J391" s="27">
        <v>24080.025774092312</v>
      </c>
      <c r="K391" s="27">
        <v>46433.30949350947</v>
      </c>
      <c r="L391" s="27">
        <v>110626.5142718807</v>
      </c>
      <c r="M391" s="27">
        <v>229642.88270732987</v>
      </c>
    </row>
    <row r="392" spans="1:13" x14ac:dyDescent="0.75">
      <c r="A392" s="40">
        <v>390</v>
      </c>
      <c r="B392" s="27">
        <v>622.37789904333476</v>
      </c>
      <c r="C392" s="27">
        <v>1098.1074454666959</v>
      </c>
      <c r="D392" s="27">
        <v>2059.1316556075035</v>
      </c>
      <c r="E392" s="27">
        <v>3389.3943166865356</v>
      </c>
      <c r="F392" s="27">
        <v>5223.7996114999114</v>
      </c>
      <c r="G392" s="27">
        <v>7433.0563292518491</v>
      </c>
      <c r="H392" s="27">
        <v>10295.056980630732</v>
      </c>
      <c r="I392" s="27">
        <v>14992.358809339508</v>
      </c>
      <c r="J392" s="27">
        <v>24251.500051327865</v>
      </c>
      <c r="K392" s="27">
        <v>46653.693420135853</v>
      </c>
      <c r="L392" s="27">
        <v>113674.93987295264</v>
      </c>
      <c r="M392" s="27">
        <v>229693.41639194242</v>
      </c>
    </row>
    <row r="393" spans="1:13" x14ac:dyDescent="0.75">
      <c r="A393" s="40">
        <v>391</v>
      </c>
      <c r="B393" s="27">
        <v>757.12649310537381</v>
      </c>
      <c r="C393" s="27">
        <v>1333.0627686304651</v>
      </c>
      <c r="D393" s="27">
        <v>2288.2142822588357</v>
      </c>
      <c r="E393" s="27">
        <v>3135.8566611221468</v>
      </c>
      <c r="F393" s="27">
        <v>5309.4293482274225</v>
      </c>
      <c r="G393" s="27">
        <v>7400.7168453176273</v>
      </c>
      <c r="H393" s="27">
        <v>9836.2547968621948</v>
      </c>
      <c r="I393" s="27">
        <v>13732.0077962496</v>
      </c>
      <c r="J393" s="27">
        <v>23655.053499332804</v>
      </c>
      <c r="K393" s="27">
        <v>44753.510756802847</v>
      </c>
      <c r="L393" s="27">
        <v>113591.25404547455</v>
      </c>
      <c r="M393" s="27">
        <v>225792.48729338386</v>
      </c>
    </row>
    <row r="394" spans="1:13" x14ac:dyDescent="0.75">
      <c r="A394" s="40">
        <v>392</v>
      </c>
      <c r="B394" s="27">
        <v>1025.1898260221351</v>
      </c>
      <c r="C394" s="27">
        <v>1444.7488757328101</v>
      </c>
      <c r="D394" s="27">
        <v>2562.7110157399438</v>
      </c>
      <c r="E394" s="27">
        <v>3861.6827465573297</v>
      </c>
      <c r="F394" s="27">
        <v>5883.2194295977824</v>
      </c>
      <c r="G394" s="27">
        <v>8466.5433348396909</v>
      </c>
      <c r="H394" s="27">
        <v>10767.083420579176</v>
      </c>
      <c r="I394" s="27">
        <v>14938.366834231667</v>
      </c>
      <c r="J394" s="27">
        <v>23727.036547233278</v>
      </c>
      <c r="K394" s="27">
        <v>48451.347970500938</v>
      </c>
      <c r="L394" s="27">
        <v>122867.66900579025</v>
      </c>
      <c r="M394" s="27">
        <v>243995.59900682501</v>
      </c>
    </row>
    <row r="395" spans="1:13" x14ac:dyDescent="0.75">
      <c r="A395" s="40">
        <v>393</v>
      </c>
      <c r="B395" s="27">
        <v>717.97524000093108</v>
      </c>
      <c r="C395" s="27">
        <v>1250.7785829892237</v>
      </c>
      <c r="D395" s="27">
        <v>2333.6156379410095</v>
      </c>
      <c r="E395" s="27">
        <v>3240.6869875304837</v>
      </c>
      <c r="F395" s="27">
        <v>4818.8556754837919</v>
      </c>
      <c r="G395" s="27">
        <v>7009.858311438642</v>
      </c>
      <c r="H395" s="27">
        <v>9963.9249230521091</v>
      </c>
      <c r="I395" s="27">
        <v>13605.392305278248</v>
      </c>
      <c r="J395" s="27">
        <v>21345.128427014468</v>
      </c>
      <c r="K395" s="27">
        <v>43756.856164132172</v>
      </c>
      <c r="L395" s="27">
        <v>109015.89721423699</v>
      </c>
      <c r="M395" s="27">
        <v>217058.96946909808</v>
      </c>
    </row>
    <row r="396" spans="1:13" x14ac:dyDescent="0.75">
      <c r="A396" s="40">
        <v>394</v>
      </c>
      <c r="B396" s="27">
        <v>427.52435845164291</v>
      </c>
      <c r="C396" s="27">
        <v>1069.8831698884314</v>
      </c>
      <c r="D396" s="27">
        <v>1740.9026715014916</v>
      </c>
      <c r="E396" s="27">
        <v>2923.9851570569735</v>
      </c>
      <c r="F396" s="27">
        <v>4704.2740031620488</v>
      </c>
      <c r="G396" s="27">
        <v>6623.1748526598967</v>
      </c>
      <c r="H396" s="27">
        <v>9776.2283294503723</v>
      </c>
      <c r="I396" s="27">
        <v>13588.029121098501</v>
      </c>
      <c r="J396" s="27">
        <v>21998.952591971509</v>
      </c>
      <c r="K396" s="27">
        <v>49980.837909853144</v>
      </c>
      <c r="L396" s="27">
        <v>108040.00904006997</v>
      </c>
      <c r="M396" s="27">
        <v>220873.801205164</v>
      </c>
    </row>
    <row r="397" spans="1:13" x14ac:dyDescent="0.75">
      <c r="A397" s="40">
        <v>395</v>
      </c>
      <c r="B397" s="27">
        <v>1034.2893411097903</v>
      </c>
      <c r="C397" s="27">
        <v>1733.9469725645031</v>
      </c>
      <c r="D397" s="27">
        <v>2740.456197395557</v>
      </c>
      <c r="E397" s="27">
        <v>3802.0661571463716</v>
      </c>
      <c r="F397" s="27">
        <v>5692.6944128523755</v>
      </c>
      <c r="G397" s="27">
        <v>7597.9570353374293</v>
      </c>
      <c r="H397" s="27">
        <v>10375.044708930334</v>
      </c>
      <c r="I397" s="27">
        <v>14166.441681043987</v>
      </c>
      <c r="J397" s="27">
        <v>22483.512315449101</v>
      </c>
      <c r="K397" s="27">
        <v>44606.828696757148</v>
      </c>
      <c r="L397" s="27">
        <v>111526.96677108576</v>
      </c>
      <c r="M397" s="27">
        <v>225760.20428967237</v>
      </c>
    </row>
    <row r="398" spans="1:13" x14ac:dyDescent="0.75">
      <c r="A398" s="40">
        <v>396</v>
      </c>
      <c r="B398" s="27">
        <v>281.97541162550624</v>
      </c>
      <c r="C398" s="27">
        <v>711.83086863608332</v>
      </c>
      <c r="D398" s="27">
        <v>1603.0831067696563</v>
      </c>
      <c r="E398" s="27">
        <v>2829.9475065414299</v>
      </c>
      <c r="F398" s="27">
        <v>4998.6761045061576</v>
      </c>
      <c r="G398" s="27">
        <v>7154.6209409396688</v>
      </c>
      <c r="H398" s="27">
        <v>9934.2828825231409</v>
      </c>
      <c r="I398" s="27">
        <v>14025.322393704962</v>
      </c>
      <c r="J398" s="27">
        <v>22696.978505416599</v>
      </c>
      <c r="K398" s="27">
        <v>48562.423203332219</v>
      </c>
      <c r="L398" s="27">
        <v>116496.63390427578</v>
      </c>
      <c r="M398" s="27">
        <v>229295.77482827118</v>
      </c>
    </row>
    <row r="399" spans="1:13" x14ac:dyDescent="0.75">
      <c r="A399" s="40">
        <v>397</v>
      </c>
      <c r="B399" s="27">
        <v>920.0507395061868</v>
      </c>
      <c r="C399" s="27">
        <v>1409.395699126806</v>
      </c>
      <c r="D399" s="27">
        <v>2241.6930248795252</v>
      </c>
      <c r="E399" s="27">
        <v>3407.5920214756334</v>
      </c>
      <c r="F399" s="27">
        <v>5122.0671701524843</v>
      </c>
      <c r="G399" s="27">
        <v>6963.8798175678239</v>
      </c>
      <c r="H399" s="27">
        <v>9691.6498001011205</v>
      </c>
      <c r="I399" s="27">
        <v>13896.623896750243</v>
      </c>
      <c r="J399" s="27">
        <v>22003.284560038926</v>
      </c>
      <c r="K399" s="27">
        <v>45080.632995328284</v>
      </c>
      <c r="L399" s="27">
        <v>108850.23915772818</v>
      </c>
      <c r="M399" s="27">
        <v>219587.10888265521</v>
      </c>
    </row>
    <row r="400" spans="1:13" x14ac:dyDescent="0.75">
      <c r="A400" s="40">
        <v>398</v>
      </c>
      <c r="B400" s="27">
        <v>298.11236091544561</v>
      </c>
      <c r="C400" s="27">
        <v>800.99133124128275</v>
      </c>
      <c r="D400" s="27">
        <v>1412.361452753059</v>
      </c>
      <c r="E400" s="27">
        <v>2652.4634306880034</v>
      </c>
      <c r="F400" s="27">
        <v>4546.8159943763749</v>
      </c>
      <c r="G400" s="27">
        <v>6939.0525608174503</v>
      </c>
      <c r="H400" s="27">
        <v>9907.8376870997308</v>
      </c>
      <c r="I400" s="27">
        <v>13017.930370750051</v>
      </c>
      <c r="J400" s="27">
        <v>23115.763452530096</v>
      </c>
      <c r="K400" s="27">
        <v>44875.574036268896</v>
      </c>
      <c r="L400" s="27">
        <v>108874.5637565287</v>
      </c>
      <c r="M400" s="27">
        <v>216441.46643396909</v>
      </c>
    </row>
    <row r="401" spans="1:13" x14ac:dyDescent="0.75">
      <c r="A401" s="40">
        <v>399</v>
      </c>
      <c r="B401" s="27">
        <v>1119.6710700230615</v>
      </c>
      <c r="C401" s="27">
        <v>1653.4206163240015</v>
      </c>
      <c r="D401" s="27">
        <v>2724.4757988640777</v>
      </c>
      <c r="E401" s="27">
        <v>3867.3967545043561</v>
      </c>
      <c r="F401" s="27">
        <v>6002.3569854188827</v>
      </c>
      <c r="G401" s="27">
        <v>7976.5218405008782</v>
      </c>
      <c r="H401" s="27">
        <v>10207.072598196057</v>
      </c>
      <c r="I401" s="27">
        <v>15392.994515110622</v>
      </c>
      <c r="J401" s="27">
        <v>23576.125161647346</v>
      </c>
      <c r="K401" s="27">
        <v>49584.410232302122</v>
      </c>
      <c r="L401" s="27">
        <v>110276.16277149049</v>
      </c>
      <c r="M401" s="27">
        <v>232380.60834438191</v>
      </c>
    </row>
    <row r="402" spans="1:13" x14ac:dyDescent="0.75">
      <c r="A402" s="40">
        <v>400</v>
      </c>
      <c r="B402" s="27">
        <v>855.18391190182592</v>
      </c>
      <c r="C402" s="27">
        <v>1509.6503059128445</v>
      </c>
      <c r="D402" s="27">
        <v>2395.9708251517877</v>
      </c>
      <c r="E402" s="27">
        <v>3580.5740856076154</v>
      </c>
      <c r="F402" s="27">
        <v>5685.8417688548507</v>
      </c>
      <c r="G402" s="27">
        <v>7860.8584085292532</v>
      </c>
      <c r="H402" s="27">
        <v>10556.63977963147</v>
      </c>
      <c r="I402" s="27">
        <v>15104.613436102693</v>
      </c>
      <c r="J402" s="27">
        <v>22482.388365986524</v>
      </c>
      <c r="K402" s="27">
        <v>45462.234741677414</v>
      </c>
      <c r="L402" s="27">
        <v>102956.33843131835</v>
      </c>
      <c r="M402" s="27">
        <v>218450.29406067461</v>
      </c>
    </row>
    <row r="403" spans="1:13" x14ac:dyDescent="0.75">
      <c r="A403" s="40">
        <v>401</v>
      </c>
      <c r="B403" s="27">
        <v>818.92536519152054</v>
      </c>
      <c r="C403" s="27">
        <v>1111.2717946965131</v>
      </c>
      <c r="D403" s="27">
        <v>1954.039874492315</v>
      </c>
      <c r="E403" s="27">
        <v>3199.050770945687</v>
      </c>
      <c r="F403" s="27">
        <v>4893.0207123586006</v>
      </c>
      <c r="G403" s="27">
        <v>7959.3594784914749</v>
      </c>
      <c r="H403" s="27">
        <v>10754.280588520924</v>
      </c>
      <c r="I403" s="27">
        <v>15730.677702536923</v>
      </c>
      <c r="J403" s="27">
        <v>22605.64234080512</v>
      </c>
      <c r="K403" s="27">
        <v>48097.902465526655</v>
      </c>
      <c r="L403" s="27">
        <v>107604.65858321913</v>
      </c>
      <c r="M403" s="27">
        <v>224728.82967678487</v>
      </c>
    </row>
    <row r="404" spans="1:13" x14ac:dyDescent="0.75">
      <c r="A404" s="40">
        <v>402</v>
      </c>
      <c r="B404" s="27">
        <v>674.22266332154686</v>
      </c>
      <c r="C404" s="27">
        <v>1154.6372481409053</v>
      </c>
      <c r="D404" s="27">
        <v>2075.1242536410427</v>
      </c>
      <c r="E404" s="27">
        <v>2897.1606062135688</v>
      </c>
      <c r="F404" s="27">
        <v>4902.1263259006082</v>
      </c>
      <c r="G404" s="27">
        <v>7391.9814860598708</v>
      </c>
      <c r="H404" s="27">
        <v>10100.703633574085</v>
      </c>
      <c r="I404" s="27">
        <v>14440.838873857312</v>
      </c>
      <c r="J404" s="27">
        <v>24546.347979357466</v>
      </c>
      <c r="K404" s="27">
        <v>48608.835462021641</v>
      </c>
      <c r="L404" s="27">
        <v>118229.75459181151</v>
      </c>
      <c r="M404" s="27">
        <v>235021.73312389955</v>
      </c>
    </row>
    <row r="405" spans="1:13" x14ac:dyDescent="0.75">
      <c r="A405" s="40">
        <v>403</v>
      </c>
      <c r="B405" s="27">
        <v>700.660693575599</v>
      </c>
      <c r="C405" s="27">
        <v>1176.2844739067077</v>
      </c>
      <c r="D405" s="27">
        <v>2045.6286292731093</v>
      </c>
      <c r="E405" s="27">
        <v>3100.5217809410096</v>
      </c>
      <c r="F405" s="27">
        <v>4958.3548337324464</v>
      </c>
      <c r="G405" s="27">
        <v>7376.4899182266963</v>
      </c>
      <c r="H405" s="27">
        <v>9785.9485117275326</v>
      </c>
      <c r="I405" s="27">
        <v>13977.300413813427</v>
      </c>
      <c r="J405" s="27">
        <v>23192.142879554332</v>
      </c>
      <c r="K405" s="27">
        <v>44703.111651173152</v>
      </c>
      <c r="L405" s="27">
        <v>115682.45124198725</v>
      </c>
      <c r="M405" s="27">
        <v>226698.89502791126</v>
      </c>
    </row>
    <row r="406" spans="1:13" x14ac:dyDescent="0.75">
      <c r="A406" s="40">
        <v>404</v>
      </c>
      <c r="B406" s="27">
        <v>600.85176756700093</v>
      </c>
      <c r="C406" s="27">
        <v>1253.2549331749906</v>
      </c>
      <c r="D406" s="27">
        <v>1988.7837605016684</v>
      </c>
      <c r="E406" s="27">
        <v>3220.2143687001662</v>
      </c>
      <c r="F406" s="27">
        <v>5356.8421541297139</v>
      </c>
      <c r="G406" s="27">
        <v>7441.848127142599</v>
      </c>
      <c r="H406" s="27">
        <v>10190.459118006678</v>
      </c>
      <c r="I406" s="27">
        <v>14437.114318042062</v>
      </c>
      <c r="J406" s="27">
        <v>22896.176494837273</v>
      </c>
      <c r="K406" s="27">
        <v>47023.499292883251</v>
      </c>
      <c r="L406" s="27">
        <v>109293.50360815029</v>
      </c>
      <c r="M406" s="27">
        <v>223702.54794313569</v>
      </c>
    </row>
    <row r="407" spans="1:13" x14ac:dyDescent="0.75">
      <c r="A407" s="40">
        <v>405</v>
      </c>
      <c r="B407" s="27">
        <v>921.4769535054802</v>
      </c>
      <c r="C407" s="27">
        <v>1603.7781657098094</v>
      </c>
      <c r="D407" s="27">
        <v>2599.1478725043708</v>
      </c>
      <c r="E407" s="27">
        <v>3853.3030495762214</v>
      </c>
      <c r="F407" s="27">
        <v>5676.9205378628249</v>
      </c>
      <c r="G407" s="27">
        <v>8139.6178039910737</v>
      </c>
      <c r="H407" s="27">
        <v>10790.683119584311</v>
      </c>
      <c r="I407" s="27">
        <v>14925.188531708278</v>
      </c>
      <c r="J407" s="27">
        <v>24208.44787240334</v>
      </c>
      <c r="K407" s="27">
        <v>46428.893731998745</v>
      </c>
      <c r="L407" s="27">
        <v>117597.61046163732</v>
      </c>
      <c r="M407" s="27">
        <v>236745.06810048176</v>
      </c>
    </row>
    <row r="408" spans="1:13" x14ac:dyDescent="0.75">
      <c r="A408" s="40">
        <v>406</v>
      </c>
      <c r="B408" s="27">
        <v>1004.2648597234656</v>
      </c>
      <c r="C408" s="27">
        <v>1550.1617722336377</v>
      </c>
      <c r="D408" s="27">
        <v>2205.4771145096456</v>
      </c>
      <c r="E408" s="27">
        <v>3228.3733458865318</v>
      </c>
      <c r="F408" s="27">
        <v>5447.3437185438816</v>
      </c>
      <c r="G408" s="27">
        <v>8025.0154983467073</v>
      </c>
      <c r="H408" s="27">
        <v>10904.598845169239</v>
      </c>
      <c r="I408" s="27">
        <v>14631.421165412205</v>
      </c>
      <c r="J408" s="27">
        <v>22866.069239920675</v>
      </c>
      <c r="K408" s="27">
        <v>46529.890066825465</v>
      </c>
      <c r="L408" s="27">
        <v>113235.53617411078</v>
      </c>
      <c r="M408" s="27">
        <v>229628.15180068224</v>
      </c>
    </row>
    <row r="409" spans="1:13" x14ac:dyDescent="0.75">
      <c r="A409" s="40">
        <v>407</v>
      </c>
      <c r="B409" s="27">
        <v>680.26558596243558</v>
      </c>
      <c r="C409" s="27">
        <v>1271.7156950512581</v>
      </c>
      <c r="D409" s="27">
        <v>2110.7529049541045</v>
      </c>
      <c r="E409" s="27">
        <v>3432.2184256920009</v>
      </c>
      <c r="F409" s="27">
        <v>5467.6690862261166</v>
      </c>
      <c r="G409" s="27">
        <v>7035.716766381709</v>
      </c>
      <c r="H409" s="27">
        <v>10282.36276988186</v>
      </c>
      <c r="I409" s="27">
        <v>13729.166342594341</v>
      </c>
      <c r="J409" s="27">
        <v>23228.401072641092</v>
      </c>
      <c r="K409" s="27">
        <v>47248.021862426191</v>
      </c>
      <c r="L409" s="27">
        <v>107761.41444467661</v>
      </c>
      <c r="M409" s="27">
        <v>222247.70495648772</v>
      </c>
    </row>
    <row r="410" spans="1:13" x14ac:dyDescent="0.75">
      <c r="A410" s="40">
        <v>408</v>
      </c>
      <c r="B410" s="27">
        <v>445.89642457726586</v>
      </c>
      <c r="C410" s="27">
        <v>1222.4716123264516</v>
      </c>
      <c r="D410" s="27">
        <v>2123.692422732056</v>
      </c>
      <c r="E410" s="27">
        <v>3514.5287729453557</v>
      </c>
      <c r="F410" s="27">
        <v>5364.1543730160047</v>
      </c>
      <c r="G410" s="27">
        <v>7706.7963465629437</v>
      </c>
      <c r="H410" s="27">
        <v>10459.34653434364</v>
      </c>
      <c r="I410" s="27">
        <v>14803.649691986138</v>
      </c>
      <c r="J410" s="27">
        <v>23741.569473279174</v>
      </c>
      <c r="K410" s="27">
        <v>44845.836322271905</v>
      </c>
      <c r="L410" s="27">
        <v>106741.78047163907</v>
      </c>
      <c r="M410" s="27">
        <v>220969.72244568</v>
      </c>
    </row>
    <row r="411" spans="1:13" x14ac:dyDescent="0.75">
      <c r="A411" s="40">
        <v>409</v>
      </c>
      <c r="B411" s="27">
        <v>526.21651924744947</v>
      </c>
      <c r="C411" s="27">
        <v>713.12234671022452</v>
      </c>
      <c r="D411" s="27">
        <v>1592.027658453997</v>
      </c>
      <c r="E411" s="27">
        <v>2321.0570709865424</v>
      </c>
      <c r="F411" s="27">
        <v>4100.1617218540923</v>
      </c>
      <c r="G411" s="27">
        <v>6568.8781409450748</v>
      </c>
      <c r="H411" s="27">
        <v>9855.0371101312921</v>
      </c>
      <c r="I411" s="27">
        <v>13292.458471055099</v>
      </c>
      <c r="J411" s="27">
        <v>21108.048513069094</v>
      </c>
      <c r="K411" s="27">
        <v>45373.539572260008</v>
      </c>
      <c r="L411" s="27">
        <v>100857.30895875263</v>
      </c>
      <c r="M411" s="27">
        <v>206307.85608346551</v>
      </c>
    </row>
    <row r="412" spans="1:13" x14ac:dyDescent="0.75">
      <c r="A412" s="40">
        <v>410</v>
      </c>
      <c r="B412" s="27">
        <v>1125.0933071878389</v>
      </c>
      <c r="C412" s="27">
        <v>1788.5328901669127</v>
      </c>
      <c r="D412" s="27">
        <v>2531.8618793489586</v>
      </c>
      <c r="E412" s="27">
        <v>4101.367771398669</v>
      </c>
      <c r="F412" s="27">
        <v>5888.5520443069981</v>
      </c>
      <c r="G412" s="27">
        <v>8262.4831765629642</v>
      </c>
      <c r="H412" s="27">
        <v>11432.886558540282</v>
      </c>
      <c r="I412" s="27">
        <v>15776.252502625226</v>
      </c>
      <c r="J412" s="27">
        <v>25256.792683475476</v>
      </c>
      <c r="K412" s="27">
        <v>50262.568739109061</v>
      </c>
      <c r="L412" s="27">
        <v>112551.87929302687</v>
      </c>
      <c r="M412" s="27">
        <v>238978.27084574924</v>
      </c>
    </row>
    <row r="413" spans="1:13" x14ac:dyDescent="0.75">
      <c r="A413" s="40">
        <v>411</v>
      </c>
      <c r="B413" s="27">
        <v>1033.7526412017905</v>
      </c>
      <c r="C413" s="27">
        <v>1482.0448522929364</v>
      </c>
      <c r="D413" s="27">
        <v>2219.6168593597831</v>
      </c>
      <c r="E413" s="27">
        <v>3676.2697921185754</v>
      </c>
      <c r="F413" s="27">
        <v>6268.2407284388901</v>
      </c>
      <c r="G413" s="27">
        <v>8719.2239831147017</v>
      </c>
      <c r="H413" s="27">
        <v>11267.707090757642</v>
      </c>
      <c r="I413" s="27">
        <v>14704.2665956485</v>
      </c>
      <c r="J413" s="27">
        <v>24748.518375229862</v>
      </c>
      <c r="K413" s="27">
        <v>46939.965762346459</v>
      </c>
      <c r="L413" s="27">
        <v>104060.04274246897</v>
      </c>
      <c r="M413" s="27">
        <v>225119.64942297811</v>
      </c>
    </row>
    <row r="414" spans="1:13" x14ac:dyDescent="0.75">
      <c r="A414" s="40">
        <v>412</v>
      </c>
      <c r="B414" s="27">
        <v>780.02203787883627</v>
      </c>
      <c r="C414" s="27">
        <v>1305.676121960918</v>
      </c>
      <c r="D414" s="27">
        <v>2321.0233271882607</v>
      </c>
      <c r="E414" s="27">
        <v>3555.7114563963987</v>
      </c>
      <c r="F414" s="27">
        <v>5815.0044284332253</v>
      </c>
      <c r="G414" s="27">
        <v>7817.9478312060819</v>
      </c>
      <c r="H414" s="27">
        <v>10258.874384652328</v>
      </c>
      <c r="I414" s="27">
        <v>14605.417351591648</v>
      </c>
      <c r="J414" s="27">
        <v>22669.851742855477</v>
      </c>
      <c r="K414" s="27">
        <v>47341.842853372305</v>
      </c>
      <c r="L414" s="27">
        <v>115837.18953645886</v>
      </c>
      <c r="M414" s="27">
        <v>232308.56107199434</v>
      </c>
    </row>
    <row r="415" spans="1:13" x14ac:dyDescent="0.75">
      <c r="A415" s="40">
        <v>413</v>
      </c>
      <c r="B415" s="27">
        <v>945.57749454760051</v>
      </c>
      <c r="C415" s="27">
        <v>1606.1640240029083</v>
      </c>
      <c r="D415" s="27">
        <v>2472.0329969250452</v>
      </c>
      <c r="E415" s="27">
        <v>3635.8216619365121</v>
      </c>
      <c r="F415" s="27">
        <v>4795.1314785737195</v>
      </c>
      <c r="G415" s="27">
        <v>7552.8380841438484</v>
      </c>
      <c r="H415" s="27">
        <v>10569.764836831164</v>
      </c>
      <c r="I415" s="27">
        <v>15025.445615610748</v>
      </c>
      <c r="J415" s="27">
        <v>22176.09372262322</v>
      </c>
      <c r="K415" s="27">
        <v>46916.252032250777</v>
      </c>
      <c r="L415" s="27">
        <v>116917.41418851841</v>
      </c>
      <c r="M415" s="27">
        <v>232612.53613596395</v>
      </c>
    </row>
    <row r="416" spans="1:13" x14ac:dyDescent="0.75">
      <c r="A416" s="40">
        <v>414</v>
      </c>
      <c r="B416" s="27">
        <v>721.38563648014679</v>
      </c>
      <c r="C416" s="27">
        <v>1263.7465694119601</v>
      </c>
      <c r="D416" s="27">
        <v>2006.278155214357</v>
      </c>
      <c r="E416" s="27">
        <v>3088.0977401038108</v>
      </c>
      <c r="F416" s="27">
        <v>4975.3289240861777</v>
      </c>
      <c r="G416" s="27">
        <v>7079.1363177575404</v>
      </c>
      <c r="H416" s="27">
        <v>9606.142465167708</v>
      </c>
      <c r="I416" s="27">
        <v>14111.214518388209</v>
      </c>
      <c r="J416" s="27">
        <v>23151.536696622541</v>
      </c>
      <c r="K416" s="27">
        <v>44941.148249479986</v>
      </c>
      <c r="L416" s="27">
        <v>111816.54381991827</v>
      </c>
      <c r="M416" s="27">
        <v>222760.55909263069</v>
      </c>
    </row>
    <row r="417" spans="1:13" x14ac:dyDescent="0.75">
      <c r="A417" s="40">
        <v>415</v>
      </c>
      <c r="B417" s="27">
        <v>726.64220028666023</v>
      </c>
      <c r="C417" s="27">
        <v>1306.9582902240218</v>
      </c>
      <c r="D417" s="27">
        <v>2186.6549866558635</v>
      </c>
      <c r="E417" s="27">
        <v>3019.3837583094864</v>
      </c>
      <c r="F417" s="27">
        <v>4909.1268930244551</v>
      </c>
      <c r="G417" s="27">
        <v>7425.9863351997628</v>
      </c>
      <c r="H417" s="27">
        <v>9701.1551219875837</v>
      </c>
      <c r="I417" s="27">
        <v>13712.154108922405</v>
      </c>
      <c r="J417" s="27">
        <v>23234.937071737178</v>
      </c>
      <c r="K417" s="27">
        <v>46799.233941626764</v>
      </c>
      <c r="L417" s="27">
        <v>108789.95633875231</v>
      </c>
      <c r="M417" s="27">
        <v>221812.1890467265</v>
      </c>
    </row>
    <row r="418" spans="1:13" x14ac:dyDescent="0.75">
      <c r="A418" s="40">
        <v>416</v>
      </c>
      <c r="B418" s="27">
        <v>288.97292267285229</v>
      </c>
      <c r="C418" s="27">
        <v>673.10408334981184</v>
      </c>
      <c r="D418" s="27">
        <v>1626.1175116847735</v>
      </c>
      <c r="E418" s="27">
        <v>3076.0715151457407</v>
      </c>
      <c r="F418" s="27">
        <v>5020.3393174022785</v>
      </c>
      <c r="G418" s="27">
        <v>7204.5132057879528</v>
      </c>
      <c r="H418" s="27">
        <v>9799.3509527237475</v>
      </c>
      <c r="I418" s="27">
        <v>13585.516898983347</v>
      </c>
      <c r="J418" s="27">
        <v>21256.969754791469</v>
      </c>
      <c r="K418" s="27">
        <v>44060.107589498453</v>
      </c>
      <c r="L418" s="27">
        <v>109976.44075072315</v>
      </c>
      <c r="M418" s="27">
        <v>216567.50450276356</v>
      </c>
    </row>
    <row r="419" spans="1:13" x14ac:dyDescent="0.75">
      <c r="A419" s="40">
        <v>417</v>
      </c>
      <c r="B419" s="27">
        <v>718.87241187226027</v>
      </c>
      <c r="C419" s="27">
        <v>1185.6299677629431</v>
      </c>
      <c r="D419" s="27">
        <v>1876.4189798276639</v>
      </c>
      <c r="E419" s="27">
        <v>3003.7629920596082</v>
      </c>
      <c r="F419" s="27">
        <v>4674.923300804774</v>
      </c>
      <c r="G419" s="27">
        <v>7926.5607730694464</v>
      </c>
      <c r="H419" s="27">
        <v>10242.381421348633</v>
      </c>
      <c r="I419" s="27">
        <v>13591.79679450093</v>
      </c>
      <c r="J419" s="27">
        <v>23345.815397496699</v>
      </c>
      <c r="K419" s="27">
        <v>46684.03168919748</v>
      </c>
      <c r="L419" s="27">
        <v>111603.90770964001</v>
      </c>
      <c r="M419" s="27">
        <v>224854.10143758045</v>
      </c>
    </row>
    <row r="420" spans="1:13" x14ac:dyDescent="0.75">
      <c r="A420" s="40">
        <v>418</v>
      </c>
      <c r="B420" s="27">
        <v>506.07382640115975</v>
      </c>
      <c r="C420" s="27">
        <v>998.26226492525893</v>
      </c>
      <c r="D420" s="27">
        <v>1702.530711700907</v>
      </c>
      <c r="E420" s="27">
        <v>2676.970813132968</v>
      </c>
      <c r="F420" s="27">
        <v>4196.0890593758668</v>
      </c>
      <c r="G420" s="27">
        <v>6761.192926787422</v>
      </c>
      <c r="H420" s="27">
        <v>9319.7460867410264</v>
      </c>
      <c r="I420" s="27">
        <v>13559.811040006593</v>
      </c>
      <c r="J420" s="27">
        <v>22595.049975480884</v>
      </c>
      <c r="K420" s="27">
        <v>46199.705519708325</v>
      </c>
      <c r="L420" s="27">
        <v>109966.38463612829</v>
      </c>
      <c r="M420" s="27">
        <v>218481.8168603887</v>
      </c>
    </row>
    <row r="421" spans="1:13" x14ac:dyDescent="0.75">
      <c r="A421" s="40">
        <v>419</v>
      </c>
      <c r="B421" s="27">
        <v>752.46802576768096</v>
      </c>
      <c r="C421" s="27">
        <v>1259.0023904911359</v>
      </c>
      <c r="D421" s="27">
        <v>2260.5523264898511</v>
      </c>
      <c r="E421" s="27">
        <v>3328.6685167947871</v>
      </c>
      <c r="F421" s="27">
        <v>5237.639754433374</v>
      </c>
      <c r="G421" s="27">
        <v>7611.7909491525206</v>
      </c>
      <c r="H421" s="27">
        <v>10182.426507993485</v>
      </c>
      <c r="I421" s="27">
        <v>15348.160100408859</v>
      </c>
      <c r="J421" s="27">
        <v>24288.862260481226</v>
      </c>
      <c r="K421" s="27">
        <v>47525.559745458246</v>
      </c>
      <c r="L421" s="27">
        <v>115818.97979676336</v>
      </c>
      <c r="M421" s="27">
        <v>233614.11037423453</v>
      </c>
    </row>
    <row r="422" spans="1:13" x14ac:dyDescent="0.75">
      <c r="A422" s="40">
        <v>420</v>
      </c>
      <c r="B422" s="27">
        <v>1281.2571963580849</v>
      </c>
      <c r="C422" s="27">
        <v>1829.8148055021011</v>
      </c>
      <c r="D422" s="27">
        <v>2656.5295488526463</v>
      </c>
      <c r="E422" s="27">
        <v>3910.1675657386804</v>
      </c>
      <c r="F422" s="27">
        <v>5838.1563733589282</v>
      </c>
      <c r="G422" s="27">
        <v>8846.2978044005577</v>
      </c>
      <c r="H422" s="27">
        <v>10590.207185262741</v>
      </c>
      <c r="I422" s="27">
        <v>15377.578613815262</v>
      </c>
      <c r="J422" s="27">
        <v>24164.399944119999</v>
      </c>
      <c r="K422" s="27">
        <v>48611.243617131782</v>
      </c>
      <c r="L422" s="27">
        <v>108744.30829496708</v>
      </c>
      <c r="M422" s="27">
        <v>231849.96094950786</v>
      </c>
    </row>
    <row r="423" spans="1:13" x14ac:dyDescent="0.75">
      <c r="A423" s="40">
        <v>421</v>
      </c>
      <c r="B423" s="27">
        <v>857.75311463970866</v>
      </c>
      <c r="C423" s="27">
        <v>1418.0475473942352</v>
      </c>
      <c r="D423" s="27">
        <v>2202.910937286113</v>
      </c>
      <c r="E423" s="27">
        <v>3411.853195983218</v>
      </c>
      <c r="F423" s="27">
        <v>4922.5524984254298</v>
      </c>
      <c r="G423" s="27">
        <v>7561.2407156014524</v>
      </c>
      <c r="H423" s="27">
        <v>10435.407857596379</v>
      </c>
      <c r="I423" s="27">
        <v>14086.132354962581</v>
      </c>
      <c r="J423" s="27">
        <v>23111.153067966487</v>
      </c>
      <c r="K423" s="27">
        <v>44859.18402037592</v>
      </c>
      <c r="L423" s="27">
        <v>106041.77884761094</v>
      </c>
      <c r="M423" s="27">
        <v>218908.01415784247</v>
      </c>
    </row>
    <row r="424" spans="1:13" x14ac:dyDescent="0.75">
      <c r="A424" s="40">
        <v>422</v>
      </c>
      <c r="B424" s="27">
        <v>1245.1011704574921</v>
      </c>
      <c r="C424" s="27">
        <v>1814.8705860210757</v>
      </c>
      <c r="D424" s="27">
        <v>2606.4568117967283</v>
      </c>
      <c r="E424" s="27">
        <v>3629.9020437310392</v>
      </c>
      <c r="F424" s="27">
        <v>5758.5918457285734</v>
      </c>
      <c r="G424" s="27">
        <v>7432.8187196924991</v>
      </c>
      <c r="H424" s="27">
        <v>9830.6363552210678</v>
      </c>
      <c r="I424" s="27">
        <v>14061.385018597706</v>
      </c>
      <c r="J424" s="27">
        <v>22988.934891021199</v>
      </c>
      <c r="K424" s="27">
        <v>47891.000083996609</v>
      </c>
      <c r="L424" s="27">
        <v>115576.1184304215</v>
      </c>
      <c r="M424" s="27">
        <v>232835.81595668549</v>
      </c>
    </row>
    <row r="425" spans="1:13" x14ac:dyDescent="0.75">
      <c r="A425" s="40">
        <v>423</v>
      </c>
      <c r="B425" s="27">
        <v>1061.0075456565828</v>
      </c>
      <c r="C425" s="27">
        <v>1458.4771922577638</v>
      </c>
      <c r="D425" s="27">
        <v>2282.7401383189863</v>
      </c>
      <c r="E425" s="27">
        <v>3787.2177852504828</v>
      </c>
      <c r="F425" s="27">
        <v>5405.0660429474374</v>
      </c>
      <c r="G425" s="27">
        <v>7908.7270894201356</v>
      </c>
      <c r="H425" s="27">
        <v>10399.282434431676</v>
      </c>
      <c r="I425" s="27">
        <v>14547.744949587141</v>
      </c>
      <c r="J425" s="27">
        <v>22285.744169950718</v>
      </c>
      <c r="K425" s="27">
        <v>48579.100836181868</v>
      </c>
      <c r="L425" s="27">
        <v>119667.9516239964</v>
      </c>
      <c r="M425" s="27">
        <v>237383.05980799918</v>
      </c>
    </row>
    <row r="426" spans="1:13" x14ac:dyDescent="0.75">
      <c r="A426" s="40">
        <v>424</v>
      </c>
      <c r="B426" s="27">
        <v>702.8783934036037</v>
      </c>
      <c r="C426" s="27">
        <v>1221.8116971842683</v>
      </c>
      <c r="D426" s="27">
        <v>2002.6299401795695</v>
      </c>
      <c r="E426" s="27">
        <v>2819.6082003710617</v>
      </c>
      <c r="F426" s="27">
        <v>4558.1959036473709</v>
      </c>
      <c r="G426" s="27">
        <v>6750.3592004516686</v>
      </c>
      <c r="H426" s="27">
        <v>9940.3515049642883</v>
      </c>
      <c r="I426" s="27">
        <v>13681.603478798046</v>
      </c>
      <c r="J426" s="27">
        <v>22519.459615634376</v>
      </c>
      <c r="K426" s="27">
        <v>45747.219073511398</v>
      </c>
      <c r="L426" s="27">
        <v>110065.77679526212</v>
      </c>
      <c r="M426" s="27">
        <v>220009.89380340779</v>
      </c>
    </row>
    <row r="427" spans="1:13" x14ac:dyDescent="0.75">
      <c r="A427" s="40">
        <v>425</v>
      </c>
      <c r="B427" s="27">
        <v>852.9072629360453</v>
      </c>
      <c r="C427" s="27">
        <v>1600.2670286412758</v>
      </c>
      <c r="D427" s="27">
        <v>2851.7294001593691</v>
      </c>
      <c r="E427" s="27">
        <v>3873.1929603838507</v>
      </c>
      <c r="F427" s="27">
        <v>5855.6815002994554</v>
      </c>
      <c r="G427" s="27">
        <v>8616.229825645074</v>
      </c>
      <c r="H427" s="27">
        <v>11127.471059172007</v>
      </c>
      <c r="I427" s="27">
        <v>15478.116182071666</v>
      </c>
      <c r="J427" s="27">
        <v>23913.523984162777</v>
      </c>
      <c r="K427" s="27">
        <v>46473.635050780722</v>
      </c>
      <c r="L427" s="27">
        <v>112222.14894098055</v>
      </c>
      <c r="M427" s="27">
        <v>232864.90319523279</v>
      </c>
    </row>
    <row r="428" spans="1:13" x14ac:dyDescent="0.75">
      <c r="A428" s="40">
        <v>426</v>
      </c>
      <c r="B428" s="27">
        <v>798.56106124621874</v>
      </c>
      <c r="C428" s="27">
        <v>1309.0512766669854</v>
      </c>
      <c r="D428" s="27">
        <v>2126.0610617672646</v>
      </c>
      <c r="E428" s="27">
        <v>3332.1224365014932</v>
      </c>
      <c r="F428" s="27">
        <v>5235.495611639868</v>
      </c>
      <c r="G428" s="27">
        <v>7418.6072546633659</v>
      </c>
      <c r="H428" s="27">
        <v>9401.2987385920133</v>
      </c>
      <c r="I428" s="27">
        <v>13959.738298117445</v>
      </c>
      <c r="J428" s="27">
        <v>23250.247711624412</v>
      </c>
      <c r="K428" s="27">
        <v>44451.052649894322</v>
      </c>
      <c r="L428" s="27">
        <v>107583.40708990567</v>
      </c>
      <c r="M428" s="27">
        <v>218865.64319061907</v>
      </c>
    </row>
    <row r="429" spans="1:13" x14ac:dyDescent="0.75">
      <c r="A429" s="40">
        <v>427</v>
      </c>
      <c r="B429" s="27">
        <v>496.8108460053918</v>
      </c>
      <c r="C429" s="27">
        <v>1076.1982132760022</v>
      </c>
      <c r="D429" s="27">
        <v>1787.1914645174984</v>
      </c>
      <c r="E429" s="27">
        <v>2937.9273490838677</v>
      </c>
      <c r="F429" s="27">
        <v>5351.9774466750678</v>
      </c>
      <c r="G429" s="27">
        <v>7306.301706934406</v>
      </c>
      <c r="H429" s="27">
        <v>10287.282044681138</v>
      </c>
      <c r="I429" s="27">
        <v>14281.608042735257</v>
      </c>
      <c r="J429" s="27">
        <v>22329.975424290824</v>
      </c>
      <c r="K429" s="27">
        <v>46617.199476502021</v>
      </c>
      <c r="L429" s="27">
        <v>107293.24330947394</v>
      </c>
      <c r="M429" s="27">
        <v>219765.71532417543</v>
      </c>
    </row>
    <row r="430" spans="1:13" x14ac:dyDescent="0.75">
      <c r="A430" s="40">
        <v>428</v>
      </c>
      <c r="B430" s="27">
        <v>787.81167433259543</v>
      </c>
      <c r="C430" s="27">
        <v>1454.1882684613665</v>
      </c>
      <c r="D430" s="27">
        <v>2753.9607661581977</v>
      </c>
      <c r="E430" s="27">
        <v>3944.5896985704894</v>
      </c>
      <c r="F430" s="27">
        <v>5829.942129996256</v>
      </c>
      <c r="G430" s="27">
        <v>8108.5585395282251</v>
      </c>
      <c r="H430" s="27">
        <v>10683.598969915358</v>
      </c>
      <c r="I430" s="27">
        <v>15201.078070917632</v>
      </c>
      <c r="J430" s="27">
        <v>24781.16945617547</v>
      </c>
      <c r="K430" s="27">
        <v>47581.53479945258</v>
      </c>
      <c r="L430" s="27">
        <v>109624.62036231541</v>
      </c>
      <c r="M430" s="27">
        <v>230751.05273582358</v>
      </c>
    </row>
    <row r="431" spans="1:13" x14ac:dyDescent="0.75">
      <c r="A431" s="40">
        <v>429</v>
      </c>
      <c r="B431" s="27">
        <v>747.0791767827177</v>
      </c>
      <c r="C431" s="27">
        <v>1033.1455203635851</v>
      </c>
      <c r="D431" s="27">
        <v>1846.433619148811</v>
      </c>
      <c r="E431" s="27">
        <v>2674.5984566480183</v>
      </c>
      <c r="F431" s="27">
        <v>4721.6035863503639</v>
      </c>
      <c r="G431" s="27">
        <v>7013.517386051506</v>
      </c>
      <c r="H431" s="27">
        <v>9100.2173290115607</v>
      </c>
      <c r="I431" s="27">
        <v>13918.921760732221</v>
      </c>
      <c r="J431" s="27">
        <v>21529.582819719188</v>
      </c>
      <c r="K431" s="27">
        <v>44666.104337210665</v>
      </c>
      <c r="L431" s="27">
        <v>109700.231733372</v>
      </c>
      <c r="M431" s="27">
        <v>216951.43572539062</v>
      </c>
    </row>
    <row r="432" spans="1:13" x14ac:dyDescent="0.75">
      <c r="A432" s="40">
        <v>430</v>
      </c>
      <c r="B432" s="27">
        <v>946.78553273285797</v>
      </c>
      <c r="C432" s="27">
        <v>1614.5097085636808</v>
      </c>
      <c r="D432" s="27">
        <v>2295.6134896591393</v>
      </c>
      <c r="E432" s="27">
        <v>3746.4585851575976</v>
      </c>
      <c r="F432" s="27">
        <v>5834.0392836071842</v>
      </c>
      <c r="G432" s="27">
        <v>7925.2431777311722</v>
      </c>
      <c r="H432" s="27">
        <v>10327.624556855182</v>
      </c>
      <c r="I432" s="27">
        <v>14406.885443669715</v>
      </c>
      <c r="J432" s="27">
        <v>23822.454540658306</v>
      </c>
      <c r="K432" s="27">
        <v>49665.783381247194</v>
      </c>
      <c r="L432" s="27">
        <v>112445.64544214707</v>
      </c>
      <c r="M432" s="27">
        <v>233031.04314202908</v>
      </c>
    </row>
    <row r="433" spans="1:13" x14ac:dyDescent="0.75">
      <c r="A433" s="40">
        <v>431</v>
      </c>
      <c r="B433" s="27">
        <v>1260.4400419100275</v>
      </c>
      <c r="C433" s="27">
        <v>1742.4735677430872</v>
      </c>
      <c r="D433" s="27">
        <v>2466.2008500646189</v>
      </c>
      <c r="E433" s="27">
        <v>3583.4372702824912</v>
      </c>
      <c r="F433" s="27">
        <v>5599.4511608163011</v>
      </c>
      <c r="G433" s="27">
        <v>8322.3076695799245</v>
      </c>
      <c r="H433" s="27">
        <v>10827.095094293763</v>
      </c>
      <c r="I433" s="27">
        <v>14479.722154029369</v>
      </c>
      <c r="J433" s="27">
        <v>23274.721255632947</v>
      </c>
      <c r="K433" s="27">
        <v>47828.71938845262</v>
      </c>
      <c r="L433" s="27">
        <v>109212.3187710575</v>
      </c>
      <c r="M433" s="27">
        <v>228596.88722386264</v>
      </c>
    </row>
    <row r="434" spans="1:13" x14ac:dyDescent="0.75">
      <c r="A434" s="40">
        <v>432</v>
      </c>
      <c r="B434" s="27">
        <v>744.07047414213594</v>
      </c>
      <c r="C434" s="27">
        <v>1359.0555519728223</v>
      </c>
      <c r="D434" s="27">
        <v>2284.4858094562951</v>
      </c>
      <c r="E434" s="27">
        <v>3259.7286805339245</v>
      </c>
      <c r="F434" s="27">
        <v>4923.1402983435255</v>
      </c>
      <c r="G434" s="27">
        <v>7102.0263972136308</v>
      </c>
      <c r="H434" s="27">
        <v>10294.462214496511</v>
      </c>
      <c r="I434" s="27">
        <v>14255.149644392135</v>
      </c>
      <c r="J434" s="27">
        <v>23197.100510686345</v>
      </c>
      <c r="K434" s="27">
        <v>44588.619540608954</v>
      </c>
      <c r="L434" s="27">
        <v>108539.36410514064</v>
      </c>
      <c r="M434" s="27">
        <v>220547.20322698692</v>
      </c>
    </row>
    <row r="435" spans="1:13" x14ac:dyDescent="0.75">
      <c r="A435" s="40">
        <v>433</v>
      </c>
      <c r="B435" s="27">
        <v>628.39497176885197</v>
      </c>
      <c r="C435" s="27">
        <v>1391.4537325368728</v>
      </c>
      <c r="D435" s="27">
        <v>2015.3794070775912</v>
      </c>
      <c r="E435" s="27">
        <v>3175.1730000191747</v>
      </c>
      <c r="F435" s="27">
        <v>4815.9162957591616</v>
      </c>
      <c r="G435" s="27">
        <v>6989.6376830685476</v>
      </c>
      <c r="H435" s="27">
        <v>9296.7194815426046</v>
      </c>
      <c r="I435" s="27">
        <v>13340.302076471591</v>
      </c>
      <c r="J435" s="27">
        <v>21413.883857035806</v>
      </c>
      <c r="K435" s="27">
        <v>47170.896624670262</v>
      </c>
      <c r="L435" s="27">
        <v>104802.99914966943</v>
      </c>
      <c r="M435" s="27">
        <v>215040.75627961988</v>
      </c>
    </row>
    <row r="436" spans="1:13" x14ac:dyDescent="0.75">
      <c r="A436" s="40">
        <v>434</v>
      </c>
      <c r="B436" s="27">
        <v>443.96102678551688</v>
      </c>
      <c r="C436" s="27">
        <v>1051.770975141917</v>
      </c>
      <c r="D436" s="27">
        <v>1943.6562996874709</v>
      </c>
      <c r="E436" s="27">
        <v>2938.4365256664023</v>
      </c>
      <c r="F436" s="27">
        <v>4766.5696407821961</v>
      </c>
      <c r="G436" s="27">
        <v>7057.9758826219768</v>
      </c>
      <c r="H436" s="27">
        <v>9415.8488153671497</v>
      </c>
      <c r="I436" s="27">
        <v>13206.29074234108</v>
      </c>
      <c r="J436" s="27">
        <v>23446.876586228726</v>
      </c>
      <c r="K436" s="27">
        <v>47323.721008509514</v>
      </c>
      <c r="L436" s="27">
        <v>114760.74976563135</v>
      </c>
      <c r="M436" s="27">
        <v>226355.8572687633</v>
      </c>
    </row>
    <row r="437" spans="1:13" x14ac:dyDescent="0.75">
      <c r="A437" s="40">
        <v>435</v>
      </c>
      <c r="B437" s="27">
        <v>525.74252878250263</v>
      </c>
      <c r="C437" s="27">
        <v>1094.4559361142456</v>
      </c>
      <c r="D437" s="27">
        <v>2231.4786857222643</v>
      </c>
      <c r="E437" s="27">
        <v>3089.1568688119733</v>
      </c>
      <c r="F437" s="27">
        <v>5158.3062200968852</v>
      </c>
      <c r="G437" s="27">
        <v>7265.7317103452806</v>
      </c>
      <c r="H437" s="27">
        <v>10596.69529766991</v>
      </c>
      <c r="I437" s="27">
        <v>14060.689647537685</v>
      </c>
      <c r="J437" s="27">
        <v>22498.446325539146</v>
      </c>
      <c r="K437" s="27">
        <v>45578.718100313941</v>
      </c>
      <c r="L437" s="27">
        <v>112652.35604824644</v>
      </c>
      <c r="M437" s="27">
        <v>224751.77736918029</v>
      </c>
    </row>
    <row r="438" spans="1:13" x14ac:dyDescent="0.75">
      <c r="A438" s="40">
        <v>436</v>
      </c>
      <c r="B438" s="27">
        <v>517.41458619997138</v>
      </c>
      <c r="C438" s="27">
        <v>764.4127569932607</v>
      </c>
      <c r="D438" s="27">
        <v>1415.9161602210806</v>
      </c>
      <c r="E438" s="27">
        <v>2665.3191391415021</v>
      </c>
      <c r="F438" s="27">
        <v>4341.2038876762963</v>
      </c>
      <c r="G438" s="27">
        <v>6551.8051882114087</v>
      </c>
      <c r="H438" s="27">
        <v>9487.7148940550978</v>
      </c>
      <c r="I438" s="27">
        <v>13892.227676160706</v>
      </c>
      <c r="J438" s="27">
        <v>22905.379633446311</v>
      </c>
      <c r="K438" s="27">
        <v>46146.843773381785</v>
      </c>
      <c r="L438" s="27">
        <v>107151.90791775263</v>
      </c>
      <c r="M438" s="27">
        <v>215840.14561324005</v>
      </c>
    </row>
    <row r="439" spans="1:13" x14ac:dyDescent="0.75">
      <c r="A439" s="40">
        <v>437</v>
      </c>
      <c r="B439" s="27">
        <v>832.22232583073492</v>
      </c>
      <c r="C439" s="27">
        <v>1469.5528756985441</v>
      </c>
      <c r="D439" s="27">
        <v>2609.5228608778561</v>
      </c>
      <c r="E439" s="27">
        <v>4078.1910414154117</v>
      </c>
      <c r="F439" s="27">
        <v>6027.3092124450195</v>
      </c>
      <c r="G439" s="27">
        <v>8388.0071273659414</v>
      </c>
      <c r="H439" s="27">
        <v>11087.105969255703</v>
      </c>
      <c r="I439" s="27">
        <v>14416.212374962444</v>
      </c>
      <c r="J439" s="27">
        <v>23049.133370346259</v>
      </c>
      <c r="K439" s="27">
        <v>46922.530501402929</v>
      </c>
      <c r="L439" s="27">
        <v>106500.22185075666</v>
      </c>
      <c r="M439" s="27">
        <v>225380.00951035751</v>
      </c>
    </row>
    <row r="440" spans="1:13" x14ac:dyDescent="0.75">
      <c r="A440" s="40">
        <v>438</v>
      </c>
      <c r="B440" s="27">
        <v>551.76499546553532</v>
      </c>
      <c r="C440" s="27">
        <v>1227.2379751774424</v>
      </c>
      <c r="D440" s="27">
        <v>2058.9076494119363</v>
      </c>
      <c r="E440" s="27">
        <v>3183.8759818596882</v>
      </c>
      <c r="F440" s="27">
        <v>5109.3125091455295</v>
      </c>
      <c r="G440" s="27">
        <v>7953.083693872235</v>
      </c>
      <c r="H440" s="27">
        <v>11486.146514163876</v>
      </c>
      <c r="I440" s="27">
        <v>15042.054602480275</v>
      </c>
      <c r="J440" s="27">
        <v>22978.166562036422</v>
      </c>
      <c r="K440" s="27">
        <v>47671.600936938863</v>
      </c>
      <c r="L440" s="27">
        <v>115645.13715801398</v>
      </c>
      <c r="M440" s="27">
        <v>232907.28857856579</v>
      </c>
    </row>
    <row r="441" spans="1:13" x14ac:dyDescent="0.75">
      <c r="A441" s="40">
        <v>439</v>
      </c>
      <c r="B441" s="27">
        <v>1068.3026964874007</v>
      </c>
      <c r="C441" s="27">
        <v>1595.1473009732872</v>
      </c>
      <c r="D441" s="27">
        <v>2428.0427802954218</v>
      </c>
      <c r="E441" s="27">
        <v>3590.7210449292324</v>
      </c>
      <c r="F441" s="27">
        <v>5656.47825471955</v>
      </c>
      <c r="G441" s="27">
        <v>7827.8923530029133</v>
      </c>
      <c r="H441" s="27">
        <v>10976.463457208985</v>
      </c>
      <c r="I441" s="27">
        <v>14635.41556256474</v>
      </c>
      <c r="J441" s="27">
        <v>22841.570782247349</v>
      </c>
      <c r="K441" s="27">
        <v>47466.135931802768</v>
      </c>
      <c r="L441" s="27">
        <v>108979.63478469988</v>
      </c>
      <c r="M441" s="27">
        <v>227065.80494893153</v>
      </c>
    </row>
    <row r="442" spans="1:13" x14ac:dyDescent="0.75">
      <c r="A442" s="40">
        <v>440</v>
      </c>
      <c r="B442" s="27">
        <v>1080.9810337970121</v>
      </c>
      <c r="C442" s="27">
        <v>1531.8944690611243</v>
      </c>
      <c r="D442" s="27">
        <v>2420.429329840772</v>
      </c>
      <c r="E442" s="27">
        <v>3457.3510672960547</v>
      </c>
      <c r="F442" s="27">
        <v>5147.4502217682893</v>
      </c>
      <c r="G442" s="27">
        <v>7477.6108937069948</v>
      </c>
      <c r="H442" s="27">
        <v>10337.074345651694</v>
      </c>
      <c r="I442" s="27">
        <v>15073.003610567815</v>
      </c>
      <c r="J442" s="27">
        <v>23611.563030285484</v>
      </c>
      <c r="K442" s="27">
        <v>46539.27306419122</v>
      </c>
      <c r="L442" s="27">
        <v>113756.40208338035</v>
      </c>
      <c r="M442" s="27">
        <v>230433.03314954683</v>
      </c>
    </row>
    <row r="443" spans="1:13" x14ac:dyDescent="0.75">
      <c r="A443" s="40">
        <v>441</v>
      </c>
      <c r="B443" s="27">
        <v>790.18984416448802</v>
      </c>
      <c r="C443" s="27">
        <v>1221.9901975870744</v>
      </c>
      <c r="D443" s="27">
        <v>2033.9311321115674</v>
      </c>
      <c r="E443" s="27">
        <v>3253.8206123996497</v>
      </c>
      <c r="F443" s="27">
        <v>4776.3688718375488</v>
      </c>
      <c r="G443" s="27">
        <v>7689.0432177334151</v>
      </c>
      <c r="H443" s="27">
        <v>10222.051264803871</v>
      </c>
      <c r="I443" s="27">
        <v>14094.164384328426</v>
      </c>
      <c r="J443" s="27">
        <v>23201.422662907557</v>
      </c>
      <c r="K443" s="27">
        <v>47094.02061319114</v>
      </c>
      <c r="L443" s="27">
        <v>112028.96526156129</v>
      </c>
      <c r="M443" s="27">
        <v>226405.96806262602</v>
      </c>
    </row>
    <row r="444" spans="1:13" x14ac:dyDescent="0.75">
      <c r="A444" s="40">
        <v>442</v>
      </c>
      <c r="B444" s="27">
        <v>788.31951694740565</v>
      </c>
      <c r="C444" s="27">
        <v>1579.1051246030984</v>
      </c>
      <c r="D444" s="27">
        <v>2623.0148321030429</v>
      </c>
      <c r="E444" s="27">
        <v>3591.548594910375</v>
      </c>
      <c r="F444" s="27">
        <v>5751.8302403725975</v>
      </c>
      <c r="G444" s="27">
        <v>7677.3301193559018</v>
      </c>
      <c r="H444" s="27">
        <v>10282.156811601832</v>
      </c>
      <c r="I444" s="27">
        <v>14755.170357996016</v>
      </c>
      <c r="J444" s="27">
        <v>24334.510664824062</v>
      </c>
      <c r="K444" s="27">
        <v>46474.359528812318</v>
      </c>
      <c r="L444" s="27">
        <v>116579.63148417219</v>
      </c>
      <c r="M444" s="27">
        <v>234436.97727569885</v>
      </c>
    </row>
    <row r="445" spans="1:13" x14ac:dyDescent="0.75">
      <c r="A445" s="40">
        <v>443</v>
      </c>
      <c r="B445" s="27">
        <v>1325.0103606264602</v>
      </c>
      <c r="C445" s="27">
        <v>2076.010425131215</v>
      </c>
      <c r="D445" s="27">
        <v>3015.6050561063312</v>
      </c>
      <c r="E445" s="27">
        <v>4222.7440158830141</v>
      </c>
      <c r="F445" s="27">
        <v>6262.3578062786255</v>
      </c>
      <c r="G445" s="27">
        <v>8609.4423793742026</v>
      </c>
      <c r="H445" s="27">
        <v>10603.400227074642</v>
      </c>
      <c r="I445" s="27">
        <v>14885.527039599488</v>
      </c>
      <c r="J445" s="27">
        <v>23900.007066865481</v>
      </c>
      <c r="K445" s="27">
        <v>49228.624010644111</v>
      </c>
      <c r="L445" s="27">
        <v>110984.76908503045</v>
      </c>
      <c r="M445" s="27">
        <v>235113.49747261402</v>
      </c>
    </row>
    <row r="446" spans="1:13" x14ac:dyDescent="0.75">
      <c r="A446" s="40">
        <v>444</v>
      </c>
      <c r="B446" s="27">
        <v>275.09209009917686</v>
      </c>
      <c r="C446" s="27">
        <v>723.77177751700219</v>
      </c>
      <c r="D446" s="27">
        <v>1663.4841690303147</v>
      </c>
      <c r="E446" s="27">
        <v>2848.112505292549</v>
      </c>
      <c r="F446" s="27">
        <v>4900.7595456039999</v>
      </c>
      <c r="G446" s="27">
        <v>7168.3153223284753</v>
      </c>
      <c r="H446" s="27">
        <v>9586.8631405155611</v>
      </c>
      <c r="I446" s="27">
        <v>13386.141090033023</v>
      </c>
      <c r="J446" s="27">
        <v>23847.739444562423</v>
      </c>
      <c r="K446" s="27">
        <v>45669.500812696468</v>
      </c>
      <c r="L446" s="27">
        <v>116834.05651432477</v>
      </c>
      <c r="M446" s="27">
        <v>226903.83641200376</v>
      </c>
    </row>
    <row r="447" spans="1:13" x14ac:dyDescent="0.75">
      <c r="A447" s="40">
        <v>445</v>
      </c>
      <c r="B447" s="27">
        <v>409.84482620324707</v>
      </c>
      <c r="C447" s="27">
        <v>894.47626410301018</v>
      </c>
      <c r="D447" s="27">
        <v>1721.4354591157608</v>
      </c>
      <c r="E447" s="27">
        <v>2666.4605418133433</v>
      </c>
      <c r="F447" s="27">
        <v>4481.5098393983208</v>
      </c>
      <c r="G447" s="27">
        <v>6978.1805898389139</v>
      </c>
      <c r="H447" s="27">
        <v>9432.9608556006133</v>
      </c>
      <c r="I447" s="27">
        <v>14397.521580446686</v>
      </c>
      <c r="J447" s="27">
        <v>22836.019909549461</v>
      </c>
      <c r="K447" s="27">
        <v>46158.099358823034</v>
      </c>
      <c r="L447" s="27">
        <v>101930.19612485613</v>
      </c>
      <c r="M447" s="27">
        <v>211906.70534974852</v>
      </c>
    </row>
    <row r="448" spans="1:13" x14ac:dyDescent="0.75">
      <c r="A448" s="40">
        <v>446</v>
      </c>
      <c r="B448" s="27">
        <v>681.31250482142786</v>
      </c>
      <c r="C448" s="27">
        <v>1181.3625489844853</v>
      </c>
      <c r="D448" s="27">
        <v>2139.1581605351821</v>
      </c>
      <c r="E448" s="27">
        <v>3399.9028125515615</v>
      </c>
      <c r="F448" s="27">
        <v>5341.4478588772763</v>
      </c>
      <c r="G448" s="27">
        <v>7866.7855185182125</v>
      </c>
      <c r="H448" s="27">
        <v>10404.540717710552</v>
      </c>
      <c r="I448" s="27">
        <v>15626.028661049291</v>
      </c>
      <c r="J448" s="27">
        <v>24547.124465407425</v>
      </c>
      <c r="K448" s="27">
        <v>45989.581911868387</v>
      </c>
      <c r="L448" s="27">
        <v>107207.74264315807</v>
      </c>
      <c r="M448" s="27">
        <v>224384.98780348187</v>
      </c>
    </row>
    <row r="449" spans="1:13" x14ac:dyDescent="0.75">
      <c r="A449" s="40">
        <v>447</v>
      </c>
      <c r="B449" s="27">
        <v>1116.8993581838877</v>
      </c>
      <c r="C449" s="27">
        <v>1552.2156310185092</v>
      </c>
      <c r="D449" s="27">
        <v>2556.1046939972293</v>
      </c>
      <c r="E449" s="27">
        <v>3763.0042484854785</v>
      </c>
      <c r="F449" s="27">
        <v>6233.0649053685484</v>
      </c>
      <c r="G449" s="27">
        <v>8476.9097886119271</v>
      </c>
      <c r="H449" s="27">
        <v>10592.73350313172</v>
      </c>
      <c r="I449" s="27">
        <v>14732.826519830007</v>
      </c>
      <c r="J449" s="27">
        <v>23748.046579008354</v>
      </c>
      <c r="K449" s="27">
        <v>46347.228378130181</v>
      </c>
      <c r="L449" s="27">
        <v>117496.75087497858</v>
      </c>
      <c r="M449" s="27">
        <v>236615.78448074442</v>
      </c>
    </row>
    <row r="450" spans="1:13" x14ac:dyDescent="0.75">
      <c r="A450" s="40">
        <v>448</v>
      </c>
      <c r="B450" s="27">
        <v>841.2265911844006</v>
      </c>
      <c r="C450" s="27">
        <v>1510.9152604577102</v>
      </c>
      <c r="D450" s="27">
        <v>2263.38481896554</v>
      </c>
      <c r="E450" s="27">
        <v>3472.7820396950556</v>
      </c>
      <c r="F450" s="27">
        <v>5827.1793851270195</v>
      </c>
      <c r="G450" s="27">
        <v>8169.5408843045007</v>
      </c>
      <c r="H450" s="27">
        <v>11310.04555249869</v>
      </c>
      <c r="I450" s="27">
        <v>14959.793271558287</v>
      </c>
      <c r="J450" s="27">
        <v>24257.071238591088</v>
      </c>
      <c r="K450" s="27">
        <v>46124.133435200507</v>
      </c>
      <c r="L450" s="27">
        <v>114882.5828579315</v>
      </c>
      <c r="M450" s="27">
        <v>233618.65533551428</v>
      </c>
    </row>
    <row r="451" spans="1:13" x14ac:dyDescent="0.75">
      <c r="A451" s="40">
        <v>449</v>
      </c>
      <c r="B451" s="27">
        <v>473.96691988660314</v>
      </c>
      <c r="C451" s="27">
        <v>635.56277733434399</v>
      </c>
      <c r="D451" s="27">
        <v>1471.1068267048831</v>
      </c>
      <c r="E451" s="27">
        <v>2958.1881012439117</v>
      </c>
      <c r="F451" s="27">
        <v>4670.4929016195238</v>
      </c>
      <c r="G451" s="27">
        <v>6408.5943882225547</v>
      </c>
      <c r="H451" s="27">
        <v>9286.6061196275114</v>
      </c>
      <c r="I451" s="27">
        <v>13214.228414070079</v>
      </c>
      <c r="J451" s="27">
        <v>21166.421014958338</v>
      </c>
      <c r="K451" s="27">
        <v>45858.656657584012</v>
      </c>
      <c r="L451" s="27">
        <v>107696.42869684452</v>
      </c>
      <c r="M451" s="27">
        <v>213840.25281809628</v>
      </c>
    </row>
    <row r="452" spans="1:13" x14ac:dyDescent="0.75">
      <c r="A452" s="40">
        <v>450</v>
      </c>
      <c r="B452" s="27">
        <v>803.30337231198791</v>
      </c>
      <c r="C452" s="27">
        <v>1239.7963957009779</v>
      </c>
      <c r="D452" s="27">
        <v>2086.198271407935</v>
      </c>
      <c r="E452" s="27">
        <v>3089.9338830240449</v>
      </c>
      <c r="F452" s="27">
        <v>5402.6575699969544</v>
      </c>
      <c r="G452" s="27">
        <v>7512.1278120665229</v>
      </c>
      <c r="H452" s="27">
        <v>10486.143269913839</v>
      </c>
      <c r="I452" s="27">
        <v>14911.960095854432</v>
      </c>
      <c r="J452" s="27">
        <v>23280.638485945994</v>
      </c>
      <c r="K452" s="27">
        <v>45552.425015773886</v>
      </c>
      <c r="L452" s="27">
        <v>112323.60054552785</v>
      </c>
      <c r="M452" s="27">
        <v>226688.78471752442</v>
      </c>
    </row>
    <row r="453" spans="1:13" x14ac:dyDescent="0.75">
      <c r="A453" s="40">
        <v>451</v>
      </c>
      <c r="B453" s="27">
        <v>1142.4745035680535</v>
      </c>
      <c r="C453" s="27">
        <v>1710.5450382403797</v>
      </c>
      <c r="D453" s="27">
        <v>2796.8294528811966</v>
      </c>
      <c r="E453" s="27">
        <v>3846.6747393487894</v>
      </c>
      <c r="F453" s="27">
        <v>5990.6648167234962</v>
      </c>
      <c r="G453" s="27">
        <v>8322.8934179365169</v>
      </c>
      <c r="H453" s="27">
        <v>10823.545088713363</v>
      </c>
      <c r="I453" s="27">
        <v>15046.646652829309</v>
      </c>
      <c r="J453" s="27">
        <v>23609.481970724737</v>
      </c>
      <c r="K453" s="27">
        <v>48419.268490813411</v>
      </c>
      <c r="L453" s="27">
        <v>116458.35738415245</v>
      </c>
      <c r="M453" s="27">
        <v>238167.3815559317</v>
      </c>
    </row>
    <row r="454" spans="1:13" x14ac:dyDescent="0.75">
      <c r="A454" s="40">
        <v>452</v>
      </c>
      <c r="B454" s="27">
        <v>654.76478291850071</v>
      </c>
      <c r="C454" s="27">
        <v>1093.0165199805488</v>
      </c>
      <c r="D454" s="27">
        <v>2047.9630192771292</v>
      </c>
      <c r="E454" s="27">
        <v>3128.0598706286546</v>
      </c>
      <c r="F454" s="27">
        <v>5451.7308178087696</v>
      </c>
      <c r="G454" s="27">
        <v>7399.0788005946088</v>
      </c>
      <c r="H454" s="27">
        <v>9706.0755316091236</v>
      </c>
      <c r="I454" s="27">
        <v>14041.092066659228</v>
      </c>
      <c r="J454" s="27">
        <v>23495.394603470355</v>
      </c>
      <c r="K454" s="27">
        <v>47742.627424648992</v>
      </c>
      <c r="L454" s="27">
        <v>116922.55618179037</v>
      </c>
      <c r="M454" s="27">
        <v>231682.35961938626</v>
      </c>
    </row>
    <row r="455" spans="1:13" x14ac:dyDescent="0.75">
      <c r="A455" s="40">
        <v>453</v>
      </c>
      <c r="B455" s="27">
        <v>1108.6185177636798</v>
      </c>
      <c r="C455" s="27">
        <v>1885.4592395013024</v>
      </c>
      <c r="D455" s="27">
        <v>2804.0153202687507</v>
      </c>
      <c r="E455" s="27">
        <v>4157.55295036998</v>
      </c>
      <c r="F455" s="27">
        <v>5907.3540945281566</v>
      </c>
      <c r="G455" s="27">
        <v>8361.3780605309003</v>
      </c>
      <c r="H455" s="27">
        <v>10737.902958776031</v>
      </c>
      <c r="I455" s="27">
        <v>15900.710744742682</v>
      </c>
      <c r="J455" s="27">
        <v>24060.683248811431</v>
      </c>
      <c r="K455" s="27">
        <v>49266.441851178621</v>
      </c>
      <c r="L455" s="27">
        <v>106220.10974139351</v>
      </c>
      <c r="M455" s="27">
        <v>230410.22672786505</v>
      </c>
    </row>
    <row r="456" spans="1:13" x14ac:dyDescent="0.75">
      <c r="A456" s="40">
        <v>454</v>
      </c>
      <c r="B456" s="27">
        <v>847.65001515677432</v>
      </c>
      <c r="C456" s="27">
        <v>1248.3755323654623</v>
      </c>
      <c r="D456" s="27">
        <v>1928.8311034749931</v>
      </c>
      <c r="E456" s="27">
        <v>2734.8570836543804</v>
      </c>
      <c r="F456" s="27">
        <v>4881.0572477177775</v>
      </c>
      <c r="G456" s="27">
        <v>7275.7510883491195</v>
      </c>
      <c r="H456" s="27">
        <v>10207.231614871562</v>
      </c>
      <c r="I456" s="27">
        <v>13843.867246842055</v>
      </c>
      <c r="J456" s="27">
        <v>22677.06514585999</v>
      </c>
      <c r="K456" s="27">
        <v>46361.655611541428</v>
      </c>
      <c r="L456" s="27">
        <v>106516.43176718944</v>
      </c>
      <c r="M456" s="27">
        <v>218522.77345702297</v>
      </c>
    </row>
    <row r="457" spans="1:13" x14ac:dyDescent="0.75">
      <c r="A457" s="40">
        <v>455</v>
      </c>
      <c r="B457" s="27">
        <v>1136.6646981429658</v>
      </c>
      <c r="C457" s="27">
        <v>1657.8072736015456</v>
      </c>
      <c r="D457" s="27">
        <v>2467.3775180205994</v>
      </c>
      <c r="E457" s="27">
        <v>3569.582526852304</v>
      </c>
      <c r="F457" s="27">
        <v>5338.6599019978312</v>
      </c>
      <c r="G457" s="27">
        <v>7927.5938598379144</v>
      </c>
      <c r="H457" s="27">
        <v>10583.785933809471</v>
      </c>
      <c r="I457" s="27">
        <v>14053.093277601671</v>
      </c>
      <c r="J457" s="27">
        <v>22874.683260432284</v>
      </c>
      <c r="K457" s="27">
        <v>46655.820242984657</v>
      </c>
      <c r="L457" s="27">
        <v>113475.39981936611</v>
      </c>
      <c r="M457" s="27">
        <v>229740.46831264737</v>
      </c>
    </row>
    <row r="458" spans="1:13" x14ac:dyDescent="0.75">
      <c r="A458" s="40">
        <v>456</v>
      </c>
      <c r="B458" s="27">
        <v>1319.7899346386839</v>
      </c>
      <c r="C458" s="27">
        <v>1954.4222713854979</v>
      </c>
      <c r="D458" s="27">
        <v>2800.2187933273817</v>
      </c>
      <c r="E458" s="27">
        <v>3613.1104270000214</v>
      </c>
      <c r="F458" s="27">
        <v>5803.4061622775334</v>
      </c>
      <c r="G458" s="27">
        <v>8152.2650819703122</v>
      </c>
      <c r="H458" s="27">
        <v>11120.327963365096</v>
      </c>
      <c r="I458" s="27">
        <v>15676.643587483995</v>
      </c>
      <c r="J458" s="27">
        <v>22112.826784531964</v>
      </c>
      <c r="K458" s="27">
        <v>47374.737999986683</v>
      </c>
      <c r="L458" s="27">
        <v>109048.7978197396</v>
      </c>
      <c r="M458" s="27">
        <v>228976.54682570678</v>
      </c>
    </row>
    <row r="459" spans="1:13" x14ac:dyDescent="0.75">
      <c r="A459" s="40">
        <v>457</v>
      </c>
      <c r="B459" s="27">
        <v>908.21030066818639</v>
      </c>
      <c r="C459" s="27">
        <v>1290.4939205948613</v>
      </c>
      <c r="D459" s="27">
        <v>2411.1377184413723</v>
      </c>
      <c r="E459" s="27">
        <v>3712.1374438206112</v>
      </c>
      <c r="F459" s="27">
        <v>5816.9896797488909</v>
      </c>
      <c r="G459" s="27">
        <v>7597.7968580060988</v>
      </c>
      <c r="H459" s="27">
        <v>11531.060751600919</v>
      </c>
      <c r="I459" s="27">
        <v>15620.32754661447</v>
      </c>
      <c r="J459" s="27">
        <v>24135.382135650783</v>
      </c>
      <c r="K459" s="27">
        <v>47578.354640665697</v>
      </c>
      <c r="L459" s="27">
        <v>113904.76118332135</v>
      </c>
      <c r="M459" s="27">
        <v>234506.65217913323</v>
      </c>
    </row>
    <row r="460" spans="1:13" x14ac:dyDescent="0.75">
      <c r="A460" s="40">
        <v>458</v>
      </c>
      <c r="B460" s="27">
        <v>638.88766784539621</v>
      </c>
      <c r="C460" s="27">
        <v>1055.4127982611244</v>
      </c>
      <c r="D460" s="27">
        <v>2178.1581101837073</v>
      </c>
      <c r="E460" s="27">
        <v>3494.9093332703051</v>
      </c>
      <c r="F460" s="27">
        <v>5217.3922756708635</v>
      </c>
      <c r="G460" s="27">
        <v>7887.914850177709</v>
      </c>
      <c r="H460" s="27">
        <v>10382.427720949228</v>
      </c>
      <c r="I460" s="27">
        <v>14413.438995016098</v>
      </c>
      <c r="J460" s="27">
        <v>22543.857998683408</v>
      </c>
      <c r="K460" s="27">
        <v>45879.112317536521</v>
      </c>
      <c r="L460" s="27">
        <v>111627.61666319171</v>
      </c>
      <c r="M460" s="27">
        <v>225319.12873078609</v>
      </c>
    </row>
    <row r="461" spans="1:13" x14ac:dyDescent="0.75">
      <c r="A461" s="40">
        <v>459</v>
      </c>
      <c r="B461" s="27">
        <v>1057.6685082089243</v>
      </c>
      <c r="C461" s="27">
        <v>1543.4481749967817</v>
      </c>
      <c r="D461" s="27">
        <v>2578.8079707427387</v>
      </c>
      <c r="E461" s="27">
        <v>3921.8202722344722</v>
      </c>
      <c r="F461" s="27">
        <v>5965.3259111567459</v>
      </c>
      <c r="G461" s="27">
        <v>8744.8351160163002</v>
      </c>
      <c r="H461" s="27">
        <v>10426.373606868277</v>
      </c>
      <c r="I461" s="27">
        <v>15225.000149478175</v>
      </c>
      <c r="J461" s="27">
        <v>23823.655866479399</v>
      </c>
      <c r="K461" s="27">
        <v>48147.02694709388</v>
      </c>
      <c r="L461" s="27">
        <v>116549.72721598615</v>
      </c>
      <c r="M461" s="27">
        <v>237983.68973926184</v>
      </c>
    </row>
    <row r="462" spans="1:13" x14ac:dyDescent="0.75">
      <c r="A462" s="40">
        <v>460</v>
      </c>
      <c r="B462" s="27">
        <v>961.17169080833264</v>
      </c>
      <c r="C462" s="27">
        <v>1897.904729331829</v>
      </c>
      <c r="D462" s="27">
        <v>2844.4478366121184</v>
      </c>
      <c r="E462" s="27">
        <v>4001.4465737744031</v>
      </c>
      <c r="F462" s="27">
        <v>5841.2954777546693</v>
      </c>
      <c r="G462" s="27">
        <v>7853.7568883278</v>
      </c>
      <c r="H462" s="27">
        <v>10698.981079317688</v>
      </c>
      <c r="I462" s="27">
        <v>13989.814812672514</v>
      </c>
      <c r="J462" s="27">
        <v>23163.963311795815</v>
      </c>
      <c r="K462" s="27">
        <v>45317.284265373266</v>
      </c>
      <c r="L462" s="27">
        <v>118370.10251547501</v>
      </c>
      <c r="M462" s="27">
        <v>234940.16918124346</v>
      </c>
    </row>
    <row r="463" spans="1:13" x14ac:dyDescent="0.75">
      <c r="A463" s="40">
        <v>461</v>
      </c>
      <c r="B463" s="27">
        <v>502.40554896029062</v>
      </c>
      <c r="C463" s="27">
        <v>989.2189722442854</v>
      </c>
      <c r="D463" s="27">
        <v>1828.6106611525902</v>
      </c>
      <c r="E463" s="27">
        <v>2811.0948876025213</v>
      </c>
      <c r="F463" s="27">
        <v>4441.1511780807632</v>
      </c>
      <c r="G463" s="27">
        <v>6499.4774618179363</v>
      </c>
      <c r="H463" s="27">
        <v>9434.5276036988216</v>
      </c>
      <c r="I463" s="27">
        <v>13854.268999252032</v>
      </c>
      <c r="J463" s="27">
        <v>22713.813115183526</v>
      </c>
      <c r="K463" s="27">
        <v>47367.479890219329</v>
      </c>
      <c r="L463" s="27">
        <v>117952.37589472337</v>
      </c>
      <c r="M463" s="27">
        <v>228394.42421293547</v>
      </c>
    </row>
    <row r="464" spans="1:13" x14ac:dyDescent="0.75">
      <c r="A464" s="40">
        <v>462</v>
      </c>
      <c r="B464" s="27">
        <v>795.99063870041573</v>
      </c>
      <c r="C464" s="27">
        <v>1455.7903247303038</v>
      </c>
      <c r="D464" s="27">
        <v>2396.1291694003448</v>
      </c>
      <c r="E464" s="27">
        <v>3459.8305643462081</v>
      </c>
      <c r="F464" s="27">
        <v>5664.6294613845093</v>
      </c>
      <c r="G464" s="27">
        <v>8053.1118516660645</v>
      </c>
      <c r="H464" s="27">
        <v>10653.336448647286</v>
      </c>
      <c r="I464" s="27">
        <v>13800.92176026864</v>
      </c>
      <c r="J464" s="27">
        <v>22973.260048785858</v>
      </c>
      <c r="K464" s="27">
        <v>46037.537543762359</v>
      </c>
      <c r="L464" s="27">
        <v>109398.95269572691</v>
      </c>
      <c r="M464" s="27">
        <v>224689.4905074189</v>
      </c>
    </row>
    <row r="465" spans="1:13" x14ac:dyDescent="0.75">
      <c r="A465" s="40">
        <v>463</v>
      </c>
      <c r="B465" s="27">
        <v>742.01655468804529</v>
      </c>
      <c r="C465" s="27">
        <v>981.27365309238667</v>
      </c>
      <c r="D465" s="27">
        <v>1652.931547397573</v>
      </c>
      <c r="E465" s="27">
        <v>2609.0129939094477</v>
      </c>
      <c r="F465" s="27">
        <v>4428.7224173541181</v>
      </c>
      <c r="G465" s="27">
        <v>6973.3686650937016</v>
      </c>
      <c r="H465" s="27">
        <v>10370.671843318094</v>
      </c>
      <c r="I465" s="27">
        <v>14967.06146437928</v>
      </c>
      <c r="J465" s="27">
        <v>23163.643162676351</v>
      </c>
      <c r="K465" s="27">
        <v>45483.661175099871</v>
      </c>
      <c r="L465" s="27">
        <v>109775.70822463321</v>
      </c>
      <c r="M465" s="27">
        <v>221148.07170164207</v>
      </c>
    </row>
    <row r="466" spans="1:13" x14ac:dyDescent="0.75">
      <c r="A466" s="40">
        <v>464</v>
      </c>
      <c r="B466" s="27">
        <v>800.97396139202465</v>
      </c>
      <c r="C466" s="27">
        <v>1307.7563665438211</v>
      </c>
      <c r="D466" s="27">
        <v>2212.9346297498851</v>
      </c>
      <c r="E466" s="27">
        <v>3151.8641291608656</v>
      </c>
      <c r="F466" s="27">
        <v>4893.4416091144667</v>
      </c>
      <c r="G466" s="27">
        <v>6808.2732995907136</v>
      </c>
      <c r="H466" s="27">
        <v>9512.3142589507188</v>
      </c>
      <c r="I466" s="27">
        <v>14185.361720413086</v>
      </c>
      <c r="J466" s="27">
        <v>22637.512876149325</v>
      </c>
      <c r="K466" s="27">
        <v>45451.809767487634</v>
      </c>
      <c r="L466" s="27">
        <v>101920.23341140209</v>
      </c>
      <c r="M466" s="27">
        <v>212882.47602995462</v>
      </c>
    </row>
    <row r="467" spans="1:13" x14ac:dyDescent="0.75">
      <c r="A467" s="40">
        <v>465</v>
      </c>
      <c r="B467" s="27">
        <v>719.83111687116616</v>
      </c>
      <c r="C467" s="27">
        <v>1164.3260042984184</v>
      </c>
      <c r="D467" s="27">
        <v>2132.7823225266766</v>
      </c>
      <c r="E467" s="27">
        <v>3317.346993427258</v>
      </c>
      <c r="F467" s="27">
        <v>5132.0136526850692</v>
      </c>
      <c r="G467" s="27">
        <v>7331.76813533518</v>
      </c>
      <c r="H467" s="27">
        <v>9724.0223666746169</v>
      </c>
      <c r="I467" s="27">
        <v>13632.58380149299</v>
      </c>
      <c r="J467" s="27">
        <v>23155.063512955283</v>
      </c>
      <c r="K467" s="27">
        <v>44892.515650762594</v>
      </c>
      <c r="L467" s="27">
        <v>110341.06825839959</v>
      </c>
      <c r="M467" s="27">
        <v>221543.32181542885</v>
      </c>
    </row>
    <row r="468" spans="1:13" x14ac:dyDescent="0.75">
      <c r="A468" s="40">
        <v>466</v>
      </c>
      <c r="B468" s="27">
        <v>754.58109706432151</v>
      </c>
      <c r="C468" s="27">
        <v>1059.9679558440985</v>
      </c>
      <c r="D468" s="27">
        <v>2218.6766891384323</v>
      </c>
      <c r="E468" s="27">
        <v>3316.8043411394028</v>
      </c>
      <c r="F468" s="27">
        <v>4880.6019117692049</v>
      </c>
      <c r="G468" s="27">
        <v>7423.8792829597078</v>
      </c>
      <c r="H468" s="27">
        <v>9806.5437257649901</v>
      </c>
      <c r="I468" s="27">
        <v>15022.427967527241</v>
      </c>
      <c r="J468" s="27">
        <v>23094.490588132234</v>
      </c>
      <c r="K468" s="27">
        <v>47239.882459654415</v>
      </c>
      <c r="L468" s="27">
        <v>105588.55138398829</v>
      </c>
      <c r="M468" s="27">
        <v>220406.40740298235</v>
      </c>
    </row>
    <row r="469" spans="1:13" x14ac:dyDescent="0.75">
      <c r="A469" s="40">
        <v>467</v>
      </c>
      <c r="B469" s="27">
        <v>1004.6809660476283</v>
      </c>
      <c r="C469" s="27">
        <v>1342.4504730714834</v>
      </c>
      <c r="D469" s="27">
        <v>2177.7448423931637</v>
      </c>
      <c r="E469" s="27">
        <v>3192.7489068567666</v>
      </c>
      <c r="F469" s="27">
        <v>5016.6713279102696</v>
      </c>
      <c r="G469" s="27">
        <v>7492.8343934353616</v>
      </c>
      <c r="H469" s="27">
        <v>10571.892150029264</v>
      </c>
      <c r="I469" s="27">
        <v>15723.493309428537</v>
      </c>
      <c r="J469" s="27">
        <v>23778.533268085535</v>
      </c>
      <c r="K469" s="27">
        <v>46709.288139726734</v>
      </c>
      <c r="L469" s="27">
        <v>116743.01483936206</v>
      </c>
      <c r="M469" s="27">
        <v>233753.35261634679</v>
      </c>
    </row>
    <row r="470" spans="1:13" x14ac:dyDescent="0.75">
      <c r="A470" s="40">
        <v>468</v>
      </c>
      <c r="B470" s="27">
        <v>532.36220144139952</v>
      </c>
      <c r="C470" s="27">
        <v>1055.6669204137725</v>
      </c>
      <c r="D470" s="27">
        <v>2084.9782481292059</v>
      </c>
      <c r="E470" s="27">
        <v>3067.4880859775003</v>
      </c>
      <c r="F470" s="27">
        <v>4940.2707353515434</v>
      </c>
      <c r="G470" s="27">
        <v>6538.3015792204533</v>
      </c>
      <c r="H470" s="27">
        <v>9655.2040265487012</v>
      </c>
      <c r="I470" s="27">
        <v>12850.978930611323</v>
      </c>
      <c r="J470" s="27">
        <v>22874.328736755342</v>
      </c>
      <c r="K470" s="27">
        <v>44342.962177463021</v>
      </c>
      <c r="L470" s="27">
        <v>115670.07242755206</v>
      </c>
      <c r="M470" s="27">
        <v>223612.61406946433</v>
      </c>
    </row>
    <row r="471" spans="1:13" x14ac:dyDescent="0.75">
      <c r="A471" s="40">
        <v>469</v>
      </c>
      <c r="B471" s="27">
        <v>1211.9708949649066</v>
      </c>
      <c r="C471" s="27">
        <v>1611.5347675452067</v>
      </c>
      <c r="D471" s="27">
        <v>2393.770210448638</v>
      </c>
      <c r="E471" s="27">
        <v>3562.1784201889532</v>
      </c>
      <c r="F471" s="27">
        <v>5606.2717838542594</v>
      </c>
      <c r="G471" s="27">
        <v>7907.3186478238495</v>
      </c>
      <c r="H471" s="27">
        <v>10583.777994223681</v>
      </c>
      <c r="I471" s="27">
        <v>15360.127138884782</v>
      </c>
      <c r="J471" s="27">
        <v>23670.077025057079</v>
      </c>
      <c r="K471" s="27">
        <v>45195.931655638793</v>
      </c>
      <c r="L471" s="27">
        <v>120412.01958655205</v>
      </c>
      <c r="M471" s="27">
        <v>237514.97812518221</v>
      </c>
    </row>
    <row r="472" spans="1:13" x14ac:dyDescent="0.75">
      <c r="A472" s="40">
        <v>470</v>
      </c>
      <c r="B472" s="27">
        <v>421.18719140195753</v>
      </c>
      <c r="C472" s="27">
        <v>1032.3800000910414</v>
      </c>
      <c r="D472" s="27">
        <v>1863.0080159839126</v>
      </c>
      <c r="E472" s="27">
        <v>3041.233451831431</v>
      </c>
      <c r="F472" s="27">
        <v>4690.015861433305</v>
      </c>
      <c r="G472" s="27">
        <v>7086.1895654792606</v>
      </c>
      <c r="H472" s="27">
        <v>9375.9037700537592</v>
      </c>
      <c r="I472" s="27">
        <v>14432.076689367139</v>
      </c>
      <c r="J472" s="27">
        <v>22875.656659783766</v>
      </c>
      <c r="K472" s="27">
        <v>44373.465225046952</v>
      </c>
      <c r="L472" s="27">
        <v>108231.49085376752</v>
      </c>
      <c r="M472" s="27">
        <v>217422.60728424005</v>
      </c>
    </row>
    <row r="473" spans="1:13" x14ac:dyDescent="0.75">
      <c r="A473" s="40">
        <v>471</v>
      </c>
      <c r="B473" s="27">
        <v>781.41215744001966</v>
      </c>
      <c r="C473" s="27">
        <v>1299.8527254595683</v>
      </c>
      <c r="D473" s="27">
        <v>2331.1446809556946</v>
      </c>
      <c r="E473" s="27">
        <v>3680.117700721763</v>
      </c>
      <c r="F473" s="27">
        <v>5473.8720859033638</v>
      </c>
      <c r="G473" s="27">
        <v>8011.2110991913069</v>
      </c>
      <c r="H473" s="27">
        <v>10506.270214144519</v>
      </c>
      <c r="I473" s="27">
        <v>14090.612661500913</v>
      </c>
      <c r="J473" s="27">
        <v>23536.880553328199</v>
      </c>
      <c r="K473" s="27">
        <v>44082.896374130971</v>
      </c>
      <c r="L473" s="27">
        <v>103202.15505015633</v>
      </c>
      <c r="M473" s="27">
        <v>216996.42530293265</v>
      </c>
    </row>
    <row r="474" spans="1:13" x14ac:dyDescent="0.75">
      <c r="A474" s="40">
        <v>472</v>
      </c>
      <c r="B474" s="27">
        <v>919.03355868985818</v>
      </c>
      <c r="C474" s="27">
        <v>1360.1602895702817</v>
      </c>
      <c r="D474" s="27">
        <v>2275.9271927319642</v>
      </c>
      <c r="E474" s="27">
        <v>3417.7717963243194</v>
      </c>
      <c r="F474" s="27">
        <v>5867.3111616071837</v>
      </c>
      <c r="G474" s="27">
        <v>8294.5859034016612</v>
      </c>
      <c r="H474" s="27">
        <v>10236.99599261026</v>
      </c>
      <c r="I474" s="27">
        <v>15059.039858103308</v>
      </c>
      <c r="J474" s="27">
        <v>24671.471059356976</v>
      </c>
      <c r="K474" s="27">
        <v>46522.352384495403</v>
      </c>
      <c r="L474" s="27">
        <v>123002.45756899149</v>
      </c>
      <c r="M474" s="27">
        <v>241627.10676588269</v>
      </c>
    </row>
    <row r="475" spans="1:13" x14ac:dyDescent="0.75">
      <c r="A475" s="40">
        <v>473</v>
      </c>
      <c r="B475" s="27">
        <v>1060.4895389670564</v>
      </c>
      <c r="C475" s="27">
        <v>1692.7105938844179</v>
      </c>
      <c r="D475" s="27">
        <v>2539.1404359458538</v>
      </c>
      <c r="E475" s="27">
        <v>4013.8223354394577</v>
      </c>
      <c r="F475" s="27">
        <v>5922.8228645024064</v>
      </c>
      <c r="G475" s="27">
        <v>8389.7030706905352</v>
      </c>
      <c r="H475" s="27">
        <v>11272.74100605979</v>
      </c>
      <c r="I475" s="27">
        <v>15737.217226131324</v>
      </c>
      <c r="J475" s="27">
        <v>23207.768082078372</v>
      </c>
      <c r="K475" s="27">
        <v>49043.966330426221</v>
      </c>
      <c r="L475" s="27">
        <v>105588.11641643211</v>
      </c>
      <c r="M475" s="27">
        <v>228468.49790055753</v>
      </c>
    </row>
    <row r="476" spans="1:13" x14ac:dyDescent="0.75">
      <c r="A476" s="40">
        <v>474</v>
      </c>
      <c r="B476" s="27">
        <v>849.46436554507818</v>
      </c>
      <c r="C476" s="27">
        <v>1303.5778302048857</v>
      </c>
      <c r="D476" s="27">
        <v>2317.8572749989544</v>
      </c>
      <c r="E476" s="27">
        <v>3440.1850272340234</v>
      </c>
      <c r="F476" s="27">
        <v>5113.6507070399675</v>
      </c>
      <c r="G476" s="27">
        <v>8108.1518417886982</v>
      </c>
      <c r="H476" s="27">
        <v>10669.532250109201</v>
      </c>
      <c r="I476" s="27">
        <v>14574.791582229038</v>
      </c>
      <c r="J476" s="27">
        <v>21822.23073655559</v>
      </c>
      <c r="K476" s="27">
        <v>47296.972487534586</v>
      </c>
      <c r="L476" s="27">
        <v>113733.37156921305</v>
      </c>
      <c r="M476" s="27">
        <v>229229.78567245306</v>
      </c>
    </row>
    <row r="477" spans="1:13" x14ac:dyDescent="0.75">
      <c r="A477" s="40">
        <v>475</v>
      </c>
      <c r="B477" s="27">
        <v>747.98651411004539</v>
      </c>
      <c r="C477" s="27">
        <v>1162.8660574611713</v>
      </c>
      <c r="D477" s="27">
        <v>2110.2765360836202</v>
      </c>
      <c r="E477" s="27">
        <v>3022.9752481434989</v>
      </c>
      <c r="F477" s="27">
        <v>4737.8274119746638</v>
      </c>
      <c r="G477" s="27">
        <v>6953.5609577109863</v>
      </c>
      <c r="H477" s="27">
        <v>9489.8160834795272</v>
      </c>
      <c r="I477" s="27">
        <v>13761.401301484875</v>
      </c>
      <c r="J477" s="27">
        <v>22795.735905083828</v>
      </c>
      <c r="K477" s="27">
        <v>44921.911008686424</v>
      </c>
      <c r="L477" s="27">
        <v>105475.36170071484</v>
      </c>
      <c r="M477" s="27">
        <v>215179.71872493348</v>
      </c>
    </row>
    <row r="478" spans="1:13" x14ac:dyDescent="0.75">
      <c r="A478" s="40">
        <v>476</v>
      </c>
      <c r="B478" s="27">
        <v>808.48908265272621</v>
      </c>
      <c r="C478" s="27">
        <v>1196.3664947467623</v>
      </c>
      <c r="D478" s="27">
        <v>1937.6949355489924</v>
      </c>
      <c r="E478" s="27">
        <v>3065.9319103011076</v>
      </c>
      <c r="F478" s="27">
        <v>5015.6875363646832</v>
      </c>
      <c r="G478" s="27">
        <v>7533.9813298134832</v>
      </c>
      <c r="H478" s="27">
        <v>9909.9653962414304</v>
      </c>
      <c r="I478" s="27">
        <v>14219.312354030233</v>
      </c>
      <c r="J478" s="27">
        <v>23203.290306500072</v>
      </c>
      <c r="K478" s="27">
        <v>49153.960599548765</v>
      </c>
      <c r="L478" s="27">
        <v>113790.2980680826</v>
      </c>
      <c r="M478" s="27">
        <v>229834.97801383084</v>
      </c>
    </row>
    <row r="479" spans="1:13" x14ac:dyDescent="0.75">
      <c r="A479" s="40">
        <v>477</v>
      </c>
      <c r="B479" s="27">
        <v>1203.1983969599969</v>
      </c>
      <c r="C479" s="27">
        <v>1928.8344141825655</v>
      </c>
      <c r="D479" s="27">
        <v>3139.1838229411806</v>
      </c>
      <c r="E479" s="27">
        <v>4474.3537291892862</v>
      </c>
      <c r="F479" s="27">
        <v>6578.9740320661949</v>
      </c>
      <c r="G479" s="27">
        <v>9145.2029299897549</v>
      </c>
      <c r="H479" s="27">
        <v>11132.362298956781</v>
      </c>
      <c r="I479" s="27">
        <v>15425.355015897585</v>
      </c>
      <c r="J479" s="27">
        <v>23206.003714466744</v>
      </c>
      <c r="K479" s="27">
        <v>46659.808959858987</v>
      </c>
      <c r="L479" s="27">
        <v>115870.05387009654</v>
      </c>
      <c r="M479" s="27">
        <v>238763.3311846056</v>
      </c>
    </row>
    <row r="480" spans="1:13" x14ac:dyDescent="0.75">
      <c r="A480" s="40">
        <v>478</v>
      </c>
      <c r="B480" s="27">
        <v>451.57605706091272</v>
      </c>
      <c r="C480" s="27">
        <v>937.20903411888867</v>
      </c>
      <c r="D480" s="27">
        <v>1459.4676583876717</v>
      </c>
      <c r="E480" s="27">
        <v>2176.8482767642272</v>
      </c>
      <c r="F480" s="27">
        <v>4009.0047129371233</v>
      </c>
      <c r="G480" s="27">
        <v>6265.1579114933556</v>
      </c>
      <c r="H480" s="27">
        <v>8576.1815410450654</v>
      </c>
      <c r="I480" s="27">
        <v>12890.092035675189</v>
      </c>
      <c r="J480" s="27">
        <v>22447.677955127481</v>
      </c>
      <c r="K480" s="27">
        <v>45287.189019074489</v>
      </c>
      <c r="L480" s="27">
        <v>106240.82081492661</v>
      </c>
      <c r="M480" s="27">
        <v>210741.22501661102</v>
      </c>
    </row>
    <row r="481" spans="1:13" x14ac:dyDescent="0.75">
      <c r="A481" s="40">
        <v>479</v>
      </c>
      <c r="B481" s="27">
        <v>527.13452901340497</v>
      </c>
      <c r="C481" s="27">
        <v>824.75138102591154</v>
      </c>
      <c r="D481" s="27">
        <v>1489.5147735924547</v>
      </c>
      <c r="E481" s="27">
        <v>2616.6774685380951</v>
      </c>
      <c r="F481" s="27">
        <v>5011.7956220560882</v>
      </c>
      <c r="G481" s="27">
        <v>6881.8270913118613</v>
      </c>
      <c r="H481" s="27">
        <v>9705.4106324696477</v>
      </c>
      <c r="I481" s="27">
        <v>14298.955503127916</v>
      </c>
      <c r="J481" s="27">
        <v>23149.233923067048</v>
      </c>
      <c r="K481" s="27">
        <v>46986.808102408948</v>
      </c>
      <c r="L481" s="27">
        <v>108651.18307751227</v>
      </c>
      <c r="M481" s="27">
        <v>220143.29210412363</v>
      </c>
    </row>
    <row r="482" spans="1:13" x14ac:dyDescent="0.75">
      <c r="A482" s="40">
        <v>480</v>
      </c>
      <c r="B482" s="27">
        <v>860.91238665545825</v>
      </c>
      <c r="C482" s="27">
        <v>1175.4912266798638</v>
      </c>
      <c r="D482" s="27">
        <v>2121.9946582012781</v>
      </c>
      <c r="E482" s="27">
        <v>3271.2758421392064</v>
      </c>
      <c r="F482" s="27">
        <v>4710.5704910803179</v>
      </c>
      <c r="G482" s="27">
        <v>7555.4605238534277</v>
      </c>
      <c r="H482" s="27">
        <v>10024.235289255623</v>
      </c>
      <c r="I482" s="27">
        <v>13959.364409791</v>
      </c>
      <c r="J482" s="27">
        <v>22627.721074587258</v>
      </c>
      <c r="K482" s="27">
        <v>46766.271315200051</v>
      </c>
      <c r="L482" s="27">
        <v>104831.3760791552</v>
      </c>
      <c r="M482" s="27">
        <v>217904.67329659869</v>
      </c>
    </row>
    <row r="483" spans="1:13" x14ac:dyDescent="0.75">
      <c r="A483" s="40">
        <v>481</v>
      </c>
      <c r="B483" s="27">
        <v>1162.8648712446593</v>
      </c>
      <c r="C483" s="27">
        <v>1910.5709385881928</v>
      </c>
      <c r="D483" s="27">
        <v>2501.943789613535</v>
      </c>
      <c r="E483" s="27">
        <v>3804.1734806269524</v>
      </c>
      <c r="F483" s="27">
        <v>5368.6884583465289</v>
      </c>
      <c r="G483" s="27">
        <v>7593.1894032744458</v>
      </c>
      <c r="H483" s="27">
        <v>10717.908333370491</v>
      </c>
      <c r="I483" s="27">
        <v>14760.544573930223</v>
      </c>
      <c r="J483" s="27">
        <v>24695.482802884857</v>
      </c>
      <c r="K483" s="27">
        <v>47459.999336761321</v>
      </c>
      <c r="L483" s="27">
        <v>118445.94069208913</v>
      </c>
      <c r="M483" s="27">
        <v>238421.30668073034</v>
      </c>
    </row>
    <row r="484" spans="1:13" x14ac:dyDescent="0.75">
      <c r="A484" s="40">
        <v>482</v>
      </c>
      <c r="B484" s="27">
        <v>1246.4444156810496</v>
      </c>
      <c r="C484" s="27">
        <v>1854.2014166168665</v>
      </c>
      <c r="D484" s="27">
        <v>2608.9073769228708</v>
      </c>
      <c r="E484" s="27">
        <v>3858.9396295341721</v>
      </c>
      <c r="F484" s="27">
        <v>6020.2540040069143</v>
      </c>
      <c r="G484" s="27">
        <v>8296.539748575422</v>
      </c>
      <c r="H484" s="27">
        <v>10584.937461821668</v>
      </c>
      <c r="I484" s="27">
        <v>14581.583315895099</v>
      </c>
      <c r="J484" s="27">
        <v>22875.039076903078</v>
      </c>
      <c r="K484" s="27">
        <v>47613.862436488052</v>
      </c>
      <c r="L484" s="27">
        <v>105804.14718879928</v>
      </c>
      <c r="M484" s="27">
        <v>225344.85607124446</v>
      </c>
    </row>
    <row r="485" spans="1:13" x14ac:dyDescent="0.75">
      <c r="A485" s="40">
        <v>483</v>
      </c>
      <c r="B485" s="27">
        <v>732.84199591081415</v>
      </c>
      <c r="C485" s="27">
        <v>1555.4299354965042</v>
      </c>
      <c r="D485" s="27">
        <v>2417.4050607586832</v>
      </c>
      <c r="E485" s="27">
        <v>3655.497782908642</v>
      </c>
      <c r="F485" s="27">
        <v>5415.0475053174887</v>
      </c>
      <c r="G485" s="27">
        <v>7922.6982553041307</v>
      </c>
      <c r="H485" s="27">
        <v>10043.600024103507</v>
      </c>
      <c r="I485" s="27">
        <v>14423.913042885819</v>
      </c>
      <c r="J485" s="27">
        <v>21950.019795614702</v>
      </c>
      <c r="K485" s="27">
        <v>47166.193115675618</v>
      </c>
      <c r="L485" s="27">
        <v>107916.09793366086</v>
      </c>
      <c r="M485" s="27">
        <v>223198.74444763677</v>
      </c>
    </row>
    <row r="486" spans="1:13" x14ac:dyDescent="0.75">
      <c r="A486" s="40">
        <v>484</v>
      </c>
      <c r="B486" s="27">
        <v>800.0180003579444</v>
      </c>
      <c r="C486" s="27">
        <v>1523.1795249739953</v>
      </c>
      <c r="D486" s="27">
        <v>2256.3242833095137</v>
      </c>
      <c r="E486" s="27">
        <v>3450.7341258113884</v>
      </c>
      <c r="F486" s="27">
        <v>5447.9300118494721</v>
      </c>
      <c r="G486" s="27">
        <v>8004.3363830523158</v>
      </c>
      <c r="H486" s="27">
        <v>10678.429826552907</v>
      </c>
      <c r="I486" s="27">
        <v>15233.963453133678</v>
      </c>
      <c r="J486" s="27">
        <v>24154.48010221147</v>
      </c>
      <c r="K486" s="27">
        <v>45923.059431201342</v>
      </c>
      <c r="L486" s="27">
        <v>116941.56094541083</v>
      </c>
      <c r="M486" s="27">
        <v>234414.01608786487</v>
      </c>
    </row>
    <row r="487" spans="1:13" x14ac:dyDescent="0.75">
      <c r="A487" s="40">
        <v>485</v>
      </c>
      <c r="B487" s="27">
        <v>723.52751193006407</v>
      </c>
      <c r="C487" s="27">
        <v>1070.7309278823232</v>
      </c>
      <c r="D487" s="27">
        <v>1605.4269135198992</v>
      </c>
      <c r="E487" s="27">
        <v>2943.8679348941077</v>
      </c>
      <c r="F487" s="27">
        <v>4810.8404587182013</v>
      </c>
      <c r="G487" s="27">
        <v>7095.7224845912424</v>
      </c>
      <c r="H487" s="27">
        <v>10299.718203553959</v>
      </c>
      <c r="I487" s="27">
        <v>13766.501519975616</v>
      </c>
      <c r="J487" s="27">
        <v>23802.080585909862</v>
      </c>
      <c r="K487" s="27">
        <v>46235.869403171557</v>
      </c>
      <c r="L487" s="27">
        <v>114711.67340216502</v>
      </c>
      <c r="M487" s="27">
        <v>227065.95934631187</v>
      </c>
    </row>
    <row r="488" spans="1:13" x14ac:dyDescent="0.75">
      <c r="A488" s="40">
        <v>486</v>
      </c>
      <c r="B488" s="27">
        <v>794.73985360427469</v>
      </c>
      <c r="C488" s="27">
        <v>1381.0545118730079</v>
      </c>
      <c r="D488" s="27">
        <v>2149.8523672534502</v>
      </c>
      <c r="E488" s="27">
        <v>3229.990848369911</v>
      </c>
      <c r="F488" s="27">
        <v>4959.687771066383</v>
      </c>
      <c r="G488" s="27">
        <v>7481.4463723024528</v>
      </c>
      <c r="H488" s="27">
        <v>10466.815577869798</v>
      </c>
      <c r="I488" s="27">
        <v>13953.260243034194</v>
      </c>
      <c r="J488" s="27">
        <v>22538.388183888252</v>
      </c>
      <c r="K488" s="27">
        <v>48052.354564808134</v>
      </c>
      <c r="L488" s="27">
        <v>110166.27220020877</v>
      </c>
      <c r="M488" s="27">
        <v>225173.86249427864</v>
      </c>
    </row>
    <row r="489" spans="1:13" x14ac:dyDescent="0.75">
      <c r="A489" s="40">
        <v>487</v>
      </c>
      <c r="B489" s="27">
        <v>1011.7769178833842</v>
      </c>
      <c r="C489" s="27">
        <v>1511.2866051055171</v>
      </c>
      <c r="D489" s="27">
        <v>2534.0213229847723</v>
      </c>
      <c r="E489" s="27">
        <v>3535.7585344773834</v>
      </c>
      <c r="F489" s="27">
        <v>5244.3771674589225</v>
      </c>
      <c r="G489" s="27">
        <v>7669.6237533511594</v>
      </c>
      <c r="H489" s="27">
        <v>10501.636233014084</v>
      </c>
      <c r="I489" s="27">
        <v>15136.22901952223</v>
      </c>
      <c r="J489" s="27">
        <v>22987.044077295272</v>
      </c>
      <c r="K489" s="27">
        <v>46060.300736025369</v>
      </c>
      <c r="L489" s="27">
        <v>121343.45453945285</v>
      </c>
      <c r="M489" s="27">
        <v>237535.50890657096</v>
      </c>
    </row>
    <row r="490" spans="1:13" x14ac:dyDescent="0.75">
      <c r="A490" s="40">
        <v>488</v>
      </c>
      <c r="B490" s="27">
        <v>847.17530654517759</v>
      </c>
      <c r="C490" s="27">
        <v>1256.2666052511922</v>
      </c>
      <c r="D490" s="27">
        <v>2113.8147171343153</v>
      </c>
      <c r="E490" s="27">
        <v>3442.6189995836321</v>
      </c>
      <c r="F490" s="27">
        <v>5721.7883090413234</v>
      </c>
      <c r="G490" s="27">
        <v>7879.1163359564671</v>
      </c>
      <c r="H490" s="27">
        <v>10257.96388376347</v>
      </c>
      <c r="I490" s="27">
        <v>15200.754572818056</v>
      </c>
      <c r="J490" s="27">
        <v>23035.678857720719</v>
      </c>
      <c r="K490" s="27">
        <v>47927.821917197231</v>
      </c>
      <c r="L490" s="27">
        <v>116842.77553518357</v>
      </c>
      <c r="M490" s="27">
        <v>234525.77504019515</v>
      </c>
    </row>
    <row r="491" spans="1:13" x14ac:dyDescent="0.75">
      <c r="A491" s="40">
        <v>489</v>
      </c>
      <c r="B491" s="27">
        <v>944.44974888667639</v>
      </c>
      <c r="C491" s="27">
        <v>1410.6984019825904</v>
      </c>
      <c r="D491" s="27">
        <v>2344.3568092217029</v>
      </c>
      <c r="E491" s="27">
        <v>3521.5774784021341</v>
      </c>
      <c r="F491" s="27">
        <v>5237.0323797381716</v>
      </c>
      <c r="G491" s="27">
        <v>7420.7675933747669</v>
      </c>
      <c r="H491" s="27">
        <v>9801.5658384245762</v>
      </c>
      <c r="I491" s="27">
        <v>13813.948736923689</v>
      </c>
      <c r="J491" s="27">
        <v>21483.027067067727</v>
      </c>
      <c r="K491" s="27">
        <v>45675.719803845568</v>
      </c>
      <c r="L491" s="27">
        <v>113742.40833275534</v>
      </c>
      <c r="M491" s="27">
        <v>225395.55219062296</v>
      </c>
    </row>
    <row r="492" spans="1:13" x14ac:dyDescent="0.75">
      <c r="A492" s="40">
        <v>490</v>
      </c>
      <c r="B492" s="27">
        <v>1294.8282550826843</v>
      </c>
      <c r="C492" s="27">
        <v>1706.847416238088</v>
      </c>
      <c r="D492" s="27">
        <v>2873.6328200018033</v>
      </c>
      <c r="E492" s="27">
        <v>3738.1353346567921</v>
      </c>
      <c r="F492" s="27">
        <v>5771.7248787895078</v>
      </c>
      <c r="G492" s="27">
        <v>7703.1271323474648</v>
      </c>
      <c r="H492" s="27">
        <v>10604.331149528647</v>
      </c>
      <c r="I492" s="27">
        <v>14073.732683161317</v>
      </c>
      <c r="J492" s="27">
        <v>23477.76050834074</v>
      </c>
      <c r="K492" s="27">
        <v>45326.989919330837</v>
      </c>
      <c r="L492" s="27">
        <v>108619.64584185407</v>
      </c>
      <c r="M492" s="27">
        <v>225190.75593933195</v>
      </c>
    </row>
    <row r="493" spans="1:13" x14ac:dyDescent="0.75">
      <c r="A493" s="40">
        <v>491</v>
      </c>
      <c r="B493" s="27">
        <v>410.76860467650113</v>
      </c>
      <c r="C493" s="27">
        <v>950.82071758550592</v>
      </c>
      <c r="D493" s="27">
        <v>1838.1446046146011</v>
      </c>
      <c r="E493" s="27">
        <v>3139.8968356490659</v>
      </c>
      <c r="F493" s="27">
        <v>5073.8263891958486</v>
      </c>
      <c r="G493" s="27">
        <v>7560.4301680055214</v>
      </c>
      <c r="H493" s="27">
        <v>9570.6601578068075</v>
      </c>
      <c r="I493" s="27">
        <v>13865.058718080778</v>
      </c>
      <c r="J493" s="27">
        <v>22648.742248256342</v>
      </c>
      <c r="K493" s="27">
        <v>46898.89715255177</v>
      </c>
      <c r="L493" s="27">
        <v>111899.76208489962</v>
      </c>
      <c r="M493" s="27">
        <v>223857.00768132234</v>
      </c>
    </row>
    <row r="494" spans="1:13" x14ac:dyDescent="0.75">
      <c r="A494" s="40">
        <v>492</v>
      </c>
      <c r="B494" s="27">
        <v>472.92540863573959</v>
      </c>
      <c r="C494" s="27">
        <v>969.71240833717457</v>
      </c>
      <c r="D494" s="27">
        <v>1966.2218066909263</v>
      </c>
      <c r="E494" s="27">
        <v>2722.7876568298816</v>
      </c>
      <c r="F494" s="27">
        <v>5044.4792055549915</v>
      </c>
      <c r="G494" s="27">
        <v>7212.2821874385991</v>
      </c>
      <c r="H494" s="27">
        <v>10324.277011732629</v>
      </c>
      <c r="I494" s="27">
        <v>14712.947896111829</v>
      </c>
      <c r="J494" s="27">
        <v>23147.539650221413</v>
      </c>
      <c r="K494" s="27">
        <v>46500.020328111306</v>
      </c>
      <c r="L494" s="27">
        <v>120826.04342097008</v>
      </c>
      <c r="M494" s="27">
        <v>233899.23698063457</v>
      </c>
    </row>
    <row r="495" spans="1:13" x14ac:dyDescent="0.75">
      <c r="A495" s="40">
        <v>493</v>
      </c>
      <c r="B495" s="27">
        <v>694.96349578567606</v>
      </c>
      <c r="C495" s="27">
        <v>1153.5214050823997</v>
      </c>
      <c r="D495" s="27">
        <v>1852.3101168337889</v>
      </c>
      <c r="E495" s="27">
        <v>3285.8797658997937</v>
      </c>
      <c r="F495" s="27">
        <v>5435.4304334865592</v>
      </c>
      <c r="G495" s="27">
        <v>7867.58159039577</v>
      </c>
      <c r="H495" s="27">
        <v>10661.167792671564</v>
      </c>
      <c r="I495" s="27">
        <v>14125.671374218233</v>
      </c>
      <c r="J495" s="27">
        <v>23436.573861064433</v>
      </c>
      <c r="K495" s="27">
        <v>48506.310130959231</v>
      </c>
      <c r="L495" s="27">
        <v>109413.32944370534</v>
      </c>
      <c r="M495" s="27">
        <v>226432.73941010277</v>
      </c>
    </row>
    <row r="496" spans="1:13" x14ac:dyDescent="0.75">
      <c r="A496" s="40">
        <v>494</v>
      </c>
      <c r="B496" s="27">
        <v>992.25228735790006</v>
      </c>
      <c r="C496" s="27">
        <v>1656.6995620128291</v>
      </c>
      <c r="D496" s="27">
        <v>2413.4565425036271</v>
      </c>
      <c r="E496" s="27">
        <v>3643.9419725212938</v>
      </c>
      <c r="F496" s="27">
        <v>5436.1400810859632</v>
      </c>
      <c r="G496" s="27">
        <v>7645.5465065010067</v>
      </c>
      <c r="H496" s="27">
        <v>10827.736223075277</v>
      </c>
      <c r="I496" s="27">
        <v>14596.930218718509</v>
      </c>
      <c r="J496" s="27">
        <v>23897.801544505288</v>
      </c>
      <c r="K496" s="27">
        <v>45801.212711858272</v>
      </c>
      <c r="L496" s="27">
        <v>116554.18360668703</v>
      </c>
      <c r="M496" s="27">
        <v>233465.901256827</v>
      </c>
    </row>
    <row r="497" spans="1:13" x14ac:dyDescent="0.75">
      <c r="A497" s="40">
        <v>495</v>
      </c>
      <c r="B497" s="27">
        <v>760.10289880773053</v>
      </c>
      <c r="C497" s="27">
        <v>1709.4973671664775</v>
      </c>
      <c r="D497" s="27">
        <v>2192.0977711353626</v>
      </c>
      <c r="E497" s="27">
        <v>3413.6608853775251</v>
      </c>
      <c r="F497" s="27">
        <v>5480.0138643253886</v>
      </c>
      <c r="G497" s="27">
        <v>7742.7145070669067</v>
      </c>
      <c r="H497" s="27">
        <v>10268.158937446133</v>
      </c>
      <c r="I497" s="27">
        <v>14165.614599039734</v>
      </c>
      <c r="J497" s="27">
        <v>22776.968649752816</v>
      </c>
      <c r="K497" s="27">
        <v>49332.557234524313</v>
      </c>
      <c r="L497" s="27">
        <v>111007.6679923943</v>
      </c>
      <c r="M497" s="27">
        <v>228849.0547070367</v>
      </c>
    </row>
    <row r="498" spans="1:13" x14ac:dyDescent="0.75">
      <c r="A498" s="40">
        <v>496</v>
      </c>
      <c r="B498" s="27">
        <v>1056.8732182635868</v>
      </c>
      <c r="C498" s="27">
        <v>1498.1971128924197</v>
      </c>
      <c r="D498" s="27">
        <v>2520.8481743535667</v>
      </c>
      <c r="E498" s="27">
        <v>3426.5780940159748</v>
      </c>
      <c r="F498" s="27">
        <v>5860.4067309036618</v>
      </c>
      <c r="G498" s="27">
        <v>8230.4072240146925</v>
      </c>
      <c r="H498" s="27">
        <v>10977.929852011541</v>
      </c>
      <c r="I498" s="27">
        <v>15546.468258767971</v>
      </c>
      <c r="J498" s="27">
        <v>24733.588026919984</v>
      </c>
      <c r="K498" s="27">
        <v>45892.691761643306</v>
      </c>
      <c r="L498" s="27">
        <v>121365.32509036543</v>
      </c>
      <c r="M498" s="27">
        <v>241109.31354415213</v>
      </c>
    </row>
    <row r="499" spans="1:13" x14ac:dyDescent="0.75">
      <c r="A499" s="40">
        <v>497</v>
      </c>
      <c r="B499" s="27">
        <v>1396.6389546976861</v>
      </c>
      <c r="C499" s="27">
        <v>2130.1485366355337</v>
      </c>
      <c r="D499" s="27">
        <v>3041.8607669905323</v>
      </c>
      <c r="E499" s="27">
        <v>4261.8063237897732</v>
      </c>
      <c r="F499" s="27">
        <v>6582.4269635665987</v>
      </c>
      <c r="G499" s="27">
        <v>8396.4232096282067</v>
      </c>
      <c r="H499" s="27">
        <v>10862.439214234866</v>
      </c>
      <c r="I499" s="27">
        <v>15249.471293169379</v>
      </c>
      <c r="J499" s="27">
        <v>23665.281170127942</v>
      </c>
      <c r="K499" s="27">
        <v>49535.457721274666</v>
      </c>
      <c r="L499" s="27">
        <v>116987.33539609353</v>
      </c>
      <c r="M499" s="27">
        <v>242109.28955020872</v>
      </c>
    </row>
    <row r="500" spans="1:13" x14ac:dyDescent="0.75">
      <c r="A500" s="40">
        <v>498</v>
      </c>
      <c r="B500" s="27">
        <v>788.44884092881694</v>
      </c>
      <c r="C500" s="27">
        <v>1175.0176279368898</v>
      </c>
      <c r="D500" s="27">
        <v>2019.00829647317</v>
      </c>
      <c r="E500" s="27">
        <v>3340.7084597213689</v>
      </c>
      <c r="F500" s="27">
        <v>5372.431936631765</v>
      </c>
      <c r="G500" s="27">
        <v>7333.1481123046833</v>
      </c>
      <c r="H500" s="27">
        <v>10515.943685870589</v>
      </c>
      <c r="I500" s="27">
        <v>13814.319724529967</v>
      </c>
      <c r="J500" s="27">
        <v>22893.278168582226</v>
      </c>
      <c r="K500" s="27">
        <v>45560.240419636481</v>
      </c>
      <c r="L500" s="27">
        <v>109393.08959061964</v>
      </c>
      <c r="M500" s="27">
        <v>222205.63486323558</v>
      </c>
    </row>
    <row r="501" spans="1:13" x14ac:dyDescent="0.75">
      <c r="A501" s="40">
        <v>499</v>
      </c>
      <c r="B501" s="27">
        <v>866.14844901351898</v>
      </c>
      <c r="C501" s="27">
        <v>1419.6193731639069</v>
      </c>
      <c r="D501" s="27">
        <v>2067.736364996832</v>
      </c>
      <c r="E501" s="27">
        <v>3222.3415013335325</v>
      </c>
      <c r="F501" s="27">
        <v>5400.3342916568799</v>
      </c>
      <c r="G501" s="27">
        <v>7651.0444619490299</v>
      </c>
      <c r="H501" s="27">
        <v>10452.253570023953</v>
      </c>
      <c r="I501" s="27">
        <v>13889.726016905406</v>
      </c>
      <c r="J501" s="27">
        <v>23658.348897542732</v>
      </c>
      <c r="K501" s="27">
        <v>47187.515528874181</v>
      </c>
      <c r="L501" s="27">
        <v>111221.2326512014</v>
      </c>
      <c r="M501" s="27">
        <v>227036.30110666138</v>
      </c>
    </row>
    <row r="502" spans="1:13" x14ac:dyDescent="0.75">
      <c r="A502" s="40">
        <v>500</v>
      </c>
      <c r="B502" s="27">
        <v>607.63894024828915</v>
      </c>
      <c r="C502" s="27">
        <v>1013.7728956019419</v>
      </c>
      <c r="D502" s="27">
        <v>1591.7329281645652</v>
      </c>
      <c r="E502" s="27">
        <v>2643.3169259280839</v>
      </c>
      <c r="F502" s="27">
        <v>4558.187189751101</v>
      </c>
      <c r="G502" s="27">
        <v>6639.3358512388368</v>
      </c>
      <c r="H502" s="27">
        <v>10003.037953207619</v>
      </c>
      <c r="I502" s="27">
        <v>13606.745453976764</v>
      </c>
      <c r="J502" s="27">
        <v>21947.169679250597</v>
      </c>
      <c r="K502" s="27">
        <v>46582.954842753825</v>
      </c>
      <c r="L502" s="27">
        <v>107018.12102031351</v>
      </c>
      <c r="M502" s="27">
        <v>216212.01368043514</v>
      </c>
    </row>
    <row r="503" spans="1:13" x14ac:dyDescent="0.75">
      <c r="A503" s="40">
        <v>501</v>
      </c>
      <c r="B503" s="27">
        <v>434.9167814875691</v>
      </c>
      <c r="C503" s="27">
        <v>955.74148761852121</v>
      </c>
      <c r="D503" s="27">
        <v>1976.7303415694187</v>
      </c>
      <c r="E503" s="27">
        <v>3019.6813038219843</v>
      </c>
      <c r="F503" s="27">
        <v>4999.9945428832143</v>
      </c>
      <c r="G503" s="27">
        <v>7382.1754619796411</v>
      </c>
      <c r="H503" s="27">
        <v>10024.076220432413</v>
      </c>
      <c r="I503" s="27">
        <v>13836.539996134627</v>
      </c>
      <c r="J503" s="27">
        <v>23566.961346851647</v>
      </c>
      <c r="K503" s="27">
        <v>48227.81048968801</v>
      </c>
      <c r="L503" s="27">
        <v>113837.12111045595</v>
      </c>
      <c r="M503" s="27">
        <v>228261.74908292299</v>
      </c>
    </row>
    <row r="504" spans="1:13" x14ac:dyDescent="0.75">
      <c r="A504" s="40">
        <v>502</v>
      </c>
      <c r="B504" s="27">
        <v>608.32565775408875</v>
      </c>
      <c r="C504" s="27">
        <v>1187.3866118614969</v>
      </c>
      <c r="D504" s="27">
        <v>2215.868637595413</v>
      </c>
      <c r="E504" s="27">
        <v>3344.0473792762059</v>
      </c>
      <c r="F504" s="27">
        <v>5573.4063079874031</v>
      </c>
      <c r="G504" s="27">
        <v>7980.7618485071289</v>
      </c>
      <c r="H504" s="27">
        <v>10698.293803598004</v>
      </c>
      <c r="I504" s="27">
        <v>14243.269086885193</v>
      </c>
      <c r="J504" s="27">
        <v>23625.157881491847</v>
      </c>
      <c r="K504" s="27">
        <v>45381.79272897722</v>
      </c>
      <c r="L504" s="27">
        <v>107161.93301817041</v>
      </c>
      <c r="M504" s="27">
        <v>222020.24296210441</v>
      </c>
    </row>
    <row r="505" spans="1:13" x14ac:dyDescent="0.75">
      <c r="A505" s="40">
        <v>503</v>
      </c>
      <c r="B505" s="27">
        <v>834.27634312727605</v>
      </c>
      <c r="C505" s="27">
        <v>1366.773586160838</v>
      </c>
      <c r="D505" s="27">
        <v>2541.6444991283788</v>
      </c>
      <c r="E505" s="27">
        <v>3680.1474698037055</v>
      </c>
      <c r="F505" s="27">
        <v>5397.1439333482704</v>
      </c>
      <c r="G505" s="27">
        <v>7277.5542143117636</v>
      </c>
      <c r="H505" s="27">
        <v>9798.478489318426</v>
      </c>
      <c r="I505" s="27">
        <v>14352.572066128079</v>
      </c>
      <c r="J505" s="27">
        <v>22919.846516656544</v>
      </c>
      <c r="K505" s="27">
        <v>46938.510112688848</v>
      </c>
      <c r="L505" s="27">
        <v>118083.93409309749</v>
      </c>
      <c r="M505" s="27">
        <v>233190.88132376963</v>
      </c>
    </row>
    <row r="506" spans="1:13" x14ac:dyDescent="0.75">
      <c r="A506" s="40">
        <v>504</v>
      </c>
      <c r="B506" s="27">
        <v>1047.0966140324308</v>
      </c>
      <c r="C506" s="27">
        <v>1706.5949755561305</v>
      </c>
      <c r="D506" s="27">
        <v>2771.6127003880683</v>
      </c>
      <c r="E506" s="27">
        <v>3850.906977902705</v>
      </c>
      <c r="F506" s="27">
        <v>5664.7055097832344</v>
      </c>
      <c r="G506" s="27">
        <v>7444.7810511805874</v>
      </c>
      <c r="H506" s="27">
        <v>11005.204050706496</v>
      </c>
      <c r="I506" s="27">
        <v>14631.442278973424</v>
      </c>
      <c r="J506" s="27">
        <v>22571.038201172923</v>
      </c>
      <c r="K506" s="27">
        <v>46966.884585592619</v>
      </c>
      <c r="L506" s="27">
        <v>107952.71689480632</v>
      </c>
      <c r="M506" s="27">
        <v>225612.98384009494</v>
      </c>
    </row>
    <row r="507" spans="1:13" x14ac:dyDescent="0.75">
      <c r="A507" s="40">
        <v>505</v>
      </c>
      <c r="B507" s="27">
        <v>1169.0909261227062</v>
      </c>
      <c r="C507" s="27">
        <v>1884.3000874161662</v>
      </c>
      <c r="D507" s="27">
        <v>2370.9665817025671</v>
      </c>
      <c r="E507" s="27">
        <v>3084.7797348556196</v>
      </c>
      <c r="F507" s="27">
        <v>5169.8655151360144</v>
      </c>
      <c r="G507" s="27">
        <v>7766.7713697895524</v>
      </c>
      <c r="H507" s="27">
        <v>10484.360581602668</v>
      </c>
      <c r="I507" s="27">
        <v>15215.934175955379</v>
      </c>
      <c r="J507" s="27">
        <v>23120.903721678565</v>
      </c>
      <c r="K507" s="27">
        <v>47722.372894643748</v>
      </c>
      <c r="L507" s="27">
        <v>110114.65995343434</v>
      </c>
      <c r="M507" s="27">
        <v>228104.00554233731</v>
      </c>
    </row>
    <row r="508" spans="1:13" x14ac:dyDescent="0.75">
      <c r="A508" s="40">
        <v>506</v>
      </c>
      <c r="B508" s="27">
        <v>806.38680492612184</v>
      </c>
      <c r="C508" s="27">
        <v>1329.5535598710703</v>
      </c>
      <c r="D508" s="27">
        <v>2314.9234552577109</v>
      </c>
      <c r="E508" s="27">
        <v>3427.7986679198948</v>
      </c>
      <c r="F508" s="27">
        <v>5104.3795876762888</v>
      </c>
      <c r="G508" s="27">
        <v>7553.2250032540469</v>
      </c>
      <c r="H508" s="27">
        <v>9931.3662360798335</v>
      </c>
      <c r="I508" s="27">
        <v>14050.645257223499</v>
      </c>
      <c r="J508" s="27">
        <v>22727.679927972727</v>
      </c>
      <c r="K508" s="27">
        <v>42018.54072842552</v>
      </c>
      <c r="L508" s="27">
        <v>100837.03532287941</v>
      </c>
      <c r="M508" s="27">
        <v>210101.53455148614</v>
      </c>
    </row>
    <row r="509" spans="1:13" x14ac:dyDescent="0.75">
      <c r="A509" s="40">
        <v>507</v>
      </c>
      <c r="B509" s="27">
        <v>1462.9707616568339</v>
      </c>
      <c r="C509" s="27">
        <v>2041.4598043557926</v>
      </c>
      <c r="D509" s="27">
        <v>3123.7954253426433</v>
      </c>
      <c r="E509" s="27">
        <v>4434.0930362459039</v>
      </c>
      <c r="F509" s="27">
        <v>6438.8261426175595</v>
      </c>
      <c r="G509" s="27">
        <v>8607.82952929358</v>
      </c>
      <c r="H509" s="27">
        <v>11591.661327006572</v>
      </c>
      <c r="I509" s="27">
        <v>15974.422214458755</v>
      </c>
      <c r="J509" s="27">
        <v>24019.48270210097</v>
      </c>
      <c r="K509" s="27">
        <v>46983.056775833073</v>
      </c>
      <c r="L509" s="27">
        <v>111140.85521121952</v>
      </c>
      <c r="M509" s="27">
        <v>235818.4529301312</v>
      </c>
    </row>
    <row r="510" spans="1:13" x14ac:dyDescent="0.75">
      <c r="A510" s="40">
        <v>508</v>
      </c>
      <c r="B510" s="27">
        <v>1157.1231463472359</v>
      </c>
      <c r="C510" s="27">
        <v>1768.6108313436271</v>
      </c>
      <c r="D510" s="27">
        <v>3001.7519425991923</v>
      </c>
      <c r="E510" s="27">
        <v>4266.9493364202644</v>
      </c>
      <c r="F510" s="27">
        <v>6577.1596810098854</v>
      </c>
      <c r="G510" s="27">
        <v>8610.4249628706457</v>
      </c>
      <c r="H510" s="27">
        <v>11719.510182460523</v>
      </c>
      <c r="I510" s="27">
        <v>16102.922235773716</v>
      </c>
      <c r="J510" s="27">
        <v>24032.098837672529</v>
      </c>
      <c r="K510" s="27">
        <v>46408.210811594734</v>
      </c>
      <c r="L510" s="27">
        <v>120289.83111234203</v>
      </c>
      <c r="M510" s="27">
        <v>243934.59308043437</v>
      </c>
    </row>
    <row r="511" spans="1:13" x14ac:dyDescent="0.75">
      <c r="A511" s="40">
        <v>509</v>
      </c>
      <c r="B511" s="27">
        <v>1049.6995042137278</v>
      </c>
      <c r="C511" s="27">
        <v>1410.7148494461289</v>
      </c>
      <c r="D511" s="27">
        <v>2042.0257289789006</v>
      </c>
      <c r="E511" s="27">
        <v>3456.0486122283619</v>
      </c>
      <c r="F511" s="27">
        <v>5076.9621903702355</v>
      </c>
      <c r="G511" s="27">
        <v>7201.8658665845578</v>
      </c>
      <c r="H511" s="27">
        <v>9962.2250270957884</v>
      </c>
      <c r="I511" s="27">
        <v>13974.284523990689</v>
      </c>
      <c r="J511" s="27">
        <v>22225.628367687459</v>
      </c>
      <c r="K511" s="27">
        <v>43927.534720765514</v>
      </c>
      <c r="L511" s="27">
        <v>109261.03940774311</v>
      </c>
      <c r="M511" s="27">
        <v>219588.02879910448</v>
      </c>
    </row>
    <row r="512" spans="1:13" x14ac:dyDescent="0.75">
      <c r="A512" s="40">
        <v>510</v>
      </c>
      <c r="B512" s="27">
        <v>1394.5977472281375</v>
      </c>
      <c r="C512" s="27">
        <v>1817.5457280196279</v>
      </c>
      <c r="D512" s="27">
        <v>2633.9345591971796</v>
      </c>
      <c r="E512" s="27">
        <v>3884.6934863675269</v>
      </c>
      <c r="F512" s="27">
        <v>6110.0453073476092</v>
      </c>
      <c r="G512" s="27">
        <v>8331.8614219350566</v>
      </c>
      <c r="H512" s="27">
        <v>10670.611803413063</v>
      </c>
      <c r="I512" s="27">
        <v>14592.800473528929</v>
      </c>
      <c r="J512" s="27">
        <v>23452.681299324497</v>
      </c>
      <c r="K512" s="27">
        <v>49466.312280485348</v>
      </c>
      <c r="L512" s="27">
        <v>112159.79876163336</v>
      </c>
      <c r="M512" s="27">
        <v>234514.88286848034</v>
      </c>
    </row>
    <row r="513" spans="1:13" x14ac:dyDescent="0.75">
      <c r="A513" s="40">
        <v>511</v>
      </c>
      <c r="B513" s="27">
        <v>764.1097095511941</v>
      </c>
      <c r="C513" s="27">
        <v>1146.3984709985525</v>
      </c>
      <c r="D513" s="27">
        <v>1890.8823804911517</v>
      </c>
      <c r="E513" s="27">
        <v>2863.7381128112611</v>
      </c>
      <c r="F513" s="27">
        <v>5010.7401505787857</v>
      </c>
      <c r="G513" s="27">
        <v>7337.8085765224823</v>
      </c>
      <c r="H513" s="27">
        <v>10025.855132984507</v>
      </c>
      <c r="I513" s="27">
        <v>13742.82999543834</v>
      </c>
      <c r="J513" s="27">
        <v>22583.737489906183</v>
      </c>
      <c r="K513" s="27">
        <v>47663.966335950303</v>
      </c>
      <c r="L513" s="27">
        <v>111356.39880393029</v>
      </c>
      <c r="M513" s="27">
        <v>224386.46515916305</v>
      </c>
    </row>
    <row r="514" spans="1:13" x14ac:dyDescent="0.75">
      <c r="A514" s="40">
        <v>512</v>
      </c>
      <c r="B514" s="27">
        <v>719.02169964481436</v>
      </c>
      <c r="C514" s="27">
        <v>1314.7686185728089</v>
      </c>
      <c r="D514" s="27">
        <v>2076.2146235361433</v>
      </c>
      <c r="E514" s="27">
        <v>3439.050953832746</v>
      </c>
      <c r="F514" s="27">
        <v>5440.2402107707749</v>
      </c>
      <c r="G514" s="27">
        <v>7734.9933408353245</v>
      </c>
      <c r="H514" s="27">
        <v>10784.766799227218</v>
      </c>
      <c r="I514" s="27">
        <v>15008.880790170835</v>
      </c>
      <c r="J514" s="27">
        <v>23891.491929688898</v>
      </c>
      <c r="K514" s="27">
        <v>49577.043229411691</v>
      </c>
      <c r="L514" s="27">
        <v>105689.15923670135</v>
      </c>
      <c r="M514" s="27">
        <v>225675.63143239261</v>
      </c>
    </row>
    <row r="515" spans="1:13" x14ac:dyDescent="0.75">
      <c r="A515" s="40">
        <v>513</v>
      </c>
      <c r="B515" s="27">
        <v>297.18773432016314</v>
      </c>
      <c r="C515" s="27">
        <v>852.70691644046747</v>
      </c>
      <c r="D515" s="27">
        <v>1730.3037700301938</v>
      </c>
      <c r="E515" s="27">
        <v>2869.1036309326009</v>
      </c>
      <c r="F515" s="27">
        <v>4595.0329143894487</v>
      </c>
      <c r="G515" s="27">
        <v>7331.6798511441157</v>
      </c>
      <c r="H515" s="27">
        <v>9524.5173862325319</v>
      </c>
      <c r="I515" s="27">
        <v>12705.117279265323</v>
      </c>
      <c r="J515" s="27">
        <v>21432.167711714312</v>
      </c>
      <c r="K515" s="27">
        <v>46726.106993675203</v>
      </c>
      <c r="L515" s="27">
        <v>118947.68053380183</v>
      </c>
      <c r="M515" s="27">
        <v>227011.60472194618</v>
      </c>
    </row>
    <row r="516" spans="1:13" x14ac:dyDescent="0.75">
      <c r="A516" s="40">
        <v>514</v>
      </c>
      <c r="B516" s="27">
        <v>544.0598141438968</v>
      </c>
      <c r="C516" s="27">
        <v>907.39111742406385</v>
      </c>
      <c r="D516" s="27">
        <v>1800.4406538955518</v>
      </c>
      <c r="E516" s="27">
        <v>2865.7735604133632</v>
      </c>
      <c r="F516" s="27">
        <v>5158.8310579024401</v>
      </c>
      <c r="G516" s="27">
        <v>7735.2553526539414</v>
      </c>
      <c r="H516" s="27">
        <v>10633.90690033522</v>
      </c>
      <c r="I516" s="27">
        <v>14144.617131263542</v>
      </c>
      <c r="J516" s="27">
        <v>23122.037927775615</v>
      </c>
      <c r="K516" s="27">
        <v>46916.010050688463</v>
      </c>
      <c r="L516" s="27">
        <v>105404.80395725467</v>
      </c>
      <c r="M516" s="27">
        <v>219233.12752375077</v>
      </c>
    </row>
    <row r="517" spans="1:13" x14ac:dyDescent="0.75">
      <c r="A517" s="40">
        <v>515</v>
      </c>
      <c r="B517" s="27">
        <v>696.71108338500198</v>
      </c>
      <c r="C517" s="27">
        <v>1097.7599585785501</v>
      </c>
      <c r="D517" s="27">
        <v>1694.922252678065</v>
      </c>
      <c r="E517" s="27">
        <v>2889.0479401956254</v>
      </c>
      <c r="F517" s="27">
        <v>4802.3045405352022</v>
      </c>
      <c r="G517" s="27">
        <v>7482.6203058080282</v>
      </c>
      <c r="H517" s="27">
        <v>9693.0868520074</v>
      </c>
      <c r="I517" s="27">
        <v>14546.134838418016</v>
      </c>
      <c r="J517" s="27">
        <v>23092.013921798731</v>
      </c>
      <c r="K517" s="27">
        <v>46303.268069385027</v>
      </c>
      <c r="L517" s="27">
        <v>114423.5581119259</v>
      </c>
      <c r="M517" s="27">
        <v>226721.42787471553</v>
      </c>
    </row>
    <row r="518" spans="1:13" x14ac:dyDescent="0.75">
      <c r="A518" s="40">
        <v>516</v>
      </c>
      <c r="B518" s="27">
        <v>713.44493603294541</v>
      </c>
      <c r="C518" s="27">
        <v>1140.5059128790308</v>
      </c>
      <c r="D518" s="27">
        <v>2004.2443998212984</v>
      </c>
      <c r="E518" s="27">
        <v>3033.5664300187054</v>
      </c>
      <c r="F518" s="27">
        <v>5098.9133898475848</v>
      </c>
      <c r="G518" s="27">
        <v>7284.5518279273529</v>
      </c>
      <c r="H518" s="27">
        <v>9810.7971684829972</v>
      </c>
      <c r="I518" s="27">
        <v>13481.685160391818</v>
      </c>
      <c r="J518" s="27">
        <v>22601.320973421884</v>
      </c>
      <c r="K518" s="27">
        <v>46546.696005727194</v>
      </c>
      <c r="L518" s="27">
        <v>111374.79893080264</v>
      </c>
      <c r="M518" s="27">
        <v>223090.52513535344</v>
      </c>
    </row>
    <row r="519" spans="1:13" x14ac:dyDescent="0.75">
      <c r="A519" s="40">
        <v>517</v>
      </c>
      <c r="B519" s="27">
        <v>703.27008326226496</v>
      </c>
      <c r="C519" s="27">
        <v>1274.3159020559833</v>
      </c>
      <c r="D519" s="27">
        <v>1901.9183699277201</v>
      </c>
      <c r="E519" s="27">
        <v>3093.0610981075879</v>
      </c>
      <c r="F519" s="27">
        <v>4852.5945242227754</v>
      </c>
      <c r="G519" s="27">
        <v>7172.5877528645506</v>
      </c>
      <c r="H519" s="27">
        <v>10206.697122668324</v>
      </c>
      <c r="I519" s="27">
        <v>14040.443463678312</v>
      </c>
      <c r="J519" s="27">
        <v>23488.071847975734</v>
      </c>
      <c r="K519" s="27">
        <v>49192.231004062662</v>
      </c>
      <c r="L519" s="27">
        <v>109613.80729960078</v>
      </c>
      <c r="M519" s="27">
        <v>225538.9984684267</v>
      </c>
    </row>
    <row r="520" spans="1:13" x14ac:dyDescent="0.75">
      <c r="A520" s="40">
        <v>518</v>
      </c>
      <c r="B520" s="27">
        <v>267.05645853438182</v>
      </c>
      <c r="C520" s="27">
        <v>841.03550441974949</v>
      </c>
      <c r="D520" s="27">
        <v>1613.3345826607401</v>
      </c>
      <c r="E520" s="27">
        <v>2673.9091035725869</v>
      </c>
      <c r="F520" s="27">
        <v>5008.9297147692996</v>
      </c>
      <c r="G520" s="27">
        <v>6908.4488248859707</v>
      </c>
      <c r="H520" s="27">
        <v>9671.9837690828717</v>
      </c>
      <c r="I520" s="27">
        <v>13752.442369921933</v>
      </c>
      <c r="J520" s="27">
        <v>21455.971828805312</v>
      </c>
      <c r="K520" s="27">
        <v>46414.707437144389</v>
      </c>
      <c r="L520" s="27">
        <v>108833.71675718838</v>
      </c>
      <c r="M520" s="27">
        <v>217441.53635098561</v>
      </c>
    </row>
    <row r="521" spans="1:13" x14ac:dyDescent="0.75">
      <c r="A521" s="40">
        <v>519</v>
      </c>
      <c r="B521" s="27">
        <v>495.99532425738289</v>
      </c>
      <c r="C521" s="27">
        <v>1188.7241328160308</v>
      </c>
      <c r="D521" s="27">
        <v>2244.5296073171194</v>
      </c>
      <c r="E521" s="27">
        <v>3308.4995167161978</v>
      </c>
      <c r="F521" s="27">
        <v>5357.7569393267622</v>
      </c>
      <c r="G521" s="27">
        <v>7609.028892251401</v>
      </c>
      <c r="H521" s="27">
        <v>10069.172414760062</v>
      </c>
      <c r="I521" s="27">
        <v>14484.870710437623</v>
      </c>
      <c r="J521" s="27">
        <v>23934.994002624022</v>
      </c>
      <c r="K521" s="27">
        <v>46129.735922923835</v>
      </c>
      <c r="L521" s="27">
        <v>113121.37918093996</v>
      </c>
      <c r="M521" s="27">
        <v>227944.68664437038</v>
      </c>
    </row>
    <row r="522" spans="1:13" x14ac:dyDescent="0.75">
      <c r="A522" s="40">
        <v>520</v>
      </c>
      <c r="B522" s="27">
        <v>634.71785048574384</v>
      </c>
      <c r="C522" s="27">
        <v>1309.3766800457961</v>
      </c>
      <c r="D522" s="27">
        <v>2130.9862198565825</v>
      </c>
      <c r="E522" s="27">
        <v>3123.1189392959495</v>
      </c>
      <c r="F522" s="27">
        <v>4992.8137125235226</v>
      </c>
      <c r="G522" s="27">
        <v>7002.3946817558899</v>
      </c>
      <c r="H522" s="27">
        <v>9793.985960744787</v>
      </c>
      <c r="I522" s="27">
        <v>14123.661059833656</v>
      </c>
      <c r="J522" s="27">
        <v>22841.100334897666</v>
      </c>
      <c r="K522" s="27">
        <v>47439.699955526361</v>
      </c>
      <c r="L522" s="27">
        <v>115989.49536352055</v>
      </c>
      <c r="M522" s="27">
        <v>229381.35075848649</v>
      </c>
    </row>
    <row r="523" spans="1:13" x14ac:dyDescent="0.75">
      <c r="A523" s="40">
        <v>521</v>
      </c>
      <c r="B523" s="27">
        <v>511.23656658714754</v>
      </c>
      <c r="C523" s="27">
        <v>1166.6363831151975</v>
      </c>
      <c r="D523" s="27">
        <v>2087.3525418899808</v>
      </c>
      <c r="E523" s="27">
        <v>3165.5836248644337</v>
      </c>
      <c r="F523" s="27">
        <v>4894.9131395916484</v>
      </c>
      <c r="G523" s="27">
        <v>7434.6392734110996</v>
      </c>
      <c r="H523" s="27">
        <v>9840.7117814895901</v>
      </c>
      <c r="I523" s="27">
        <v>13623.252006838506</v>
      </c>
      <c r="J523" s="27">
        <v>23038.839945863176</v>
      </c>
      <c r="K523" s="27">
        <v>45936.441609873029</v>
      </c>
      <c r="L523" s="27">
        <v>111729.70298763544</v>
      </c>
      <c r="M523" s="27">
        <v>223429.30986115924</v>
      </c>
    </row>
    <row r="524" spans="1:13" x14ac:dyDescent="0.75">
      <c r="A524" s="40">
        <v>522</v>
      </c>
      <c r="B524" s="27">
        <v>1114.5294651451404</v>
      </c>
      <c r="C524" s="27">
        <v>1475.1789185542148</v>
      </c>
      <c r="D524" s="27">
        <v>2540.9416960706731</v>
      </c>
      <c r="E524" s="27">
        <v>3634.9388493656152</v>
      </c>
      <c r="F524" s="27">
        <v>5484.3254100444319</v>
      </c>
      <c r="G524" s="27">
        <v>7797.9896435252158</v>
      </c>
      <c r="H524" s="27">
        <v>10630.418771357494</v>
      </c>
      <c r="I524" s="27">
        <v>13973.21574667086</v>
      </c>
      <c r="J524" s="27">
        <v>23437.505098492227</v>
      </c>
      <c r="K524" s="27">
        <v>48256.291434496758</v>
      </c>
      <c r="L524" s="27">
        <v>119452.85488160729</v>
      </c>
      <c r="M524" s="27">
        <v>237798.18991532992</v>
      </c>
    </row>
    <row r="525" spans="1:13" x14ac:dyDescent="0.75">
      <c r="A525" s="40">
        <v>523</v>
      </c>
      <c r="B525" s="27">
        <v>434.55505453060323</v>
      </c>
      <c r="C525" s="27">
        <v>780.43654855209752</v>
      </c>
      <c r="D525" s="27">
        <v>1659.6458894934622</v>
      </c>
      <c r="E525" s="27">
        <v>2522.8463370896352</v>
      </c>
      <c r="F525" s="27">
        <v>4426.14684496884</v>
      </c>
      <c r="G525" s="27">
        <v>6423.6640179057722</v>
      </c>
      <c r="H525" s="27">
        <v>9054.3323183860484</v>
      </c>
      <c r="I525" s="27">
        <v>13279.938921645095</v>
      </c>
      <c r="J525" s="27">
        <v>21418.773288634402</v>
      </c>
      <c r="K525" s="27">
        <v>44707.077081895608</v>
      </c>
      <c r="L525" s="27">
        <v>109633.88973940932</v>
      </c>
      <c r="M525" s="27">
        <v>214341.3060425109</v>
      </c>
    </row>
    <row r="526" spans="1:13" x14ac:dyDescent="0.75">
      <c r="A526" s="40">
        <v>524</v>
      </c>
      <c r="B526" s="27">
        <v>537.82351100092637</v>
      </c>
      <c r="C526" s="27">
        <v>1196.3337089667912</v>
      </c>
      <c r="D526" s="27">
        <v>2085.9285409821314</v>
      </c>
      <c r="E526" s="27">
        <v>3086.1672493490187</v>
      </c>
      <c r="F526" s="27">
        <v>4850.9261184034549</v>
      </c>
      <c r="G526" s="27">
        <v>7222.8282655125076</v>
      </c>
      <c r="H526" s="27">
        <v>9878.4835139938223</v>
      </c>
      <c r="I526" s="27">
        <v>13645.774350605905</v>
      </c>
      <c r="J526" s="27">
        <v>22773.405590313778</v>
      </c>
      <c r="K526" s="27">
        <v>42085.281849288716</v>
      </c>
      <c r="L526" s="27">
        <v>110981.52253970238</v>
      </c>
      <c r="M526" s="27">
        <v>218344.47523811943</v>
      </c>
    </row>
    <row r="527" spans="1:13" x14ac:dyDescent="0.75">
      <c r="A527" s="40">
        <v>525</v>
      </c>
      <c r="B527" s="27">
        <v>839.35900850962207</v>
      </c>
      <c r="C527" s="27">
        <v>1328.2177327722166</v>
      </c>
      <c r="D527" s="27">
        <v>2498.4939742963033</v>
      </c>
      <c r="E527" s="27">
        <v>3789.476337006563</v>
      </c>
      <c r="F527" s="27">
        <v>6054.7649706932716</v>
      </c>
      <c r="G527" s="27">
        <v>8690.0182795621513</v>
      </c>
      <c r="H527" s="27">
        <v>11369.607921075716</v>
      </c>
      <c r="I527" s="27">
        <v>14206.298419035535</v>
      </c>
      <c r="J527" s="27">
        <v>24178.039760905755</v>
      </c>
      <c r="K527" s="27">
        <v>47683.239687595473</v>
      </c>
      <c r="L527" s="27">
        <v>112243.30112923559</v>
      </c>
      <c r="M527" s="27">
        <v>232880.81722068822</v>
      </c>
    </row>
    <row r="528" spans="1:13" x14ac:dyDescent="0.75">
      <c r="A528" s="40">
        <v>526</v>
      </c>
      <c r="B528" s="27">
        <v>291.78882444284682</v>
      </c>
      <c r="C528" s="27">
        <v>657.70913369795016</v>
      </c>
      <c r="D528" s="27">
        <v>1742.6316195719846</v>
      </c>
      <c r="E528" s="27">
        <v>2977.7510059404594</v>
      </c>
      <c r="F528" s="27">
        <v>4736.0027576824505</v>
      </c>
      <c r="G528" s="27">
        <v>7052.1152617168264</v>
      </c>
      <c r="H528" s="27">
        <v>9477.3153258582606</v>
      </c>
      <c r="I528" s="27">
        <v>13752.565689683077</v>
      </c>
      <c r="J528" s="27">
        <v>21898.954877641823</v>
      </c>
      <c r="K528" s="27">
        <v>47485.954961348354</v>
      </c>
      <c r="L528" s="27">
        <v>113070.78422810366</v>
      </c>
      <c r="M528" s="27">
        <v>223143.57368568768</v>
      </c>
    </row>
    <row r="529" spans="1:13" x14ac:dyDescent="0.75">
      <c r="A529" s="40">
        <v>527</v>
      </c>
      <c r="B529" s="27">
        <v>604.38422743647243</v>
      </c>
      <c r="C529" s="27">
        <v>1300.4499746712245</v>
      </c>
      <c r="D529" s="27">
        <v>2243.4344564541971</v>
      </c>
      <c r="E529" s="27">
        <v>3200.527102611406</v>
      </c>
      <c r="F529" s="27">
        <v>5145.5223882428254</v>
      </c>
      <c r="G529" s="27">
        <v>7312.6603071436402</v>
      </c>
      <c r="H529" s="27">
        <v>9710.4655763183691</v>
      </c>
      <c r="I529" s="27">
        <v>14750.197157019837</v>
      </c>
      <c r="J529" s="27">
        <v>22849.319203208273</v>
      </c>
      <c r="K529" s="27">
        <v>46255.249627595185</v>
      </c>
      <c r="L529" s="27">
        <v>106373.60048420991</v>
      </c>
      <c r="M529" s="27">
        <v>219745.81050491135</v>
      </c>
    </row>
    <row r="530" spans="1:13" x14ac:dyDescent="0.75">
      <c r="A530" s="40">
        <v>528</v>
      </c>
      <c r="B530" s="27">
        <v>1138.2584094126796</v>
      </c>
      <c r="C530" s="27">
        <v>1730.9325278873876</v>
      </c>
      <c r="D530" s="27">
        <v>2842.0268244744948</v>
      </c>
      <c r="E530" s="27">
        <v>3875.8679364110576</v>
      </c>
      <c r="F530" s="27">
        <v>5457.8183776977967</v>
      </c>
      <c r="G530" s="27">
        <v>8076.3581500283617</v>
      </c>
      <c r="H530" s="27">
        <v>10558.881433979899</v>
      </c>
      <c r="I530" s="27">
        <v>13930.956520846434</v>
      </c>
      <c r="J530" s="27">
        <v>22845.199967036897</v>
      </c>
      <c r="K530" s="27">
        <v>47962.778590569651</v>
      </c>
      <c r="L530" s="27">
        <v>108557.56090267113</v>
      </c>
      <c r="M530" s="27">
        <v>226976.63964101579</v>
      </c>
    </row>
    <row r="531" spans="1:13" x14ac:dyDescent="0.75">
      <c r="A531" s="40">
        <v>529</v>
      </c>
      <c r="B531" s="27">
        <v>1134.403210512246</v>
      </c>
      <c r="C531" s="27">
        <v>1723.1149419491994</v>
      </c>
      <c r="D531" s="27">
        <v>2532.4020403449249</v>
      </c>
      <c r="E531" s="27">
        <v>3930.779679954052</v>
      </c>
      <c r="F531" s="27">
        <v>6407.4787381681963</v>
      </c>
      <c r="G531" s="27">
        <v>8295.6789066577039</v>
      </c>
      <c r="H531" s="27">
        <v>10753.059917584411</v>
      </c>
      <c r="I531" s="27">
        <v>15364.06211491632</v>
      </c>
      <c r="J531" s="27">
        <v>22032.296529941144</v>
      </c>
      <c r="K531" s="27">
        <v>45287.945163029159</v>
      </c>
      <c r="L531" s="27">
        <v>112721.67343038786</v>
      </c>
      <c r="M531" s="27">
        <v>230182.8946734452</v>
      </c>
    </row>
    <row r="532" spans="1:13" x14ac:dyDescent="0.75">
      <c r="A532" s="40">
        <v>530</v>
      </c>
      <c r="B532" s="27">
        <v>1415.7024725826923</v>
      </c>
      <c r="C532" s="27">
        <v>1991.3420035101299</v>
      </c>
      <c r="D532" s="27">
        <v>2918.7767690437322</v>
      </c>
      <c r="E532" s="27">
        <v>3961.5617324221093</v>
      </c>
      <c r="F532" s="27">
        <v>6005.1942525521881</v>
      </c>
      <c r="G532" s="27">
        <v>8441.9845012711303</v>
      </c>
      <c r="H532" s="27">
        <v>10885.777218318195</v>
      </c>
      <c r="I532" s="27">
        <v>14761.723959445895</v>
      </c>
      <c r="J532" s="27">
        <v>22705.297687674843</v>
      </c>
      <c r="K532" s="27">
        <v>46177.58670944981</v>
      </c>
      <c r="L532" s="27">
        <v>111849.12595343022</v>
      </c>
      <c r="M532" s="27">
        <v>231114.07325970096</v>
      </c>
    </row>
    <row r="533" spans="1:13" x14ac:dyDescent="0.75">
      <c r="A533" s="40">
        <v>531</v>
      </c>
      <c r="B533" s="27">
        <v>974.27190231761779</v>
      </c>
      <c r="C533" s="27">
        <v>1396.70374450073</v>
      </c>
      <c r="D533" s="27">
        <v>2500.3263560908672</v>
      </c>
      <c r="E533" s="27">
        <v>3758.2981165420933</v>
      </c>
      <c r="F533" s="27">
        <v>5280.5919031410594</v>
      </c>
      <c r="G533" s="27">
        <v>7576.793336513656</v>
      </c>
      <c r="H533" s="27">
        <v>10255.88815174505</v>
      </c>
      <c r="I533" s="27">
        <v>14448.668220322055</v>
      </c>
      <c r="J533" s="27">
        <v>22746.559801037729</v>
      </c>
      <c r="K533" s="27">
        <v>49442.725616501106</v>
      </c>
      <c r="L533" s="27">
        <v>111792.58429710369</v>
      </c>
      <c r="M533" s="27">
        <v>230173.41144581564</v>
      </c>
    </row>
    <row r="534" spans="1:13" x14ac:dyDescent="0.75">
      <c r="A534" s="40">
        <v>532</v>
      </c>
      <c r="B534" s="27">
        <v>1075.262084644608</v>
      </c>
      <c r="C534" s="27">
        <v>1473.7040384088177</v>
      </c>
      <c r="D534" s="27">
        <v>2409.0223958148854</v>
      </c>
      <c r="E534" s="27">
        <v>3482.1469388489058</v>
      </c>
      <c r="F534" s="27">
        <v>5846.6699181392032</v>
      </c>
      <c r="G534" s="27">
        <v>7758.3182246813667</v>
      </c>
      <c r="H534" s="27">
        <v>10370.390073613627</v>
      </c>
      <c r="I534" s="27">
        <v>14573.781815036171</v>
      </c>
      <c r="J534" s="27">
        <v>23914.540428807086</v>
      </c>
      <c r="K534" s="27">
        <v>45649.871538831605</v>
      </c>
      <c r="L534" s="27">
        <v>109489.88744782552</v>
      </c>
      <c r="M534" s="27">
        <v>226043.59490465181</v>
      </c>
    </row>
    <row r="535" spans="1:13" x14ac:dyDescent="0.75">
      <c r="A535" s="40">
        <v>533</v>
      </c>
      <c r="B535" s="27">
        <v>718.0021259989735</v>
      </c>
      <c r="C535" s="27">
        <v>1263.8153153124294</v>
      </c>
      <c r="D535" s="27">
        <v>2146.8034498461784</v>
      </c>
      <c r="E535" s="27">
        <v>3256.1592411224556</v>
      </c>
      <c r="F535" s="27">
        <v>5108.4808497274644</v>
      </c>
      <c r="G535" s="27">
        <v>7361.9064157003886</v>
      </c>
      <c r="H535" s="27">
        <v>9647.3313022059156</v>
      </c>
      <c r="I535" s="27">
        <v>13149.256348550305</v>
      </c>
      <c r="J535" s="27">
        <v>21206.914137623506</v>
      </c>
      <c r="K535" s="27">
        <v>44568.425240142096</v>
      </c>
      <c r="L535" s="27">
        <v>112700.81723128427</v>
      </c>
      <c r="M535" s="27">
        <v>221127.91165751399</v>
      </c>
    </row>
    <row r="536" spans="1:13" x14ac:dyDescent="0.75">
      <c r="A536" s="40">
        <v>534</v>
      </c>
      <c r="B536" s="27">
        <v>384.98119780664274</v>
      </c>
      <c r="C536" s="27">
        <v>489.20795590993657</v>
      </c>
      <c r="D536" s="27">
        <v>1176.6876223118597</v>
      </c>
      <c r="E536" s="27">
        <v>2340.2844433759747</v>
      </c>
      <c r="F536" s="27">
        <v>4436.0707727900299</v>
      </c>
      <c r="G536" s="27">
        <v>7052.2270403802686</v>
      </c>
      <c r="H536" s="27">
        <v>9565.151878062461</v>
      </c>
      <c r="I536" s="27">
        <v>13286.950861700112</v>
      </c>
      <c r="J536" s="27">
        <v>22439.279409711322</v>
      </c>
      <c r="K536" s="27">
        <v>46890.93424617617</v>
      </c>
      <c r="L536" s="27">
        <v>116958.93423583881</v>
      </c>
      <c r="M536" s="27">
        <v>225020.70966406359</v>
      </c>
    </row>
    <row r="537" spans="1:13" x14ac:dyDescent="0.75">
      <c r="A537" s="40">
        <v>535</v>
      </c>
      <c r="B537" s="27">
        <v>831.72619085846236</v>
      </c>
      <c r="C537" s="27">
        <v>1472.2255144289229</v>
      </c>
      <c r="D537" s="27">
        <v>2027.449260511421</v>
      </c>
      <c r="E537" s="27">
        <v>2913.7784807137941</v>
      </c>
      <c r="F537" s="27">
        <v>5331.0563506478502</v>
      </c>
      <c r="G537" s="27">
        <v>7511.1666615033173</v>
      </c>
      <c r="H537" s="27">
        <v>10845.342471453565</v>
      </c>
      <c r="I537" s="27">
        <v>15135.293521718617</v>
      </c>
      <c r="J537" s="27">
        <v>23231.028209079013</v>
      </c>
      <c r="K537" s="27">
        <v>45450.066564130204</v>
      </c>
      <c r="L537" s="27">
        <v>115291.23685347143</v>
      </c>
      <c r="M537" s="27">
        <v>230040.3700785166</v>
      </c>
    </row>
    <row r="538" spans="1:13" x14ac:dyDescent="0.75">
      <c r="A538" s="40">
        <v>536</v>
      </c>
      <c r="B538" s="27">
        <v>361.20700588713225</v>
      </c>
      <c r="C538" s="27">
        <v>965.37194578631897</v>
      </c>
      <c r="D538" s="27">
        <v>1794.5094228529633</v>
      </c>
      <c r="E538" s="27">
        <v>3144.8612582113856</v>
      </c>
      <c r="F538" s="27">
        <v>5087.1817307203601</v>
      </c>
      <c r="G538" s="27">
        <v>7585.8301456114859</v>
      </c>
      <c r="H538" s="27">
        <v>9623.5513895967888</v>
      </c>
      <c r="I538" s="27">
        <v>14610.867199718137</v>
      </c>
      <c r="J538" s="27">
        <v>22184.933137855231</v>
      </c>
      <c r="K538" s="27">
        <v>48978.351699934516</v>
      </c>
      <c r="L538" s="27">
        <v>121372.11166071863</v>
      </c>
      <c r="M538" s="27">
        <v>235708.77659689295</v>
      </c>
    </row>
    <row r="539" spans="1:13" x14ac:dyDescent="0.75">
      <c r="A539" s="40">
        <v>537</v>
      </c>
      <c r="B539" s="27">
        <v>820.60594770325406</v>
      </c>
      <c r="C539" s="27">
        <v>1354.6949728127656</v>
      </c>
      <c r="D539" s="27">
        <v>2325.2368380867701</v>
      </c>
      <c r="E539" s="27">
        <v>3579.4751426457369</v>
      </c>
      <c r="F539" s="27">
        <v>5612.2717186571099</v>
      </c>
      <c r="G539" s="27">
        <v>7917.1366160498292</v>
      </c>
      <c r="H539" s="27">
        <v>10080.170391938504</v>
      </c>
      <c r="I539" s="27">
        <v>14990.323255139534</v>
      </c>
      <c r="J539" s="27">
        <v>24916.543637283234</v>
      </c>
      <c r="K539" s="27">
        <v>45772.384640745615</v>
      </c>
      <c r="L539" s="27">
        <v>112642.90637076345</v>
      </c>
      <c r="M539" s="27">
        <v>230011.7495318258</v>
      </c>
    </row>
    <row r="540" spans="1:13" x14ac:dyDescent="0.75">
      <c r="A540" s="40">
        <v>538</v>
      </c>
      <c r="B540" s="27">
        <v>1283.6380805671506</v>
      </c>
      <c r="C540" s="27">
        <v>1913.1223247558228</v>
      </c>
      <c r="D540" s="27">
        <v>2915.9271272232872</v>
      </c>
      <c r="E540" s="27">
        <v>3984.395911151325</v>
      </c>
      <c r="F540" s="27">
        <v>5568.5579655460897</v>
      </c>
      <c r="G540" s="27">
        <v>8332.4546347382711</v>
      </c>
      <c r="H540" s="27">
        <v>10813.27719480716</v>
      </c>
      <c r="I540" s="27">
        <v>15971.913578328662</v>
      </c>
      <c r="J540" s="27">
        <v>23147.881706441636</v>
      </c>
      <c r="K540" s="27">
        <v>46991.021038549588</v>
      </c>
      <c r="L540" s="27">
        <v>105070.17950850248</v>
      </c>
      <c r="M540" s="27">
        <v>225992.36907061149</v>
      </c>
    </row>
    <row r="541" spans="1:13" x14ac:dyDescent="0.75">
      <c r="A541" s="40">
        <v>539</v>
      </c>
      <c r="B541" s="27">
        <v>773.80657773277198</v>
      </c>
      <c r="C541" s="27">
        <v>1665.1193976466457</v>
      </c>
      <c r="D541" s="27">
        <v>2509.1780644315295</v>
      </c>
      <c r="E541" s="27">
        <v>3504.1796291840001</v>
      </c>
      <c r="F541" s="27">
        <v>5543.0262902290851</v>
      </c>
      <c r="G541" s="27">
        <v>7845.5732345099968</v>
      </c>
      <c r="H541" s="27">
        <v>10040.251086495933</v>
      </c>
      <c r="I541" s="27">
        <v>14685.448263341314</v>
      </c>
      <c r="J541" s="27">
        <v>23648.755754780577</v>
      </c>
      <c r="K541" s="27">
        <v>47753.720749445783</v>
      </c>
      <c r="L541" s="27">
        <v>115728.39256045755</v>
      </c>
      <c r="M541" s="27">
        <v>233697.45160825519</v>
      </c>
    </row>
    <row r="542" spans="1:13" x14ac:dyDescent="0.75">
      <c r="A542" s="40">
        <v>540</v>
      </c>
      <c r="B542" s="27">
        <v>1184.2919538222341</v>
      </c>
      <c r="C542" s="27">
        <v>1698.4496586221067</v>
      </c>
      <c r="D542" s="27">
        <v>2676.7751284394908</v>
      </c>
      <c r="E542" s="27">
        <v>3542.3304540953541</v>
      </c>
      <c r="F542" s="27">
        <v>5612.6172050005698</v>
      </c>
      <c r="G542" s="27">
        <v>8042.0793030363275</v>
      </c>
      <c r="H542" s="27">
        <v>10845.527266138728</v>
      </c>
      <c r="I542" s="27">
        <v>14801.602627921835</v>
      </c>
      <c r="J542" s="27">
        <v>24527.704638342679</v>
      </c>
      <c r="K542" s="27">
        <v>46406.215645015065</v>
      </c>
      <c r="L542" s="27">
        <v>107896.857101063</v>
      </c>
      <c r="M542" s="27">
        <v>227234.45098149739</v>
      </c>
    </row>
    <row r="543" spans="1:13" x14ac:dyDescent="0.75">
      <c r="A543" s="40">
        <v>541</v>
      </c>
      <c r="B543" s="27">
        <v>706.75278970181535</v>
      </c>
      <c r="C543" s="27">
        <v>1374.0021686358814</v>
      </c>
      <c r="D543" s="27">
        <v>2269.586545491984</v>
      </c>
      <c r="E543" s="27">
        <v>3183.294681772124</v>
      </c>
      <c r="F543" s="27">
        <v>5216.0206608968147</v>
      </c>
      <c r="G543" s="27">
        <v>7549.1570089447487</v>
      </c>
      <c r="H543" s="27">
        <v>9655.3740273000585</v>
      </c>
      <c r="I543" s="27">
        <v>14018.716045786874</v>
      </c>
      <c r="J543" s="27">
        <v>22230.473955680704</v>
      </c>
      <c r="K543" s="27">
        <v>46493.121803400543</v>
      </c>
      <c r="L543" s="27">
        <v>118695.456689236</v>
      </c>
      <c r="M543" s="27">
        <v>231391.95637684755</v>
      </c>
    </row>
    <row r="544" spans="1:13" x14ac:dyDescent="0.75">
      <c r="A544" s="40">
        <v>542</v>
      </c>
      <c r="B544" s="27">
        <v>635.40255621218239</v>
      </c>
      <c r="C544" s="27">
        <v>950.84558083160664</v>
      </c>
      <c r="D544" s="27">
        <v>2086.9897739639709</v>
      </c>
      <c r="E544" s="27">
        <v>3046.780510556142</v>
      </c>
      <c r="F544" s="27">
        <v>4593.1483773057989</v>
      </c>
      <c r="G544" s="27">
        <v>6933.8790126502281</v>
      </c>
      <c r="H544" s="27">
        <v>9818.9360615924234</v>
      </c>
      <c r="I544" s="27">
        <v>13673.557372639858</v>
      </c>
      <c r="J544" s="27">
        <v>22600.358345445566</v>
      </c>
      <c r="K544" s="27">
        <v>45964.520612616107</v>
      </c>
      <c r="L544" s="27">
        <v>115967.86871766337</v>
      </c>
      <c r="M544" s="27">
        <v>226272.28692147724</v>
      </c>
    </row>
    <row r="545" spans="1:13" x14ac:dyDescent="0.75">
      <c r="A545" s="40">
        <v>543</v>
      </c>
      <c r="B545" s="27">
        <v>1003.192301980409</v>
      </c>
      <c r="C545" s="27">
        <v>1423.4835420668242</v>
      </c>
      <c r="D545" s="27">
        <v>2011.8924721267977</v>
      </c>
      <c r="E545" s="27">
        <v>3102.9318257234117</v>
      </c>
      <c r="F545" s="27">
        <v>4925.8999429902469</v>
      </c>
      <c r="G545" s="27">
        <v>7238.7082836013287</v>
      </c>
      <c r="H545" s="27">
        <v>9898.4092779192724</v>
      </c>
      <c r="I545" s="27">
        <v>14101.958354270493</v>
      </c>
      <c r="J545" s="27">
        <v>22685.071114524631</v>
      </c>
      <c r="K545" s="27">
        <v>47848.823425702431</v>
      </c>
      <c r="L545" s="27">
        <v>115833.52813520779</v>
      </c>
      <c r="M545" s="27">
        <v>230073.89867611363</v>
      </c>
    </row>
    <row r="546" spans="1:13" x14ac:dyDescent="0.75">
      <c r="A546" s="40">
        <v>544</v>
      </c>
      <c r="B546" s="27">
        <v>464.46912847377826</v>
      </c>
      <c r="C546" s="27">
        <v>1003.8758748468681</v>
      </c>
      <c r="D546" s="27">
        <v>1832.5609651943087</v>
      </c>
      <c r="E546" s="27">
        <v>3179.8176583225431</v>
      </c>
      <c r="F546" s="27">
        <v>5437.3283220244921</v>
      </c>
      <c r="G546" s="27">
        <v>7469.7896646005393</v>
      </c>
      <c r="H546" s="27">
        <v>10455.958612080663</v>
      </c>
      <c r="I546" s="27">
        <v>14395.689624688719</v>
      </c>
      <c r="J546" s="27">
        <v>23817.536691752757</v>
      </c>
      <c r="K546" s="27">
        <v>46812.79086512608</v>
      </c>
      <c r="L546" s="27">
        <v>120376.06233775961</v>
      </c>
      <c r="M546" s="27">
        <v>235245.87974487036</v>
      </c>
    </row>
    <row r="547" spans="1:13" x14ac:dyDescent="0.75">
      <c r="A547" s="40">
        <v>545</v>
      </c>
      <c r="B547" s="27">
        <v>441.76544072423712</v>
      </c>
      <c r="C547" s="27">
        <v>910.77342377651075</v>
      </c>
      <c r="D547" s="27">
        <v>2006.8998837461404</v>
      </c>
      <c r="E547" s="27">
        <v>3187.7000839659595</v>
      </c>
      <c r="F547" s="27">
        <v>5151.3685563592589</v>
      </c>
      <c r="G547" s="27">
        <v>7160.7075179964886</v>
      </c>
      <c r="H547" s="27">
        <v>10169.492782741348</v>
      </c>
      <c r="I547" s="27">
        <v>15018.677783153224</v>
      </c>
      <c r="J547" s="27">
        <v>24213.617674486741</v>
      </c>
      <c r="K547" s="27">
        <v>45639.135901597328</v>
      </c>
      <c r="L547" s="27">
        <v>114292.44207355613</v>
      </c>
      <c r="M547" s="27">
        <v>228192.58112210338</v>
      </c>
    </row>
    <row r="548" spans="1:13" x14ac:dyDescent="0.75">
      <c r="A548" s="40">
        <v>546</v>
      </c>
      <c r="B548" s="27">
        <v>916.21639168163529</v>
      </c>
      <c r="C548" s="27">
        <v>1540.9534301165986</v>
      </c>
      <c r="D548" s="27">
        <v>2464.9718207979458</v>
      </c>
      <c r="E548" s="27">
        <v>3808.3974531121203</v>
      </c>
      <c r="F548" s="27">
        <v>5590.4250750920037</v>
      </c>
      <c r="G548" s="27">
        <v>7858.75433637065</v>
      </c>
      <c r="H548" s="27">
        <v>10690.130463973299</v>
      </c>
      <c r="I548" s="27">
        <v>14649.718436585157</v>
      </c>
      <c r="J548" s="27">
        <v>23578.580689237337</v>
      </c>
      <c r="K548" s="27">
        <v>45644.458190241334</v>
      </c>
      <c r="L548" s="27">
        <v>108275.98266777968</v>
      </c>
      <c r="M548" s="27">
        <v>225018.58895498776</v>
      </c>
    </row>
    <row r="549" spans="1:13" x14ac:dyDescent="0.75">
      <c r="A549" s="40">
        <v>547</v>
      </c>
      <c r="B549" s="27">
        <v>794.26001549935609</v>
      </c>
      <c r="C549" s="27">
        <v>1240.8836163372325</v>
      </c>
      <c r="D549" s="27">
        <v>2197.4752282455884</v>
      </c>
      <c r="E549" s="27">
        <v>3276.2597536448156</v>
      </c>
      <c r="F549" s="27">
        <v>5397.8630472341611</v>
      </c>
      <c r="G549" s="27">
        <v>8002.1110359929153</v>
      </c>
      <c r="H549" s="27">
        <v>10296.28482743472</v>
      </c>
      <c r="I549" s="27">
        <v>13468.191007830872</v>
      </c>
      <c r="J549" s="27">
        <v>23010.491918105196</v>
      </c>
      <c r="K549" s="27">
        <v>49814.924794289429</v>
      </c>
      <c r="L549" s="27">
        <v>102967.30079320804</v>
      </c>
      <c r="M549" s="27">
        <v>220466.04603782232</v>
      </c>
    </row>
    <row r="550" spans="1:13" x14ac:dyDescent="0.75">
      <c r="A550" s="40">
        <v>548</v>
      </c>
      <c r="B550" s="27">
        <v>836.35777556548419</v>
      </c>
      <c r="C550" s="27">
        <v>1002.9433815181837</v>
      </c>
      <c r="D550" s="27">
        <v>2076.3260565736273</v>
      </c>
      <c r="E550" s="27">
        <v>3145.0132471672114</v>
      </c>
      <c r="F550" s="27">
        <v>5306.3631132920855</v>
      </c>
      <c r="G550" s="27">
        <v>7867.0468150483212</v>
      </c>
      <c r="H550" s="27">
        <v>10541.109471474279</v>
      </c>
      <c r="I550" s="27">
        <v>13555.699479937044</v>
      </c>
      <c r="J550" s="27">
        <v>23371.910991134821</v>
      </c>
      <c r="K550" s="27">
        <v>47472.310200441163</v>
      </c>
      <c r="L550" s="27">
        <v>108611.49134765301</v>
      </c>
      <c r="M550" s="27">
        <v>223786.57187980524</v>
      </c>
    </row>
    <row r="551" spans="1:13" x14ac:dyDescent="0.75">
      <c r="A551" s="40">
        <v>549</v>
      </c>
      <c r="B551" s="27">
        <v>1090.6070211033657</v>
      </c>
      <c r="C551" s="27">
        <v>1753.3430240930757</v>
      </c>
      <c r="D551" s="27">
        <v>3037.1685062932374</v>
      </c>
      <c r="E551" s="27">
        <v>3750.5567396781698</v>
      </c>
      <c r="F551" s="27">
        <v>5900.8794297738059</v>
      </c>
      <c r="G551" s="27">
        <v>7711.1463818287593</v>
      </c>
      <c r="H551" s="27">
        <v>10164.373557004554</v>
      </c>
      <c r="I551" s="27">
        <v>14176.537068443678</v>
      </c>
      <c r="J551" s="27">
        <v>22169.690385363065</v>
      </c>
      <c r="K551" s="27">
        <v>44993.535627804857</v>
      </c>
      <c r="L551" s="27">
        <v>116601.44872486347</v>
      </c>
      <c r="M551" s="27">
        <v>231349.28646625002</v>
      </c>
    </row>
    <row r="552" spans="1:13" x14ac:dyDescent="0.75">
      <c r="A552" s="40">
        <v>550</v>
      </c>
      <c r="B552" s="27">
        <v>959.21466766259982</v>
      </c>
      <c r="C552" s="27">
        <v>1565.9934220332361</v>
      </c>
      <c r="D552" s="27">
        <v>2120.2825174632308</v>
      </c>
      <c r="E552" s="27">
        <v>3212.992143634503</v>
      </c>
      <c r="F552" s="27">
        <v>5172.1471203375258</v>
      </c>
      <c r="G552" s="27">
        <v>7593.9596101332863</v>
      </c>
      <c r="H552" s="27">
        <v>9852.5617986659781</v>
      </c>
      <c r="I552" s="27">
        <v>14940.195949594112</v>
      </c>
      <c r="J552" s="27">
        <v>22437.276553349031</v>
      </c>
      <c r="K552" s="27">
        <v>48498.721104654018</v>
      </c>
      <c r="L552" s="27">
        <v>107960.73798193717</v>
      </c>
      <c r="M552" s="27">
        <v>224314.08286946471</v>
      </c>
    </row>
    <row r="553" spans="1:13" x14ac:dyDescent="0.75">
      <c r="A553" s="40">
        <v>551</v>
      </c>
      <c r="B553" s="27">
        <v>1068.9368733129377</v>
      </c>
      <c r="C553" s="27">
        <v>1520.2493679651234</v>
      </c>
      <c r="D553" s="27">
        <v>2300.4588667432545</v>
      </c>
      <c r="E553" s="27">
        <v>3555.3680082869687</v>
      </c>
      <c r="F553" s="27">
        <v>4793.1768755274679</v>
      </c>
      <c r="G553" s="27">
        <v>7538.334066450625</v>
      </c>
      <c r="H553" s="27">
        <v>10509.02865820509</v>
      </c>
      <c r="I553" s="27">
        <v>13877.385411932555</v>
      </c>
      <c r="J553" s="27">
        <v>24356.193810113706</v>
      </c>
      <c r="K553" s="27">
        <v>45062.011709369355</v>
      </c>
      <c r="L553" s="27">
        <v>115129.72478525169</v>
      </c>
      <c r="M553" s="27">
        <v>229710.86843315879</v>
      </c>
    </row>
    <row r="554" spans="1:13" x14ac:dyDescent="0.75">
      <c r="A554" s="40">
        <v>552</v>
      </c>
      <c r="B554" s="27">
        <v>763.835692143708</v>
      </c>
      <c r="C554" s="27">
        <v>1386.9215721332002</v>
      </c>
      <c r="D554" s="27">
        <v>2436.3160621692659</v>
      </c>
      <c r="E554" s="27">
        <v>3623.5342309442494</v>
      </c>
      <c r="F554" s="27">
        <v>5660.356459527422</v>
      </c>
      <c r="G554" s="27">
        <v>7727.4640180021233</v>
      </c>
      <c r="H554" s="27">
        <v>9894.0501359388873</v>
      </c>
      <c r="I554" s="27">
        <v>14255.243223045574</v>
      </c>
      <c r="J554" s="27">
        <v>24285.836293874687</v>
      </c>
      <c r="K554" s="27">
        <v>48444.505463196634</v>
      </c>
      <c r="L554" s="27">
        <v>115482.42809456002</v>
      </c>
      <c r="M554" s="27">
        <v>233960.49124553578</v>
      </c>
    </row>
    <row r="555" spans="1:13" x14ac:dyDescent="0.75">
      <c r="A555" s="40">
        <v>553</v>
      </c>
      <c r="B555" s="27">
        <v>994.08812622188998</v>
      </c>
      <c r="C555" s="27">
        <v>1620.4904282228526</v>
      </c>
      <c r="D555" s="27">
        <v>2463.9448356053326</v>
      </c>
      <c r="E555" s="27">
        <v>3547.9126122337038</v>
      </c>
      <c r="F555" s="27">
        <v>5425.9347527741338</v>
      </c>
      <c r="G555" s="27">
        <v>7894.5984110372083</v>
      </c>
      <c r="H555" s="27">
        <v>9832.4678569388343</v>
      </c>
      <c r="I555" s="27">
        <v>14814.77942392767</v>
      </c>
      <c r="J555" s="27">
        <v>22372.641415985563</v>
      </c>
      <c r="K555" s="27">
        <v>46950.039690540987</v>
      </c>
      <c r="L555" s="27">
        <v>107279.78124832315</v>
      </c>
      <c r="M555" s="27">
        <v>223196.67880181133</v>
      </c>
    </row>
    <row r="556" spans="1:13" x14ac:dyDescent="0.75">
      <c r="A556" s="40">
        <v>554</v>
      </c>
      <c r="B556" s="27">
        <v>975.48462547791132</v>
      </c>
      <c r="C556" s="27">
        <v>1392.4544697983947</v>
      </c>
      <c r="D556" s="27">
        <v>2335.8834297457215</v>
      </c>
      <c r="E556" s="27">
        <v>3651.7028609224944</v>
      </c>
      <c r="F556" s="27">
        <v>5872.6473788878648</v>
      </c>
      <c r="G556" s="27">
        <v>7886.3489832682244</v>
      </c>
      <c r="H556" s="27">
        <v>10789.787153974234</v>
      </c>
      <c r="I556" s="27">
        <v>14540.580830480467</v>
      </c>
      <c r="J556" s="27">
        <v>22391.225527957446</v>
      </c>
      <c r="K556" s="27">
        <v>46410.387921150948</v>
      </c>
      <c r="L556" s="27">
        <v>106055.32128719926</v>
      </c>
      <c r="M556" s="27">
        <v>222301.82446886296</v>
      </c>
    </row>
    <row r="557" spans="1:13" x14ac:dyDescent="0.75">
      <c r="A557" s="40">
        <v>555</v>
      </c>
      <c r="B557" s="27">
        <v>970.4618868832913</v>
      </c>
      <c r="C557" s="27">
        <v>1627.2283518557379</v>
      </c>
      <c r="D557" s="27">
        <v>2151.9214798601315</v>
      </c>
      <c r="E557" s="27">
        <v>3168.6185921611032</v>
      </c>
      <c r="F557" s="27">
        <v>5138.0716916798556</v>
      </c>
      <c r="G557" s="27">
        <v>7394.2843080170569</v>
      </c>
      <c r="H557" s="27">
        <v>10245.047230362805</v>
      </c>
      <c r="I557" s="27">
        <v>14567.741605679577</v>
      </c>
      <c r="J557" s="27">
        <v>23407.781669061049</v>
      </c>
      <c r="K557" s="27">
        <v>46955.615510865522</v>
      </c>
      <c r="L557" s="27">
        <v>113030.79497141921</v>
      </c>
      <c r="M557" s="27">
        <v>228657.56729784532</v>
      </c>
    </row>
    <row r="558" spans="1:13" x14ac:dyDescent="0.75">
      <c r="A558" s="40">
        <v>556</v>
      </c>
      <c r="B558" s="27">
        <v>920.76621730453917</v>
      </c>
      <c r="C558" s="27">
        <v>1565.4215168626979</v>
      </c>
      <c r="D558" s="27">
        <v>2582.9288078910758</v>
      </c>
      <c r="E558" s="27">
        <v>3759.9236368868733</v>
      </c>
      <c r="F558" s="27">
        <v>5641.650719997444</v>
      </c>
      <c r="G558" s="27">
        <v>8064.5086720216786</v>
      </c>
      <c r="H558" s="27">
        <v>10243.196825160412</v>
      </c>
      <c r="I558" s="27">
        <v>14975.364550894301</v>
      </c>
      <c r="J558" s="27">
        <v>24169.343453624126</v>
      </c>
      <c r="K558" s="27">
        <v>49081.365675255889</v>
      </c>
      <c r="L558" s="27">
        <v>113682.25067916981</v>
      </c>
      <c r="M558" s="27">
        <v>234686.72075506885</v>
      </c>
    </row>
    <row r="559" spans="1:13" x14ac:dyDescent="0.75">
      <c r="A559" s="40">
        <v>557</v>
      </c>
      <c r="B559" s="27">
        <v>903.6701521895302</v>
      </c>
      <c r="C559" s="27">
        <v>1655.1575393204985</v>
      </c>
      <c r="D559" s="27">
        <v>2345.2169686225388</v>
      </c>
      <c r="E559" s="27">
        <v>3599.7259790654643</v>
      </c>
      <c r="F559" s="27">
        <v>6019.0915497387177</v>
      </c>
      <c r="G559" s="27">
        <v>8650.4752279640525</v>
      </c>
      <c r="H559" s="27">
        <v>10590.288148232459</v>
      </c>
      <c r="I559" s="27">
        <v>15367.019004443646</v>
      </c>
      <c r="J559" s="27">
        <v>24096.466440371514</v>
      </c>
      <c r="K559" s="27">
        <v>47017.493794964394</v>
      </c>
      <c r="L559" s="27">
        <v>108476.92844203769</v>
      </c>
      <c r="M559" s="27">
        <v>228721.53324695051</v>
      </c>
    </row>
    <row r="560" spans="1:13" x14ac:dyDescent="0.75">
      <c r="A560" s="40">
        <v>558</v>
      </c>
      <c r="B560" s="27">
        <v>764.7180513542844</v>
      </c>
      <c r="C560" s="27">
        <v>1285.6325126777665</v>
      </c>
      <c r="D560" s="27">
        <v>2055.9885592246719</v>
      </c>
      <c r="E560" s="27">
        <v>2960.1149726579752</v>
      </c>
      <c r="F560" s="27">
        <v>4591.5539043165336</v>
      </c>
      <c r="G560" s="27">
        <v>7305.0752455717011</v>
      </c>
      <c r="H560" s="27">
        <v>10178.435991690611</v>
      </c>
      <c r="I560" s="27">
        <v>14931.038196061767</v>
      </c>
      <c r="J560" s="27">
        <v>22560.46508438926</v>
      </c>
      <c r="K560" s="27">
        <v>43552.268959581241</v>
      </c>
      <c r="L560" s="27">
        <v>110746.00980519105</v>
      </c>
      <c r="M560" s="27">
        <v>220931.30128271686</v>
      </c>
    </row>
    <row r="561" spans="1:13" x14ac:dyDescent="0.75">
      <c r="A561" s="40">
        <v>559</v>
      </c>
      <c r="B561" s="27">
        <v>883.76505305095634</v>
      </c>
      <c r="C561" s="27">
        <v>1276.7715862107143</v>
      </c>
      <c r="D561" s="27">
        <v>2249.8372737326572</v>
      </c>
      <c r="E561" s="27">
        <v>3122.8314727659745</v>
      </c>
      <c r="F561" s="27">
        <v>4953.3104745270684</v>
      </c>
      <c r="G561" s="27">
        <v>7456.4992322092294</v>
      </c>
      <c r="H561" s="27">
        <v>10161.384511362558</v>
      </c>
      <c r="I561" s="27">
        <v>13576.234976299485</v>
      </c>
      <c r="J561" s="27">
        <v>21577.790070569914</v>
      </c>
      <c r="K561" s="27">
        <v>45503.912827910826</v>
      </c>
      <c r="L561" s="27">
        <v>111045.15980286649</v>
      </c>
      <c r="M561" s="27">
        <v>221807.49728150587</v>
      </c>
    </row>
    <row r="562" spans="1:13" x14ac:dyDescent="0.75">
      <c r="A562" s="40">
        <v>560</v>
      </c>
      <c r="B562" s="27">
        <v>1131.9344711667945</v>
      </c>
      <c r="C562" s="27">
        <v>1378.3776346610102</v>
      </c>
      <c r="D562" s="27">
        <v>2536.7218212746957</v>
      </c>
      <c r="E562" s="27">
        <v>3582.4999025212164</v>
      </c>
      <c r="F562" s="27">
        <v>5384.3512052603473</v>
      </c>
      <c r="G562" s="27">
        <v>8097.2842215517594</v>
      </c>
      <c r="H562" s="27">
        <v>10701.718746599741</v>
      </c>
      <c r="I562" s="27">
        <v>15463.746665098617</v>
      </c>
      <c r="J562" s="27">
        <v>24308.900118684498</v>
      </c>
      <c r="K562" s="27">
        <v>46840.067148667149</v>
      </c>
      <c r="L562" s="27">
        <v>109762.0206135995</v>
      </c>
      <c r="M562" s="27">
        <v>229187.62254908532</v>
      </c>
    </row>
    <row r="563" spans="1:13" x14ac:dyDescent="0.75">
      <c r="A563" s="40">
        <v>561</v>
      </c>
      <c r="B563" s="27">
        <v>876.11179657299363</v>
      </c>
      <c r="C563" s="27">
        <v>1470.6506521077972</v>
      </c>
      <c r="D563" s="27">
        <v>2538.9899749464385</v>
      </c>
      <c r="E563" s="27">
        <v>3505.6034263015608</v>
      </c>
      <c r="F563" s="27">
        <v>5553.3412375651096</v>
      </c>
      <c r="G563" s="27">
        <v>8052.1111958829279</v>
      </c>
      <c r="H563" s="27">
        <v>10328.924008779053</v>
      </c>
      <c r="I563" s="27">
        <v>14443.449286590345</v>
      </c>
      <c r="J563" s="27">
        <v>24992.282055370219</v>
      </c>
      <c r="K563" s="27">
        <v>48008.358898978913</v>
      </c>
      <c r="L563" s="27">
        <v>111436.63146940208</v>
      </c>
      <c r="M563" s="27">
        <v>231206.45400249743</v>
      </c>
    </row>
    <row r="564" spans="1:13" x14ac:dyDescent="0.75">
      <c r="A564" s="40">
        <v>562</v>
      </c>
      <c r="B564" s="27">
        <v>1259.7282023430744</v>
      </c>
      <c r="C564" s="27">
        <v>2037.8209310755774</v>
      </c>
      <c r="D564" s="27">
        <v>3133.0943500908179</v>
      </c>
      <c r="E564" s="27">
        <v>4397.4486467026145</v>
      </c>
      <c r="F564" s="27">
        <v>6849.3077708792116</v>
      </c>
      <c r="G564" s="27">
        <v>9134.2592427406926</v>
      </c>
      <c r="H564" s="27">
        <v>11111.764176657656</v>
      </c>
      <c r="I564" s="27">
        <v>14710.517377211057</v>
      </c>
      <c r="J564" s="27">
        <v>24838.976144849395</v>
      </c>
      <c r="K564" s="27">
        <v>45951.490989349579</v>
      </c>
      <c r="L564" s="27">
        <v>112031.92366474506</v>
      </c>
      <c r="M564" s="27">
        <v>235456.33149664474</v>
      </c>
    </row>
    <row r="565" spans="1:13" x14ac:dyDescent="0.75">
      <c r="A565" s="40">
        <v>563</v>
      </c>
      <c r="B565" s="27">
        <v>1412.6342059606541</v>
      </c>
      <c r="C565" s="27">
        <v>2068.0288787259924</v>
      </c>
      <c r="D565" s="27">
        <v>2763.7166547039233</v>
      </c>
      <c r="E565" s="27">
        <v>3958.5950745281007</v>
      </c>
      <c r="F565" s="27">
        <v>5375.0759537246486</v>
      </c>
      <c r="G565" s="27">
        <v>7835.8387042156828</v>
      </c>
      <c r="H565" s="27">
        <v>10724.120005082397</v>
      </c>
      <c r="I565" s="27">
        <v>14415.950316566523</v>
      </c>
      <c r="J565" s="27">
        <v>22809.857677192806</v>
      </c>
      <c r="K565" s="27">
        <v>47934.652892299608</v>
      </c>
      <c r="L565" s="27">
        <v>111338.38634242168</v>
      </c>
      <c r="M565" s="27">
        <v>230636.85670542202</v>
      </c>
    </row>
    <row r="566" spans="1:13" x14ac:dyDescent="0.75">
      <c r="A566" s="40">
        <v>564</v>
      </c>
      <c r="B566" s="27">
        <v>1105.9794014025392</v>
      </c>
      <c r="C566" s="27">
        <v>2140.8908835208276</v>
      </c>
      <c r="D566" s="27">
        <v>2957.2552980419423</v>
      </c>
      <c r="E566" s="27">
        <v>3861.6406789623434</v>
      </c>
      <c r="F566" s="27">
        <v>6106.4758047821815</v>
      </c>
      <c r="G566" s="27">
        <v>8819.604747530102</v>
      </c>
      <c r="H566" s="27">
        <v>10865.460504781237</v>
      </c>
      <c r="I566" s="27">
        <v>14715.618142137508</v>
      </c>
      <c r="J566" s="27">
        <v>22831.405486209085</v>
      </c>
      <c r="K566" s="27">
        <v>47166.882866893546</v>
      </c>
      <c r="L566" s="27">
        <v>107631.24499139946</v>
      </c>
      <c r="M566" s="27">
        <v>228202.45880566078</v>
      </c>
    </row>
    <row r="567" spans="1:13" x14ac:dyDescent="0.75">
      <c r="A567" s="40">
        <v>565</v>
      </c>
      <c r="B567" s="27">
        <v>790.19566563537228</v>
      </c>
      <c r="C567" s="27">
        <v>1245.7080738864752</v>
      </c>
      <c r="D567" s="27">
        <v>1878.9727799305256</v>
      </c>
      <c r="E567" s="27">
        <v>3108.6381762647943</v>
      </c>
      <c r="F567" s="27">
        <v>4981.3081200245069</v>
      </c>
      <c r="G567" s="27">
        <v>6647.3988496783131</v>
      </c>
      <c r="H567" s="27">
        <v>10066.048148041184</v>
      </c>
      <c r="I567" s="27">
        <v>13493.789714818442</v>
      </c>
      <c r="J567" s="27">
        <v>21393.427530989691</v>
      </c>
      <c r="K567" s="27">
        <v>45836.481557171966</v>
      </c>
      <c r="L567" s="27">
        <v>106481.11325299187</v>
      </c>
      <c r="M567" s="27">
        <v>215923.08186943314</v>
      </c>
    </row>
    <row r="568" spans="1:13" x14ac:dyDescent="0.75">
      <c r="A568" s="40">
        <v>566</v>
      </c>
      <c r="B568" s="27">
        <v>946.78854613722069</v>
      </c>
      <c r="C568" s="27">
        <v>1212.7553280656866</v>
      </c>
      <c r="D568" s="27">
        <v>1929.7178785963188</v>
      </c>
      <c r="E568" s="27">
        <v>3122.5600440679846</v>
      </c>
      <c r="F568" s="27">
        <v>5249.9669900387235</v>
      </c>
      <c r="G568" s="27">
        <v>7297.4190975619131</v>
      </c>
      <c r="H568" s="27">
        <v>10073.046761093923</v>
      </c>
      <c r="I568" s="27">
        <v>13715.433059104718</v>
      </c>
      <c r="J568" s="27">
        <v>23737.424258055806</v>
      </c>
      <c r="K568" s="27">
        <v>45818.008554764674</v>
      </c>
      <c r="L568" s="27">
        <v>119778.73709521425</v>
      </c>
      <c r="M568" s="27">
        <v>232881.85761270122</v>
      </c>
    </row>
    <row r="569" spans="1:13" x14ac:dyDescent="0.75">
      <c r="A569" s="40">
        <v>567</v>
      </c>
      <c r="B569" s="27">
        <v>719.16772627063619</v>
      </c>
      <c r="C569" s="27">
        <v>1196.4523112647003</v>
      </c>
      <c r="D569" s="27">
        <v>2014.6641513339127</v>
      </c>
      <c r="E569" s="27">
        <v>3204.6696323024371</v>
      </c>
      <c r="F569" s="27">
        <v>5118.4849949351919</v>
      </c>
      <c r="G569" s="27">
        <v>7377.7764400680026</v>
      </c>
      <c r="H569" s="27">
        <v>10208.965262554324</v>
      </c>
      <c r="I569" s="27">
        <v>14361.090027466067</v>
      </c>
      <c r="J569" s="27">
        <v>22230.140961055513</v>
      </c>
      <c r="K569" s="27">
        <v>45639.58900953269</v>
      </c>
      <c r="L569" s="27">
        <v>112764.31048649261</v>
      </c>
      <c r="M569" s="27">
        <v>224835.31100327609</v>
      </c>
    </row>
    <row r="570" spans="1:13" x14ac:dyDescent="0.75">
      <c r="A570" s="40">
        <v>568</v>
      </c>
      <c r="B570" s="27">
        <v>272.68288745882455</v>
      </c>
      <c r="C570" s="27">
        <v>643.42115268371708</v>
      </c>
      <c r="D570" s="27">
        <v>1472.9007900703436</v>
      </c>
      <c r="E570" s="27">
        <v>2658.2966313694633</v>
      </c>
      <c r="F570" s="27">
        <v>4454.6378985465999</v>
      </c>
      <c r="G570" s="27">
        <v>7011.5299167581252</v>
      </c>
      <c r="H570" s="27">
        <v>9202.2489900840301</v>
      </c>
      <c r="I570" s="27">
        <v>12995.234962556671</v>
      </c>
      <c r="J570" s="27">
        <v>23220.170653805544</v>
      </c>
      <c r="K570" s="27">
        <v>47795.91743963708</v>
      </c>
      <c r="L570" s="27">
        <v>110148.91421481245</v>
      </c>
      <c r="M570" s="27">
        <v>219875.95553778287</v>
      </c>
    </row>
    <row r="571" spans="1:13" x14ac:dyDescent="0.75">
      <c r="A571" s="40">
        <v>569</v>
      </c>
      <c r="B571" s="27">
        <v>669.93342012121866</v>
      </c>
      <c r="C571" s="27">
        <v>899.93276264467568</v>
      </c>
      <c r="D571" s="27">
        <v>1566.4521459675743</v>
      </c>
      <c r="E571" s="27">
        <v>2508.4329958717135</v>
      </c>
      <c r="F571" s="27">
        <v>4311.3436269508384</v>
      </c>
      <c r="G571" s="27">
        <v>6839.6653408057173</v>
      </c>
      <c r="H571" s="27">
        <v>9362.9607792007155</v>
      </c>
      <c r="I571" s="27">
        <v>14110.555808581121</v>
      </c>
      <c r="J571" s="27">
        <v>23072.195308995637</v>
      </c>
      <c r="K571" s="27">
        <v>47817.274747543212</v>
      </c>
      <c r="L571" s="27">
        <v>106435.58800006751</v>
      </c>
      <c r="M571" s="27">
        <v>217594.33493674995</v>
      </c>
    </row>
    <row r="572" spans="1:13" x14ac:dyDescent="0.75">
      <c r="A572" s="40">
        <v>570</v>
      </c>
      <c r="B572" s="27">
        <v>277.66388761374401</v>
      </c>
      <c r="C572" s="27">
        <v>592.16677638946567</v>
      </c>
      <c r="D572" s="27">
        <v>1313.3431215568999</v>
      </c>
      <c r="E572" s="27">
        <v>2337.5614487824059</v>
      </c>
      <c r="F572" s="27">
        <v>4264.9175751323346</v>
      </c>
      <c r="G572" s="27">
        <v>6935.3351637061278</v>
      </c>
      <c r="H572" s="27">
        <v>9172.3322689921624</v>
      </c>
      <c r="I572" s="27">
        <v>13624.535839039963</v>
      </c>
      <c r="J572" s="27">
        <v>23228.659493345185</v>
      </c>
      <c r="K572" s="27">
        <v>46555.568736364366</v>
      </c>
      <c r="L572" s="27">
        <v>111866.97628040463</v>
      </c>
      <c r="M572" s="27">
        <v>220169.06059132729</v>
      </c>
    </row>
    <row r="573" spans="1:13" x14ac:dyDescent="0.75">
      <c r="A573" s="40">
        <v>571</v>
      </c>
      <c r="B573" s="27">
        <v>662.12091477359354</v>
      </c>
      <c r="C573" s="27">
        <v>921.27653271623421</v>
      </c>
      <c r="D573" s="27">
        <v>1694.682618818435</v>
      </c>
      <c r="E573" s="27">
        <v>3056.8122415248508</v>
      </c>
      <c r="F573" s="27">
        <v>4869.7944346915465</v>
      </c>
      <c r="G573" s="27">
        <v>6827.1092038838833</v>
      </c>
      <c r="H573" s="27">
        <v>9408.1714072661853</v>
      </c>
      <c r="I573" s="27">
        <v>14322.325378671841</v>
      </c>
      <c r="J573" s="27">
        <v>22323.350902942097</v>
      </c>
      <c r="K573" s="27">
        <v>46392.07907080173</v>
      </c>
      <c r="L573" s="27">
        <v>117756.91636532827</v>
      </c>
      <c r="M573" s="27">
        <v>228234.63907141867</v>
      </c>
    </row>
    <row r="574" spans="1:13" x14ac:dyDescent="0.75">
      <c r="A574" s="40">
        <v>572</v>
      </c>
      <c r="B574" s="27">
        <v>837.75857059199188</v>
      </c>
      <c r="C574" s="27">
        <v>1383.7081565840053</v>
      </c>
      <c r="D574" s="27">
        <v>2594.7205066767347</v>
      </c>
      <c r="E574" s="27">
        <v>3479.5512157422781</v>
      </c>
      <c r="F574" s="27">
        <v>5353.4627042690408</v>
      </c>
      <c r="G574" s="27">
        <v>7865.6478252850648</v>
      </c>
      <c r="H574" s="27">
        <v>10503.970337776816</v>
      </c>
      <c r="I574" s="27">
        <v>13979.72541479842</v>
      </c>
      <c r="J574" s="27">
        <v>24849.196593256696</v>
      </c>
      <c r="K574" s="27">
        <v>47074.793779287313</v>
      </c>
      <c r="L574" s="27">
        <v>112835.58663376761</v>
      </c>
      <c r="M574" s="27">
        <v>230758.12173803599</v>
      </c>
    </row>
    <row r="575" spans="1:13" x14ac:dyDescent="0.75">
      <c r="A575" s="40">
        <v>573</v>
      </c>
      <c r="B575" s="27">
        <v>1324.3699085742701</v>
      </c>
      <c r="C575" s="27">
        <v>2163.490246966001</v>
      </c>
      <c r="D575" s="27">
        <v>3242.0128601560427</v>
      </c>
      <c r="E575" s="27">
        <v>4742.1857662126276</v>
      </c>
      <c r="F575" s="27">
        <v>6941.5812390649226</v>
      </c>
      <c r="G575" s="27">
        <v>9352.2156047640019</v>
      </c>
      <c r="H575" s="27">
        <v>12317.171700964012</v>
      </c>
      <c r="I575" s="27">
        <v>15812.654056205807</v>
      </c>
      <c r="J575" s="27">
        <v>25515.294759991288</v>
      </c>
      <c r="K575" s="27">
        <v>45449.337289534378</v>
      </c>
      <c r="L575" s="27">
        <v>109835.52053342978</v>
      </c>
      <c r="M575" s="27">
        <v>236695.83396586313</v>
      </c>
    </row>
    <row r="576" spans="1:13" x14ac:dyDescent="0.75">
      <c r="A576" s="40">
        <v>574</v>
      </c>
      <c r="B576" s="27">
        <v>879.45547933525813</v>
      </c>
      <c r="C576" s="27">
        <v>1195.282638499586</v>
      </c>
      <c r="D576" s="27">
        <v>2124.1030039517645</v>
      </c>
      <c r="E576" s="27">
        <v>3133.6388551793934</v>
      </c>
      <c r="F576" s="27">
        <v>4984.9461540808843</v>
      </c>
      <c r="G576" s="27">
        <v>7477.4775744049402</v>
      </c>
      <c r="H576" s="27">
        <v>10152.539851684123</v>
      </c>
      <c r="I576" s="27">
        <v>13937.54962266497</v>
      </c>
      <c r="J576" s="27">
        <v>22793.552059350666</v>
      </c>
      <c r="K576" s="27">
        <v>44874.601137731792</v>
      </c>
      <c r="L576" s="27">
        <v>111635.04550666109</v>
      </c>
      <c r="M576" s="27">
        <v>223188.19188354447</v>
      </c>
    </row>
    <row r="577" spans="1:13" x14ac:dyDescent="0.75">
      <c r="A577" s="40">
        <v>575</v>
      </c>
      <c r="B577" s="27">
        <v>739.99469434234197</v>
      </c>
      <c r="C577" s="27">
        <v>1313.6006910314318</v>
      </c>
      <c r="D577" s="27">
        <v>2236.2214682742488</v>
      </c>
      <c r="E577" s="27">
        <v>3126.5153234775353</v>
      </c>
      <c r="F577" s="27">
        <v>4914.8118504440645</v>
      </c>
      <c r="G577" s="27">
        <v>7300.7315610524965</v>
      </c>
      <c r="H577" s="27">
        <v>9752.6027082408255</v>
      </c>
      <c r="I577" s="27">
        <v>14033.392142218931</v>
      </c>
      <c r="J577" s="27">
        <v>21745.162909592473</v>
      </c>
      <c r="K577" s="27">
        <v>43480.727538406005</v>
      </c>
      <c r="L577" s="27">
        <v>116550.39448466201</v>
      </c>
      <c r="M577" s="27">
        <v>225194.15537174238</v>
      </c>
    </row>
    <row r="578" spans="1:13" x14ac:dyDescent="0.75">
      <c r="A578" s="40">
        <v>576</v>
      </c>
      <c r="B578" s="27">
        <v>1348.7774020962243</v>
      </c>
      <c r="C578" s="27">
        <v>1900.8758928160823</v>
      </c>
      <c r="D578" s="27">
        <v>3037.7930911339645</v>
      </c>
      <c r="E578" s="27">
        <v>4329.9791322238161</v>
      </c>
      <c r="F578" s="27">
        <v>6056.655727854115</v>
      </c>
      <c r="G578" s="27">
        <v>8310.6109900483279</v>
      </c>
      <c r="H578" s="27">
        <v>10544.7360604571</v>
      </c>
      <c r="I578" s="27">
        <v>14252.806844239836</v>
      </c>
      <c r="J578" s="27">
        <v>22764.475772220176</v>
      </c>
      <c r="K578" s="27">
        <v>46955.600687040103</v>
      </c>
      <c r="L578" s="27">
        <v>110359.48657668644</v>
      </c>
      <c r="M578" s="27">
        <v>229861.7981768162</v>
      </c>
    </row>
    <row r="579" spans="1:13" x14ac:dyDescent="0.75">
      <c r="A579" s="40">
        <v>577</v>
      </c>
      <c r="B579" s="27">
        <v>1044.0214955312404</v>
      </c>
      <c r="C579" s="27">
        <v>1379.620154212651</v>
      </c>
      <c r="D579" s="27">
        <v>2270.916107345387</v>
      </c>
      <c r="E579" s="27">
        <v>3497.4135493722133</v>
      </c>
      <c r="F579" s="27">
        <v>5412.9351107109396</v>
      </c>
      <c r="G579" s="27">
        <v>7459.3281272680324</v>
      </c>
      <c r="H579" s="27">
        <v>9801.2840178838524</v>
      </c>
      <c r="I579" s="27">
        <v>14115.442191907903</v>
      </c>
      <c r="J579" s="27">
        <v>22045.836567992723</v>
      </c>
      <c r="K579" s="27">
        <v>44858.867766087584</v>
      </c>
      <c r="L579" s="27">
        <v>105945.32947497665</v>
      </c>
      <c r="M579" s="27">
        <v>217830.99456328916</v>
      </c>
    </row>
    <row r="580" spans="1:13" x14ac:dyDescent="0.75">
      <c r="A580" s="40">
        <v>578</v>
      </c>
      <c r="B580" s="27">
        <v>634.46282287863141</v>
      </c>
      <c r="C580" s="27">
        <v>1137.7986582211597</v>
      </c>
      <c r="D580" s="27">
        <v>1854.7279346585565</v>
      </c>
      <c r="E580" s="27">
        <v>2957.3619313523523</v>
      </c>
      <c r="F580" s="27">
        <v>4660.3954601163277</v>
      </c>
      <c r="G580" s="27">
        <v>7584.9090566050436</v>
      </c>
      <c r="H580" s="27">
        <v>10077.666336875613</v>
      </c>
      <c r="I580" s="27">
        <v>13705.063252797976</v>
      </c>
      <c r="J580" s="27">
        <v>23485.121347603883</v>
      </c>
      <c r="K580" s="27">
        <v>44721.979140891795</v>
      </c>
      <c r="L580" s="27">
        <v>112322.00720219356</v>
      </c>
      <c r="M580" s="27">
        <v>223141.49314419489</v>
      </c>
    </row>
    <row r="581" spans="1:13" x14ac:dyDescent="0.75">
      <c r="A581" s="40">
        <v>579</v>
      </c>
      <c r="B581" s="27">
        <v>1114.7632961886702</v>
      </c>
      <c r="C581" s="27">
        <v>1881.5369013990712</v>
      </c>
      <c r="D581" s="27">
        <v>2890.1204615556053</v>
      </c>
      <c r="E581" s="27">
        <v>3661.4628812796436</v>
      </c>
      <c r="F581" s="27">
        <v>5584.7004260263784</v>
      </c>
      <c r="G581" s="27">
        <v>8176.4880457422987</v>
      </c>
      <c r="H581" s="27">
        <v>11142.840043991513</v>
      </c>
      <c r="I581" s="27">
        <v>15460.080836454552</v>
      </c>
      <c r="J581" s="27">
        <v>24460.098353654539</v>
      </c>
      <c r="K581" s="27">
        <v>50472.064987423102</v>
      </c>
      <c r="L581" s="27">
        <v>115766.45211069864</v>
      </c>
      <c r="M581" s="27">
        <v>240610.60834441401</v>
      </c>
    </row>
    <row r="582" spans="1:13" x14ac:dyDescent="0.75">
      <c r="A582" s="40">
        <v>580</v>
      </c>
      <c r="B582" s="27">
        <v>488.13673230119457</v>
      </c>
      <c r="C582" s="27">
        <v>987.27738594177936</v>
      </c>
      <c r="D582" s="27">
        <v>1951.3743705360102</v>
      </c>
      <c r="E582" s="27">
        <v>3088.0384355619899</v>
      </c>
      <c r="F582" s="27">
        <v>5103.2234506498789</v>
      </c>
      <c r="G582" s="27">
        <v>7391.3929981904512</v>
      </c>
      <c r="H582" s="27">
        <v>10111.717765791836</v>
      </c>
      <c r="I582" s="27">
        <v>13821.204858011537</v>
      </c>
      <c r="J582" s="27">
        <v>21506.245393132689</v>
      </c>
      <c r="K582" s="27">
        <v>47223.086180550119</v>
      </c>
      <c r="L582" s="27">
        <v>114827.14142655297</v>
      </c>
      <c r="M582" s="27">
        <v>226498.83899722045</v>
      </c>
    </row>
    <row r="583" spans="1:13" x14ac:dyDescent="0.75">
      <c r="A583" s="40">
        <v>581</v>
      </c>
      <c r="B583" s="27">
        <v>1108.542998759498</v>
      </c>
      <c r="C583" s="27">
        <v>1676.8871701382886</v>
      </c>
      <c r="D583" s="27">
        <v>2829.0446779595222</v>
      </c>
      <c r="E583" s="27">
        <v>3980.2414468466595</v>
      </c>
      <c r="F583" s="27">
        <v>6157.3842072497355</v>
      </c>
      <c r="G583" s="27">
        <v>8375.389046770084</v>
      </c>
      <c r="H583" s="27">
        <v>10766.680262330905</v>
      </c>
      <c r="I583" s="27">
        <v>14832.907290831427</v>
      </c>
      <c r="J583" s="27">
        <v>23584.396335037163</v>
      </c>
      <c r="K583" s="27">
        <v>47861.20829041081</v>
      </c>
      <c r="L583" s="27">
        <v>113450.73286601482</v>
      </c>
      <c r="M583" s="27">
        <v>234623.41459234891</v>
      </c>
    </row>
    <row r="584" spans="1:13" x14ac:dyDescent="0.75">
      <c r="A584" s="40">
        <v>582</v>
      </c>
      <c r="B584" s="27">
        <v>1085.2196201365587</v>
      </c>
      <c r="C584" s="27">
        <v>1445.3885209823493</v>
      </c>
      <c r="D584" s="27">
        <v>2384.5042663116619</v>
      </c>
      <c r="E584" s="27">
        <v>3374.374564118727</v>
      </c>
      <c r="F584" s="27">
        <v>5498.8065486357955</v>
      </c>
      <c r="G584" s="27">
        <v>7601.2926477168221</v>
      </c>
      <c r="H584" s="27">
        <v>10450.284921835511</v>
      </c>
      <c r="I584" s="27">
        <v>14056.643065630662</v>
      </c>
      <c r="J584" s="27">
        <v>23457.952723677532</v>
      </c>
      <c r="K584" s="27">
        <v>46033.46435339679</v>
      </c>
      <c r="L584" s="27">
        <v>110231.10243031918</v>
      </c>
      <c r="M584" s="27">
        <v>225619.03366276159</v>
      </c>
    </row>
    <row r="585" spans="1:13" x14ac:dyDescent="0.75">
      <c r="A585" s="40">
        <v>583</v>
      </c>
      <c r="B585" s="27">
        <v>459.66450412622362</v>
      </c>
      <c r="C585" s="27">
        <v>651.55974790998152</v>
      </c>
      <c r="D585" s="27">
        <v>1513.8223526834772</v>
      </c>
      <c r="E585" s="27">
        <v>2879.1757091766631</v>
      </c>
      <c r="F585" s="27">
        <v>4863.8161240903864</v>
      </c>
      <c r="G585" s="27">
        <v>7110.8498829149758</v>
      </c>
      <c r="H585" s="27">
        <v>9789.5935106817051</v>
      </c>
      <c r="I585" s="27">
        <v>13832.297343512211</v>
      </c>
      <c r="J585" s="27">
        <v>22837.652547933045</v>
      </c>
      <c r="K585" s="27">
        <v>45197.546223191312</v>
      </c>
      <c r="L585" s="27">
        <v>106169.72098044533</v>
      </c>
      <c r="M585" s="27">
        <v>215305.6989266653</v>
      </c>
    </row>
    <row r="586" spans="1:13" x14ac:dyDescent="0.75">
      <c r="A586" s="40">
        <v>584</v>
      </c>
      <c r="B586" s="27">
        <v>1527.8428330253519</v>
      </c>
      <c r="C586" s="27">
        <v>2186.2779817619448</v>
      </c>
      <c r="D586" s="27">
        <v>2978.7406969425501</v>
      </c>
      <c r="E586" s="27">
        <v>4413.8962506303942</v>
      </c>
      <c r="F586" s="27">
        <v>6195.3612793556822</v>
      </c>
      <c r="G586" s="27">
        <v>8161.0835481222894</v>
      </c>
      <c r="H586" s="27">
        <v>10434.17090000771</v>
      </c>
      <c r="I586" s="27">
        <v>14896.190355163257</v>
      </c>
      <c r="J586" s="27">
        <v>24395.333103906596</v>
      </c>
      <c r="K586" s="27">
        <v>46656.214533603794</v>
      </c>
      <c r="L586" s="27">
        <v>103212.05539943848</v>
      </c>
      <c r="M586" s="27">
        <v>225057.16688195805</v>
      </c>
    </row>
    <row r="587" spans="1:13" x14ac:dyDescent="0.75">
      <c r="A587" s="40">
        <v>585</v>
      </c>
      <c r="B587" s="27">
        <v>738.74387677547929</v>
      </c>
      <c r="C587" s="27">
        <v>1245.2480073175393</v>
      </c>
      <c r="D587" s="27">
        <v>1986.5526312475849</v>
      </c>
      <c r="E587" s="27">
        <v>3180.4970609559823</v>
      </c>
      <c r="F587" s="27">
        <v>5168.0952571417438</v>
      </c>
      <c r="G587" s="27">
        <v>6963.5809127361572</v>
      </c>
      <c r="H587" s="27">
        <v>9580.5934695808101</v>
      </c>
      <c r="I587" s="27">
        <v>13584.357298483708</v>
      </c>
      <c r="J587" s="27">
        <v>22543.834119893203</v>
      </c>
      <c r="K587" s="27">
        <v>47474.105524553685</v>
      </c>
      <c r="L587" s="27">
        <v>105989.75805707376</v>
      </c>
      <c r="M587" s="27">
        <v>218455.36621575966</v>
      </c>
    </row>
    <row r="588" spans="1:13" x14ac:dyDescent="0.75">
      <c r="A588" s="40">
        <v>586</v>
      </c>
      <c r="B588" s="27">
        <v>651.65714162006043</v>
      </c>
      <c r="C588" s="27">
        <v>1356.6604425185942</v>
      </c>
      <c r="D588" s="27">
        <v>2218.3031242151628</v>
      </c>
      <c r="E588" s="27">
        <v>3366.5371532013814</v>
      </c>
      <c r="F588" s="27">
        <v>5183.6344675894943</v>
      </c>
      <c r="G588" s="27">
        <v>7258.4883380063984</v>
      </c>
      <c r="H588" s="27">
        <v>9937.2747199705482</v>
      </c>
      <c r="I588" s="27">
        <v>13936.269314681398</v>
      </c>
      <c r="J588" s="27">
        <v>21599.174978989162</v>
      </c>
      <c r="K588" s="27">
        <v>46149.892505799886</v>
      </c>
      <c r="L588" s="27">
        <v>118311.1580532782</v>
      </c>
      <c r="M588" s="27">
        <v>229969.05023987027</v>
      </c>
    </row>
    <row r="589" spans="1:13" x14ac:dyDescent="0.75">
      <c r="A589" s="40">
        <v>587</v>
      </c>
      <c r="B589" s="27">
        <v>734.5021554485138</v>
      </c>
      <c r="C589" s="27">
        <v>1284.4342557506025</v>
      </c>
      <c r="D589" s="27">
        <v>2363.4535806930216</v>
      </c>
      <c r="E589" s="27">
        <v>3793.8599888738245</v>
      </c>
      <c r="F589" s="27">
        <v>5381.8803504309326</v>
      </c>
      <c r="G589" s="27">
        <v>7867.8808910383668</v>
      </c>
      <c r="H589" s="27">
        <v>9962.2373427528655</v>
      </c>
      <c r="I589" s="27">
        <v>14555.110023488349</v>
      </c>
      <c r="J589" s="27">
        <v>22760.195864208319</v>
      </c>
      <c r="K589" s="27">
        <v>44654.899167975673</v>
      </c>
      <c r="L589" s="27">
        <v>114078.82774132495</v>
      </c>
      <c r="M589" s="27">
        <v>227437.28136198543</v>
      </c>
    </row>
    <row r="590" spans="1:13" x14ac:dyDescent="0.75">
      <c r="A590" s="40">
        <v>588</v>
      </c>
      <c r="B590" s="27">
        <v>606.47340067633195</v>
      </c>
      <c r="C590" s="27">
        <v>1141.2179697232641</v>
      </c>
      <c r="D590" s="27">
        <v>2076.6422588649148</v>
      </c>
      <c r="E590" s="27">
        <v>3242.1874220984027</v>
      </c>
      <c r="F590" s="27">
        <v>5062.2360388256202</v>
      </c>
      <c r="G590" s="27">
        <v>7385.9495162056119</v>
      </c>
      <c r="H590" s="27">
        <v>10112.165136267664</v>
      </c>
      <c r="I590" s="27">
        <v>13905.324157238167</v>
      </c>
      <c r="J590" s="27">
        <v>22455.633122546598</v>
      </c>
      <c r="K590" s="27">
        <v>46040.963601235781</v>
      </c>
      <c r="L590" s="27">
        <v>115906.88679327095</v>
      </c>
      <c r="M590" s="27">
        <v>227935.6794169533</v>
      </c>
    </row>
    <row r="591" spans="1:13" x14ac:dyDescent="0.75">
      <c r="A591" s="40">
        <v>589</v>
      </c>
      <c r="B591" s="27">
        <v>673.07905495421437</v>
      </c>
      <c r="C591" s="27">
        <v>1214.3762850308995</v>
      </c>
      <c r="D591" s="27">
        <v>2246.5358861703571</v>
      </c>
      <c r="E591" s="27">
        <v>3663.0424220788991</v>
      </c>
      <c r="F591" s="27">
        <v>5568.8481972351146</v>
      </c>
      <c r="G591" s="27">
        <v>8231.5269824923307</v>
      </c>
      <c r="H591" s="27">
        <v>11107.306100206537</v>
      </c>
      <c r="I591" s="27">
        <v>15644.528180452558</v>
      </c>
      <c r="J591" s="27">
        <v>24007.081011360089</v>
      </c>
      <c r="K591" s="27">
        <v>43711.010525192862</v>
      </c>
      <c r="L591" s="27">
        <v>120566.92139274607</v>
      </c>
      <c r="M591" s="27">
        <v>236634.25603791993</v>
      </c>
    </row>
    <row r="592" spans="1:13" x14ac:dyDescent="0.75">
      <c r="A592" s="40">
        <v>590</v>
      </c>
      <c r="B592" s="27">
        <v>272.42731772713887</v>
      </c>
      <c r="C592" s="27">
        <v>677.93946943165793</v>
      </c>
      <c r="D592" s="27">
        <v>1734.7316163976939</v>
      </c>
      <c r="E592" s="27">
        <v>2759.9502660502767</v>
      </c>
      <c r="F592" s="27">
        <v>4810.4024802958302</v>
      </c>
      <c r="G592" s="27">
        <v>7010.939815468184</v>
      </c>
      <c r="H592" s="27">
        <v>9612.9120223784412</v>
      </c>
      <c r="I592" s="27">
        <v>14334.504978273835</v>
      </c>
      <c r="J592" s="27">
        <v>23116.238442090151</v>
      </c>
      <c r="K592" s="27">
        <v>46680.926777516725</v>
      </c>
      <c r="L592" s="27">
        <v>104956.33659324436</v>
      </c>
      <c r="M592" s="27">
        <v>215967.30977887427</v>
      </c>
    </row>
    <row r="593" spans="1:13" x14ac:dyDescent="0.75">
      <c r="A593" s="40">
        <v>591</v>
      </c>
      <c r="B593" s="27">
        <v>1042.8810910726461</v>
      </c>
      <c r="C593" s="27">
        <v>1783.0786727839441</v>
      </c>
      <c r="D593" s="27">
        <v>2565.8504350108415</v>
      </c>
      <c r="E593" s="27">
        <v>3703.181499507933</v>
      </c>
      <c r="F593" s="27">
        <v>5455.6090963590541</v>
      </c>
      <c r="G593" s="27">
        <v>8002.6661501272756</v>
      </c>
      <c r="H593" s="27">
        <v>10181.44769999155</v>
      </c>
      <c r="I593" s="27">
        <v>14630.878515057862</v>
      </c>
      <c r="J593" s="27">
        <v>22027.59912545218</v>
      </c>
      <c r="K593" s="27">
        <v>45722.851962586137</v>
      </c>
      <c r="L593" s="27">
        <v>116084.70199536518</v>
      </c>
      <c r="M593" s="27">
        <v>231200.74624331458</v>
      </c>
    </row>
    <row r="594" spans="1:13" x14ac:dyDescent="0.75">
      <c r="A594" s="40">
        <v>592</v>
      </c>
      <c r="B594" s="27">
        <v>1155.0270751117496</v>
      </c>
      <c r="C594" s="27">
        <v>1584.2684597086045</v>
      </c>
      <c r="D594" s="27">
        <v>2868.6496445724042</v>
      </c>
      <c r="E594" s="27">
        <v>3991.6756882551126</v>
      </c>
      <c r="F594" s="27">
        <v>6227.3210844122805</v>
      </c>
      <c r="G594" s="27">
        <v>8155.3171386802569</v>
      </c>
      <c r="H594" s="27">
        <v>10711.643969842</v>
      </c>
      <c r="I594" s="27">
        <v>14226.727002500527</v>
      </c>
      <c r="J594" s="27">
        <v>23546.665965115782</v>
      </c>
      <c r="K594" s="27">
        <v>49189.261876110613</v>
      </c>
      <c r="L594" s="27">
        <v>114587.25245274091</v>
      </c>
      <c r="M594" s="27">
        <v>236243.81035705024</v>
      </c>
    </row>
    <row r="595" spans="1:13" x14ac:dyDescent="0.75">
      <c r="A595" s="40">
        <v>593</v>
      </c>
      <c r="B595" s="27">
        <v>1562.5338231369387</v>
      </c>
      <c r="C595" s="27">
        <v>2127.0230367182667</v>
      </c>
      <c r="D595" s="27">
        <v>3300.3292832090228</v>
      </c>
      <c r="E595" s="27">
        <v>4575.0626740286389</v>
      </c>
      <c r="F595" s="27">
        <v>6067.8090380740468</v>
      </c>
      <c r="G595" s="27">
        <v>9066.3079659841897</v>
      </c>
      <c r="H595" s="27">
        <v>11695.915386691951</v>
      </c>
      <c r="I595" s="27">
        <v>15306.35842905147</v>
      </c>
      <c r="J595" s="27">
        <v>25258.331060153141</v>
      </c>
      <c r="K595" s="27">
        <v>49993.175530359469</v>
      </c>
      <c r="L595" s="27">
        <v>119440.93174229619</v>
      </c>
      <c r="M595" s="27">
        <v>248393.77796970331</v>
      </c>
    </row>
    <row r="596" spans="1:13" x14ac:dyDescent="0.75">
      <c r="A596" s="40">
        <v>594</v>
      </c>
      <c r="B596" s="27">
        <v>997.59025189134991</v>
      </c>
      <c r="C596" s="27">
        <v>1461.3927663779614</v>
      </c>
      <c r="D596" s="27">
        <v>2334.1856872273929</v>
      </c>
      <c r="E596" s="27">
        <v>3534.413899187668</v>
      </c>
      <c r="F596" s="27">
        <v>5786.3651646908838</v>
      </c>
      <c r="G596" s="27">
        <v>8131.3873079731129</v>
      </c>
      <c r="H596" s="27">
        <v>11284.781607620302</v>
      </c>
      <c r="I596" s="27">
        <v>15086.015485506447</v>
      </c>
      <c r="J596" s="27">
        <v>22844.410783820582</v>
      </c>
      <c r="K596" s="27">
        <v>47892.170394944609</v>
      </c>
      <c r="L596" s="27">
        <v>107142.53242015101</v>
      </c>
      <c r="M596" s="27">
        <v>226495.2457693913</v>
      </c>
    </row>
    <row r="597" spans="1:13" x14ac:dyDescent="0.75">
      <c r="A597" s="40">
        <v>595</v>
      </c>
      <c r="B597" s="27">
        <v>523.85222186385363</v>
      </c>
      <c r="C597" s="27">
        <v>1076.4243811639171</v>
      </c>
      <c r="D597" s="27">
        <v>1796.4629577050509</v>
      </c>
      <c r="E597" s="27">
        <v>2712.3408169091417</v>
      </c>
      <c r="F597" s="27">
        <v>4568.1591620185645</v>
      </c>
      <c r="G597" s="27">
        <v>6609.3543315541756</v>
      </c>
      <c r="H597" s="27">
        <v>9770.9856351697817</v>
      </c>
      <c r="I597" s="27">
        <v>13813.056044747456</v>
      </c>
      <c r="J597" s="27">
        <v>21970.706545062916</v>
      </c>
      <c r="K597" s="27">
        <v>45853.663689824665</v>
      </c>
      <c r="L597" s="27">
        <v>113715.23827055021</v>
      </c>
      <c r="M597" s="27">
        <v>222410.24405656973</v>
      </c>
    </row>
    <row r="598" spans="1:13" x14ac:dyDescent="0.75">
      <c r="A598" s="40">
        <v>596</v>
      </c>
      <c r="B598" s="27">
        <v>768.57864038615662</v>
      </c>
      <c r="C598" s="27">
        <v>1298.2133673114004</v>
      </c>
      <c r="D598" s="27">
        <v>2173.9525115031865</v>
      </c>
      <c r="E598" s="27">
        <v>3196.986018218915</v>
      </c>
      <c r="F598" s="27">
        <v>4848.4859155996965</v>
      </c>
      <c r="G598" s="27">
        <v>7258.9571116750885</v>
      </c>
      <c r="H598" s="27">
        <v>10243.432226502278</v>
      </c>
      <c r="I598" s="27">
        <v>14445.067928648787</v>
      </c>
      <c r="J598" s="27">
        <v>24077.124534814691</v>
      </c>
      <c r="K598" s="27">
        <v>48945.813475290008</v>
      </c>
      <c r="L598" s="27">
        <v>116177.94576607404</v>
      </c>
      <c r="M598" s="27">
        <v>233434.55749602424</v>
      </c>
    </row>
    <row r="599" spans="1:13" x14ac:dyDescent="0.75">
      <c r="A599" s="40">
        <v>597</v>
      </c>
      <c r="B599" s="27">
        <v>289.47642037465994</v>
      </c>
      <c r="C599" s="27">
        <v>957.16399998667475</v>
      </c>
      <c r="D599" s="27">
        <v>1749.0566432474006</v>
      </c>
      <c r="E599" s="27">
        <v>2735.376405221381</v>
      </c>
      <c r="F599" s="27">
        <v>4514.3304366453522</v>
      </c>
      <c r="G599" s="27">
        <v>6608.0348755415762</v>
      </c>
      <c r="H599" s="27">
        <v>9377.9857979066728</v>
      </c>
      <c r="I599" s="27">
        <v>13708.770786468565</v>
      </c>
      <c r="J599" s="27">
        <v>22089.013998091177</v>
      </c>
      <c r="K599" s="27">
        <v>46393.584616376174</v>
      </c>
      <c r="L599" s="27">
        <v>108653.47462305834</v>
      </c>
      <c r="M599" s="27">
        <v>217076.26860291796</v>
      </c>
    </row>
    <row r="600" spans="1:13" x14ac:dyDescent="0.75">
      <c r="A600" s="40">
        <v>598</v>
      </c>
      <c r="B600" s="27">
        <v>821.23953540925868</v>
      </c>
      <c r="C600" s="27">
        <v>1579.1916690267244</v>
      </c>
      <c r="D600" s="27">
        <v>2461.9433285675768</v>
      </c>
      <c r="E600" s="27">
        <v>3555.2044645523856</v>
      </c>
      <c r="F600" s="27">
        <v>5178.090565425533</v>
      </c>
      <c r="G600" s="27">
        <v>7620.0673020198883</v>
      </c>
      <c r="H600" s="27">
        <v>10566.051302153341</v>
      </c>
      <c r="I600" s="27">
        <v>13673.62635341406</v>
      </c>
      <c r="J600" s="27">
        <v>24479.026039953969</v>
      </c>
      <c r="K600" s="27">
        <v>50186.111708061042</v>
      </c>
      <c r="L600" s="27">
        <v>110377.54951856731</v>
      </c>
      <c r="M600" s="27">
        <v>230498.10178715107</v>
      </c>
    </row>
    <row r="601" spans="1:13" x14ac:dyDescent="0.75">
      <c r="A601" s="40">
        <v>599</v>
      </c>
      <c r="B601" s="27">
        <v>1336.0193406992039</v>
      </c>
      <c r="C601" s="27">
        <v>1782.4262914995052</v>
      </c>
      <c r="D601" s="27">
        <v>2581.8418096581736</v>
      </c>
      <c r="E601" s="27">
        <v>3800.264521609628</v>
      </c>
      <c r="F601" s="27">
        <v>6209.5823267847009</v>
      </c>
      <c r="G601" s="27">
        <v>8169.3410670689191</v>
      </c>
      <c r="H601" s="27">
        <v>10441.486752290657</v>
      </c>
      <c r="I601" s="27">
        <v>15108.139749081733</v>
      </c>
      <c r="J601" s="27">
        <v>22898.342669395148</v>
      </c>
      <c r="K601" s="27">
        <v>47845.353679350985</v>
      </c>
      <c r="L601" s="27">
        <v>109670.35325805146</v>
      </c>
      <c r="M601" s="27">
        <v>229843.15146549011</v>
      </c>
    </row>
    <row r="602" spans="1:13" x14ac:dyDescent="0.75">
      <c r="A602" s="40">
        <v>600</v>
      </c>
      <c r="B602" s="27">
        <v>701.67756081941479</v>
      </c>
      <c r="C602" s="27">
        <v>1079.9478015120985</v>
      </c>
      <c r="D602" s="27">
        <v>1841.3706984582241</v>
      </c>
      <c r="E602" s="27">
        <v>2994.322384574305</v>
      </c>
      <c r="F602" s="27">
        <v>5370.7851079707325</v>
      </c>
      <c r="G602" s="27">
        <v>7267.3445538266096</v>
      </c>
      <c r="H602" s="27">
        <v>9899.3930241188209</v>
      </c>
      <c r="I602" s="27">
        <v>14659.28567858896</v>
      </c>
      <c r="J602" s="27">
        <v>22748.895753245713</v>
      </c>
      <c r="K602" s="27">
        <v>47526.70080961936</v>
      </c>
      <c r="L602" s="27">
        <v>107556.18355354309</v>
      </c>
      <c r="M602" s="27">
        <v>221645.90692627733</v>
      </c>
    </row>
    <row r="603" spans="1:13" x14ac:dyDescent="0.75">
      <c r="A603" s="40">
        <v>601</v>
      </c>
      <c r="B603" s="27">
        <v>543.4216086796805</v>
      </c>
      <c r="C603" s="27">
        <v>904.88073805092426</v>
      </c>
      <c r="D603" s="27">
        <v>1667.4520292556408</v>
      </c>
      <c r="E603" s="27">
        <v>2751.3167916923412</v>
      </c>
      <c r="F603" s="27">
        <v>4813.7678374198149</v>
      </c>
      <c r="G603" s="27">
        <v>7095.1514182505489</v>
      </c>
      <c r="H603" s="27">
        <v>9311.3038596664119</v>
      </c>
      <c r="I603" s="27">
        <v>13772.625538846987</v>
      </c>
      <c r="J603" s="27">
        <v>21947.613525219582</v>
      </c>
      <c r="K603" s="27">
        <v>46097.745641070418</v>
      </c>
      <c r="L603" s="27">
        <v>104515.48865900717</v>
      </c>
      <c r="M603" s="27">
        <v>213420.76764715952</v>
      </c>
    </row>
    <row r="604" spans="1:13" x14ac:dyDescent="0.75">
      <c r="A604" s="40">
        <v>602</v>
      </c>
      <c r="B604" s="27">
        <v>497.2885654574784</v>
      </c>
      <c r="C604" s="27">
        <v>854.16835667620762</v>
      </c>
      <c r="D604" s="27">
        <v>1758.9176766961609</v>
      </c>
      <c r="E604" s="27">
        <v>3168.2929099289177</v>
      </c>
      <c r="F604" s="27">
        <v>4249.0199531147955</v>
      </c>
      <c r="G604" s="27">
        <v>6664.4203050474171</v>
      </c>
      <c r="H604" s="27">
        <v>9516.7558641640353</v>
      </c>
      <c r="I604" s="27">
        <v>13544.432878197549</v>
      </c>
      <c r="J604" s="27">
        <v>21356.266989910975</v>
      </c>
      <c r="K604" s="27">
        <v>44095.728939715656</v>
      </c>
      <c r="L604" s="27">
        <v>110913.91784741421</v>
      </c>
      <c r="M604" s="27">
        <v>216619.21028632339</v>
      </c>
    </row>
    <row r="605" spans="1:13" x14ac:dyDescent="0.75">
      <c r="A605" s="40">
        <v>603</v>
      </c>
      <c r="B605" s="27">
        <v>1091.7566528047901</v>
      </c>
      <c r="C605" s="27">
        <v>1977.7035395059356</v>
      </c>
      <c r="D605" s="27">
        <v>2688.3001117393869</v>
      </c>
      <c r="E605" s="27">
        <v>3974.1232386302581</v>
      </c>
      <c r="F605" s="27">
        <v>5793.2737793302513</v>
      </c>
      <c r="G605" s="27">
        <v>8246.2191574919852</v>
      </c>
      <c r="H605" s="27">
        <v>10570.004586813753</v>
      </c>
      <c r="I605" s="27">
        <v>14731.306867330582</v>
      </c>
      <c r="J605" s="27">
        <v>23536.14678480658</v>
      </c>
      <c r="K605" s="27">
        <v>48225.591610593983</v>
      </c>
      <c r="L605" s="27">
        <v>120084.470657447</v>
      </c>
      <c r="M605" s="27">
        <v>240918.89698649451</v>
      </c>
    </row>
    <row r="606" spans="1:13" x14ac:dyDescent="0.75">
      <c r="A606" s="40">
        <v>604</v>
      </c>
      <c r="B606" s="27">
        <v>781.90565239782154</v>
      </c>
      <c r="C606" s="27">
        <v>1251.3465218273923</v>
      </c>
      <c r="D606" s="27">
        <v>1888.2683624150959</v>
      </c>
      <c r="E606" s="27">
        <v>3271.8368835621513</v>
      </c>
      <c r="F606" s="27">
        <v>5227.7043584412895</v>
      </c>
      <c r="G606" s="27">
        <v>7760.3774577819568</v>
      </c>
      <c r="H606" s="27">
        <v>10363.516366458702</v>
      </c>
      <c r="I606" s="27">
        <v>14685.478276810725</v>
      </c>
      <c r="J606" s="27">
        <v>22819.688599284797</v>
      </c>
      <c r="K606" s="27">
        <v>44492.957814379799</v>
      </c>
      <c r="L606" s="27">
        <v>116885.42733494108</v>
      </c>
      <c r="M606" s="27">
        <v>229428.50762830081</v>
      </c>
    </row>
    <row r="607" spans="1:13" x14ac:dyDescent="0.75">
      <c r="A607" s="40">
        <v>605</v>
      </c>
      <c r="B607" s="27">
        <v>540.11183982223156</v>
      </c>
      <c r="C607" s="27">
        <v>879.57976052345475</v>
      </c>
      <c r="D607" s="27">
        <v>1845.7676446972619</v>
      </c>
      <c r="E607" s="27">
        <v>3183.4344686388795</v>
      </c>
      <c r="F607" s="27">
        <v>4651.7446190313785</v>
      </c>
      <c r="G607" s="27">
        <v>7025.7253814181022</v>
      </c>
      <c r="H607" s="27">
        <v>8729.810510243813</v>
      </c>
      <c r="I607" s="27">
        <v>12408.136693824868</v>
      </c>
      <c r="J607" s="27">
        <v>20720.269659830199</v>
      </c>
      <c r="K607" s="27">
        <v>45492.709518356482</v>
      </c>
      <c r="L607" s="27">
        <v>119404.55888008226</v>
      </c>
      <c r="M607" s="27">
        <v>224881.84897646893</v>
      </c>
    </row>
    <row r="608" spans="1:13" x14ac:dyDescent="0.75">
      <c r="A608" s="40">
        <v>606</v>
      </c>
      <c r="B608" s="27">
        <v>545.94381488474028</v>
      </c>
      <c r="C608" s="27">
        <v>938.09515842197288</v>
      </c>
      <c r="D608" s="27">
        <v>1667.3659244238661</v>
      </c>
      <c r="E608" s="27">
        <v>3022.6112760374526</v>
      </c>
      <c r="F608" s="27">
        <v>4834.3123923569801</v>
      </c>
      <c r="G608" s="27">
        <v>7394.4280373552756</v>
      </c>
      <c r="H608" s="27">
        <v>10129.075007023406</v>
      </c>
      <c r="I608" s="27">
        <v>13680.359150190183</v>
      </c>
      <c r="J608" s="27">
        <v>23994.708374763519</v>
      </c>
      <c r="K608" s="27">
        <v>47028.077816549936</v>
      </c>
      <c r="L608" s="27">
        <v>117204.88684841523</v>
      </c>
      <c r="M608" s="27">
        <v>230439.86380042258</v>
      </c>
    </row>
    <row r="609" spans="1:13" x14ac:dyDescent="0.75">
      <c r="A609" s="40">
        <v>607</v>
      </c>
      <c r="B609" s="27">
        <v>538.28919841632887</v>
      </c>
      <c r="C609" s="27">
        <v>1087.1918493439152</v>
      </c>
      <c r="D609" s="27">
        <v>1925.5523055391968</v>
      </c>
      <c r="E609" s="27">
        <v>3046.9475124840246</v>
      </c>
      <c r="F609" s="27">
        <v>4815.5331062184414</v>
      </c>
      <c r="G609" s="27">
        <v>7123.5399954642926</v>
      </c>
      <c r="H609" s="27">
        <v>9994.1830004199001</v>
      </c>
      <c r="I609" s="27">
        <v>14112.213599759983</v>
      </c>
      <c r="J609" s="27">
        <v>23284.672041209415</v>
      </c>
      <c r="K609" s="27">
        <v>46940.149595518684</v>
      </c>
      <c r="L609" s="27">
        <v>112556.01309421993</v>
      </c>
      <c r="M609" s="27">
        <v>225424.2852985941</v>
      </c>
    </row>
    <row r="610" spans="1:13" x14ac:dyDescent="0.75">
      <c r="A610" s="40">
        <v>608</v>
      </c>
      <c r="B610" s="27">
        <v>616.95404987606162</v>
      </c>
      <c r="C610" s="27">
        <v>1224.6178433311725</v>
      </c>
      <c r="D610" s="27">
        <v>2306.3022066541307</v>
      </c>
      <c r="E610" s="27">
        <v>3554.5105651959748</v>
      </c>
      <c r="F610" s="27">
        <v>5338.5885035131651</v>
      </c>
      <c r="G610" s="27">
        <v>7955.2100289009686</v>
      </c>
      <c r="H610" s="27">
        <v>10365.760263299846</v>
      </c>
      <c r="I610" s="27">
        <v>14947.289533913878</v>
      </c>
      <c r="J610" s="27">
        <v>24133.088365501695</v>
      </c>
      <c r="K610" s="27">
        <v>47446.219503752611</v>
      </c>
      <c r="L610" s="27">
        <v>113507.45059831475</v>
      </c>
      <c r="M610" s="27">
        <v>231395.99146225426</v>
      </c>
    </row>
    <row r="611" spans="1:13" x14ac:dyDescent="0.75">
      <c r="A611" s="40">
        <v>609</v>
      </c>
      <c r="B611" s="27">
        <v>1002.1831348676496</v>
      </c>
      <c r="C611" s="27">
        <v>1300.1766136873048</v>
      </c>
      <c r="D611" s="27">
        <v>2273.0270632998872</v>
      </c>
      <c r="E611" s="27">
        <v>3274.3153175366751</v>
      </c>
      <c r="F611" s="27">
        <v>4953.3902628255892</v>
      </c>
      <c r="G611" s="27">
        <v>7669.5261859054735</v>
      </c>
      <c r="H611" s="27">
        <v>10239.018593504821</v>
      </c>
      <c r="I611" s="27">
        <v>14193.583062694423</v>
      </c>
      <c r="J611" s="27">
        <v>23014.871653720038</v>
      </c>
      <c r="K611" s="27">
        <v>45587.008231803164</v>
      </c>
      <c r="L611" s="27">
        <v>104294.99918284875</v>
      </c>
      <c r="M611" s="27">
        <v>217802.09930269379</v>
      </c>
    </row>
    <row r="612" spans="1:13" x14ac:dyDescent="0.75">
      <c r="A612" s="40">
        <v>610</v>
      </c>
      <c r="B612" s="27">
        <v>1011.7993311581231</v>
      </c>
      <c r="C612" s="27">
        <v>1594.140660676494</v>
      </c>
      <c r="D612" s="27">
        <v>2657.0296299298789</v>
      </c>
      <c r="E612" s="27">
        <v>3738.2726843294367</v>
      </c>
      <c r="F612" s="27">
        <v>5497.1091853360413</v>
      </c>
      <c r="G612" s="27">
        <v>8262.9180039570492</v>
      </c>
      <c r="H612" s="27">
        <v>10955.884328158543</v>
      </c>
      <c r="I612" s="27">
        <v>14690.100596424265</v>
      </c>
      <c r="J612" s="27">
        <v>23575.173008944665</v>
      </c>
      <c r="K612" s="27">
        <v>46919.22296286968</v>
      </c>
      <c r="L612" s="27">
        <v>113329.25824186567</v>
      </c>
      <c r="M612" s="27">
        <v>232230.90863364984</v>
      </c>
    </row>
    <row r="613" spans="1:13" x14ac:dyDescent="0.75">
      <c r="A613" s="40">
        <v>611</v>
      </c>
      <c r="B613" s="27">
        <v>744.35426466540957</v>
      </c>
      <c r="C613" s="27">
        <v>1232.4648020818277</v>
      </c>
      <c r="D613" s="27">
        <v>2182.894535039959</v>
      </c>
      <c r="E613" s="27">
        <v>3077.0398856327956</v>
      </c>
      <c r="F613" s="27">
        <v>5383.124708493182</v>
      </c>
      <c r="G613" s="27">
        <v>7791.9613642540935</v>
      </c>
      <c r="H613" s="27">
        <v>10024.860297564592</v>
      </c>
      <c r="I613" s="27">
        <v>14640.771810043851</v>
      </c>
      <c r="J613" s="27">
        <v>22736.032697265124</v>
      </c>
      <c r="K613" s="27">
        <v>47527.79321669435</v>
      </c>
      <c r="L613" s="27">
        <v>105956.76662191006</v>
      </c>
      <c r="M613" s="27">
        <v>221298.06420364525</v>
      </c>
    </row>
    <row r="614" spans="1:13" x14ac:dyDescent="0.75">
      <c r="A614" s="40">
        <v>612</v>
      </c>
      <c r="B614" s="27">
        <v>786.61416231769545</v>
      </c>
      <c r="C614" s="27">
        <v>1367.5255901325436</v>
      </c>
      <c r="D614" s="27">
        <v>2429.6276841035869</v>
      </c>
      <c r="E614" s="27">
        <v>3727.1932071005431</v>
      </c>
      <c r="F614" s="27">
        <v>5603.686093729164</v>
      </c>
      <c r="G614" s="27">
        <v>8368.6640343593026</v>
      </c>
      <c r="H614" s="27">
        <v>10623.645958556721</v>
      </c>
      <c r="I614" s="27">
        <v>14326.617952527857</v>
      </c>
      <c r="J614" s="27">
        <v>22783.468568069977</v>
      </c>
      <c r="K614" s="27">
        <v>46258.644654950243</v>
      </c>
      <c r="L614" s="27">
        <v>112400.42432502403</v>
      </c>
      <c r="M614" s="27">
        <v>228676.11223087166</v>
      </c>
    </row>
    <row r="615" spans="1:13" x14ac:dyDescent="0.75">
      <c r="A615" s="40">
        <v>613</v>
      </c>
      <c r="B615" s="27">
        <v>936.06610513411579</v>
      </c>
      <c r="C615" s="27">
        <v>1483.2523453006288</v>
      </c>
      <c r="D615" s="27">
        <v>1850.0297951871908</v>
      </c>
      <c r="E615" s="27">
        <v>3086.7151896014984</v>
      </c>
      <c r="F615" s="27">
        <v>5041.6697139140451</v>
      </c>
      <c r="G615" s="27">
        <v>7225.8250283881498</v>
      </c>
      <c r="H615" s="27">
        <v>9480.7766723391687</v>
      </c>
      <c r="I615" s="27">
        <v>14476.509126082747</v>
      </c>
      <c r="J615" s="27">
        <v>23876.379767251987</v>
      </c>
      <c r="K615" s="27">
        <v>46836.362232980595</v>
      </c>
      <c r="L615" s="27">
        <v>105579.89253993332</v>
      </c>
      <c r="M615" s="27">
        <v>219873.47851611345</v>
      </c>
    </row>
    <row r="616" spans="1:13" x14ac:dyDescent="0.75">
      <c r="A616" s="40">
        <v>614</v>
      </c>
      <c r="B616" s="27">
        <v>1059.5274837871548</v>
      </c>
      <c r="C616" s="27">
        <v>1499.3417293872772</v>
      </c>
      <c r="D616" s="27">
        <v>2698.8229259968502</v>
      </c>
      <c r="E616" s="27">
        <v>3514.841569912096</v>
      </c>
      <c r="F616" s="27">
        <v>5283.8384155870881</v>
      </c>
      <c r="G616" s="27">
        <v>7762.4030907095002</v>
      </c>
      <c r="H616" s="27">
        <v>10165.089919813137</v>
      </c>
      <c r="I616" s="27">
        <v>14610.373430776948</v>
      </c>
      <c r="J616" s="27">
        <v>22661.734968048651</v>
      </c>
      <c r="K616" s="27">
        <v>48547.394047660549</v>
      </c>
      <c r="L616" s="27">
        <v>109929.53897615982</v>
      </c>
      <c r="M616" s="27">
        <v>227732.90655783907</v>
      </c>
    </row>
    <row r="617" spans="1:13" x14ac:dyDescent="0.75">
      <c r="A617" s="40">
        <v>615</v>
      </c>
      <c r="B617" s="27">
        <v>875.91559775214409</v>
      </c>
      <c r="C617" s="27">
        <v>1378.5822849604447</v>
      </c>
      <c r="D617" s="27">
        <v>2128.5782361106103</v>
      </c>
      <c r="E617" s="27">
        <v>3552.6075975843123</v>
      </c>
      <c r="F617" s="27">
        <v>5273.5239377192047</v>
      </c>
      <c r="G617" s="27">
        <v>7673.9539489560993</v>
      </c>
      <c r="H617" s="27">
        <v>11007.701128006855</v>
      </c>
      <c r="I617" s="27">
        <v>14407.348221483699</v>
      </c>
      <c r="J617" s="27">
        <v>22633.16477239599</v>
      </c>
      <c r="K617" s="27">
        <v>48022.266598047019</v>
      </c>
      <c r="L617" s="27">
        <v>113767.35878478708</v>
      </c>
      <c r="M617" s="27">
        <v>230721.00110780346</v>
      </c>
    </row>
    <row r="618" spans="1:13" x14ac:dyDescent="0.75">
      <c r="A618" s="40">
        <v>616</v>
      </c>
      <c r="B618" s="27">
        <v>486.77967825753149</v>
      </c>
      <c r="C618" s="27">
        <v>898.27212528778182</v>
      </c>
      <c r="D618" s="27">
        <v>1706.9228602586663</v>
      </c>
      <c r="E618" s="27">
        <v>2787.4699440009863</v>
      </c>
      <c r="F618" s="27">
        <v>4481.8997726806701</v>
      </c>
      <c r="G618" s="27">
        <v>7317.1058297037089</v>
      </c>
      <c r="H618" s="27">
        <v>9760.735177146169</v>
      </c>
      <c r="I618" s="27">
        <v>13505.943227418626</v>
      </c>
      <c r="J618" s="27">
        <v>22677.302412251011</v>
      </c>
      <c r="K618" s="27">
        <v>44305.870189405759</v>
      </c>
      <c r="L618" s="27">
        <v>106379.1838690728</v>
      </c>
      <c r="M618" s="27">
        <v>214307.4850854837</v>
      </c>
    </row>
    <row r="619" spans="1:13" x14ac:dyDescent="0.75">
      <c r="A619" s="40">
        <v>617</v>
      </c>
      <c r="B619" s="27">
        <v>846.17678901233012</v>
      </c>
      <c r="C619" s="27">
        <v>1290.1881161493511</v>
      </c>
      <c r="D619" s="27">
        <v>2284.2985544584517</v>
      </c>
      <c r="E619" s="27">
        <v>3916.5407295042532</v>
      </c>
      <c r="F619" s="27">
        <v>6148.03658850395</v>
      </c>
      <c r="G619" s="27">
        <v>8440.4150166738254</v>
      </c>
      <c r="H619" s="27">
        <v>11296.618632139114</v>
      </c>
      <c r="I619" s="27">
        <v>15083.70678699507</v>
      </c>
      <c r="J619" s="27">
        <v>23994.697280496388</v>
      </c>
      <c r="K619" s="27">
        <v>45908.193853402176</v>
      </c>
      <c r="L619" s="27">
        <v>107679.8115884123</v>
      </c>
      <c r="M619" s="27">
        <v>226888.68393574719</v>
      </c>
    </row>
    <row r="620" spans="1:13" x14ac:dyDescent="0.75">
      <c r="A620" s="40">
        <v>618</v>
      </c>
      <c r="B620" s="27">
        <v>1289.0694290669635</v>
      </c>
      <c r="C620" s="27">
        <v>1773.9591070165334</v>
      </c>
      <c r="D620" s="27">
        <v>2499.3650535358611</v>
      </c>
      <c r="E620" s="27">
        <v>3519.6769132502959</v>
      </c>
      <c r="F620" s="27">
        <v>5462.2668812267657</v>
      </c>
      <c r="G620" s="27">
        <v>7780.9390190645936</v>
      </c>
      <c r="H620" s="27">
        <v>10859.913629048242</v>
      </c>
      <c r="I620" s="27">
        <v>15537.725786920288</v>
      </c>
      <c r="J620" s="27">
        <v>24548.318333293762</v>
      </c>
      <c r="K620" s="27">
        <v>46955.052922741917</v>
      </c>
      <c r="L620" s="27">
        <v>106695.63466704797</v>
      </c>
      <c r="M620" s="27">
        <v>226921.92174221319</v>
      </c>
    </row>
    <row r="621" spans="1:13" x14ac:dyDescent="0.75">
      <c r="A621" s="40">
        <v>619</v>
      </c>
      <c r="B621" s="27">
        <v>1126.4128003691731</v>
      </c>
      <c r="C621" s="27">
        <v>1632.273520990173</v>
      </c>
      <c r="D621" s="27">
        <v>2544.7912425046961</v>
      </c>
      <c r="E621" s="27">
        <v>3819.6406435089302</v>
      </c>
      <c r="F621" s="27">
        <v>5920.0994225364993</v>
      </c>
      <c r="G621" s="27">
        <v>8093.6605089876102</v>
      </c>
      <c r="H621" s="27">
        <v>10875.884845923691</v>
      </c>
      <c r="I621" s="27">
        <v>14478.179459072315</v>
      </c>
      <c r="J621" s="27">
        <v>24226.006353391043</v>
      </c>
      <c r="K621" s="27">
        <v>46383.783525715029</v>
      </c>
      <c r="L621" s="27">
        <v>112793.17739002703</v>
      </c>
      <c r="M621" s="27">
        <v>231893.90971302619</v>
      </c>
    </row>
    <row r="622" spans="1:13" x14ac:dyDescent="0.75">
      <c r="A622" s="40">
        <v>620</v>
      </c>
      <c r="B622" s="27">
        <v>1108.9385519107309</v>
      </c>
      <c r="C622" s="27">
        <v>1526.116809464831</v>
      </c>
      <c r="D622" s="27">
        <v>2190.5602795173181</v>
      </c>
      <c r="E622" s="27">
        <v>3441.6229201739188</v>
      </c>
      <c r="F622" s="27">
        <v>5339.2863421351649</v>
      </c>
      <c r="G622" s="27">
        <v>7924.3524616986106</v>
      </c>
      <c r="H622" s="27">
        <v>10296.388588600093</v>
      </c>
      <c r="I622" s="27">
        <v>14234.857194460099</v>
      </c>
      <c r="J622" s="27">
        <v>23239.402859760827</v>
      </c>
      <c r="K622" s="27">
        <v>44893.841205082426</v>
      </c>
      <c r="L622" s="27">
        <v>111078.73270078209</v>
      </c>
      <c r="M622" s="27">
        <v>225274.09991358611</v>
      </c>
    </row>
    <row r="623" spans="1:13" x14ac:dyDescent="0.75">
      <c r="A623" s="40">
        <v>621</v>
      </c>
      <c r="B623" s="27">
        <v>1069.3513226232171</v>
      </c>
      <c r="C623" s="27">
        <v>1850.5003615451424</v>
      </c>
      <c r="D623" s="27">
        <v>2899.2516140298103</v>
      </c>
      <c r="E623" s="27">
        <v>4129.7840533400449</v>
      </c>
      <c r="F623" s="27">
        <v>6311.6095796816226</v>
      </c>
      <c r="G623" s="27">
        <v>8724.4230086053722</v>
      </c>
      <c r="H623" s="27">
        <v>11270.143842865378</v>
      </c>
      <c r="I623" s="27">
        <v>15168.869516619758</v>
      </c>
      <c r="J623" s="27">
        <v>23298.131856199339</v>
      </c>
      <c r="K623" s="27">
        <v>49161.183075775261</v>
      </c>
      <c r="L623" s="27">
        <v>114853.14821996519</v>
      </c>
      <c r="M623" s="27">
        <v>238736.39645125013</v>
      </c>
    </row>
    <row r="624" spans="1:13" x14ac:dyDescent="0.75">
      <c r="A624" s="40">
        <v>622</v>
      </c>
      <c r="B624" s="27">
        <v>644.86803187850455</v>
      </c>
      <c r="C624" s="27">
        <v>1039.6667172389425</v>
      </c>
      <c r="D624" s="27">
        <v>1918.9679841825127</v>
      </c>
      <c r="E624" s="27">
        <v>3058.8376385325828</v>
      </c>
      <c r="F624" s="27">
        <v>5176.9467447064817</v>
      </c>
      <c r="G624" s="27">
        <v>7760.0931971782411</v>
      </c>
      <c r="H624" s="27">
        <v>10157.879538733963</v>
      </c>
      <c r="I624" s="27">
        <v>14013.306267165812</v>
      </c>
      <c r="J624" s="27">
        <v>21912.348556714642</v>
      </c>
      <c r="K624" s="27">
        <v>44594.997882789234</v>
      </c>
      <c r="L624" s="27">
        <v>111934.35483969751</v>
      </c>
      <c r="M624" s="27">
        <v>222212.26739881843</v>
      </c>
    </row>
    <row r="625" spans="1:13" x14ac:dyDescent="0.75">
      <c r="A625" s="40">
        <v>623</v>
      </c>
      <c r="B625" s="27">
        <v>479.01649174533668</v>
      </c>
      <c r="C625" s="27">
        <v>796.25587889997405</v>
      </c>
      <c r="D625" s="27">
        <v>1351.5656802998274</v>
      </c>
      <c r="E625" s="27">
        <v>2753.901565228487</v>
      </c>
      <c r="F625" s="27">
        <v>5086.2789999972447</v>
      </c>
      <c r="G625" s="27">
        <v>7317.9919769598928</v>
      </c>
      <c r="H625" s="27">
        <v>9964.8493473053386</v>
      </c>
      <c r="I625" s="27">
        <v>13906.259222641107</v>
      </c>
      <c r="J625" s="27">
        <v>23988.630864010527</v>
      </c>
      <c r="K625" s="27">
        <v>46223.261056697535</v>
      </c>
      <c r="L625" s="27">
        <v>126487.39417728611</v>
      </c>
      <c r="M625" s="27">
        <v>238355.4052610714</v>
      </c>
    </row>
    <row r="626" spans="1:13" x14ac:dyDescent="0.75">
      <c r="A626" s="40">
        <v>624</v>
      </c>
      <c r="B626" s="27">
        <v>294.02883635929902</v>
      </c>
      <c r="C626" s="27">
        <v>917.42869146772136</v>
      </c>
      <c r="D626" s="27">
        <v>1964.1809273137042</v>
      </c>
      <c r="E626" s="27">
        <v>3438.1158413921221</v>
      </c>
      <c r="F626" s="27">
        <v>5168.1751422756206</v>
      </c>
      <c r="G626" s="27">
        <v>7923.1891054433654</v>
      </c>
      <c r="H626" s="27">
        <v>9916.2307046456262</v>
      </c>
      <c r="I626" s="27">
        <v>14478.253095819542</v>
      </c>
      <c r="J626" s="27">
        <v>22807.587871073498</v>
      </c>
      <c r="K626" s="27">
        <v>49187.760916756175</v>
      </c>
      <c r="L626" s="27">
        <v>114504.04091928343</v>
      </c>
      <c r="M626" s="27">
        <v>230598.99205183011</v>
      </c>
    </row>
    <row r="627" spans="1:13" x14ac:dyDescent="0.75">
      <c r="A627" s="40">
        <v>625</v>
      </c>
      <c r="B627" s="27">
        <v>1142.0728004020639</v>
      </c>
      <c r="C627" s="27">
        <v>1920.749713737503</v>
      </c>
      <c r="D627" s="27">
        <v>3178.3564793253172</v>
      </c>
      <c r="E627" s="27">
        <v>4412.3396352540294</v>
      </c>
      <c r="F627" s="27">
        <v>6174.5801273469988</v>
      </c>
      <c r="G627" s="27">
        <v>8295.4556694933563</v>
      </c>
      <c r="H627" s="27">
        <v>10833.020602190198</v>
      </c>
      <c r="I627" s="27">
        <v>15048.698690625984</v>
      </c>
      <c r="J627" s="27">
        <v>23465.456685698693</v>
      </c>
      <c r="K627" s="27">
        <v>47693.266762719519</v>
      </c>
      <c r="L627" s="27">
        <v>114138.94485092562</v>
      </c>
      <c r="M627" s="27">
        <v>236302.94201771927</v>
      </c>
    </row>
    <row r="628" spans="1:13" x14ac:dyDescent="0.75">
      <c r="A628" s="40">
        <v>626</v>
      </c>
      <c r="B628" s="27">
        <v>389.14909315865953</v>
      </c>
      <c r="C628" s="27">
        <v>729.38939929746266</v>
      </c>
      <c r="D628" s="27">
        <v>1693.1059403919935</v>
      </c>
      <c r="E628" s="27">
        <v>2920.2058995701227</v>
      </c>
      <c r="F628" s="27">
        <v>4932.730981397428</v>
      </c>
      <c r="G628" s="27">
        <v>6798.0714278634987</v>
      </c>
      <c r="H628" s="27">
        <v>9694.9952817396261</v>
      </c>
      <c r="I628" s="27">
        <v>12919.135672313612</v>
      </c>
      <c r="J628" s="27">
        <v>21779.152585255215</v>
      </c>
      <c r="K628" s="27">
        <v>46456.177882037329</v>
      </c>
      <c r="L628" s="27">
        <v>113952.03272444959</v>
      </c>
      <c r="M628" s="27">
        <v>222264.14688747452</v>
      </c>
    </row>
    <row r="629" spans="1:13" x14ac:dyDescent="0.75">
      <c r="A629" s="40">
        <v>627</v>
      </c>
      <c r="B629" s="27">
        <v>663.73758952310891</v>
      </c>
      <c r="C629" s="27">
        <v>1204.2634984363394</v>
      </c>
      <c r="D629" s="27">
        <v>2218.9949422268401</v>
      </c>
      <c r="E629" s="27">
        <v>3271.3265024852008</v>
      </c>
      <c r="F629" s="27">
        <v>5185.7138382889389</v>
      </c>
      <c r="G629" s="27">
        <v>8041.286489121092</v>
      </c>
      <c r="H629" s="27">
        <v>10471.396536252709</v>
      </c>
      <c r="I629" s="27">
        <v>15006.917636307757</v>
      </c>
      <c r="J629" s="27">
        <v>23658.895014712747</v>
      </c>
      <c r="K629" s="27">
        <v>46298.306615395908</v>
      </c>
      <c r="L629" s="27">
        <v>117622.01447880674</v>
      </c>
      <c r="M629" s="27">
        <v>233642.85314155737</v>
      </c>
    </row>
    <row r="630" spans="1:13" x14ac:dyDescent="0.75">
      <c r="A630" s="40">
        <v>628</v>
      </c>
      <c r="B630" s="27">
        <v>845.70781224549864</v>
      </c>
      <c r="C630" s="27">
        <v>1305.7940327486867</v>
      </c>
      <c r="D630" s="27">
        <v>1917.9864922692796</v>
      </c>
      <c r="E630" s="27">
        <v>3287.6851532529545</v>
      </c>
      <c r="F630" s="27">
        <v>5049.8789105086616</v>
      </c>
      <c r="G630" s="27">
        <v>7500.9835297857353</v>
      </c>
      <c r="H630" s="27">
        <v>9955.0098523212364</v>
      </c>
      <c r="I630" s="27">
        <v>14457.510107654263</v>
      </c>
      <c r="J630" s="27">
        <v>24268.456373371955</v>
      </c>
      <c r="K630" s="27">
        <v>48605.463155859121</v>
      </c>
      <c r="L630" s="27">
        <v>114339.91872463925</v>
      </c>
      <c r="M630" s="27">
        <v>231534.39414465666</v>
      </c>
    </row>
    <row r="631" spans="1:13" x14ac:dyDescent="0.75">
      <c r="A631" s="40">
        <v>629</v>
      </c>
      <c r="B631" s="27">
        <v>659.62594197502767</v>
      </c>
      <c r="C631" s="27">
        <v>1245.3608752090659</v>
      </c>
      <c r="D631" s="27">
        <v>2020.4151550336974</v>
      </c>
      <c r="E631" s="27">
        <v>3170.518323348384</v>
      </c>
      <c r="F631" s="27">
        <v>5191.3473170941143</v>
      </c>
      <c r="G631" s="27">
        <v>7430.0321917755937</v>
      </c>
      <c r="H631" s="27">
        <v>9452.4659883597487</v>
      </c>
      <c r="I631" s="27">
        <v>13741.969929430168</v>
      </c>
      <c r="J631" s="27">
        <v>22222.743460418351</v>
      </c>
      <c r="K631" s="27">
        <v>44130.709407812232</v>
      </c>
      <c r="L631" s="27">
        <v>110632.98465219993</v>
      </c>
      <c r="M631" s="27">
        <v>219898.17324265631</v>
      </c>
    </row>
    <row r="632" spans="1:13" x14ac:dyDescent="0.75">
      <c r="A632" s="40">
        <v>630</v>
      </c>
      <c r="B632" s="27">
        <v>534.4956185213814</v>
      </c>
      <c r="C632" s="27">
        <v>1195.9719498792692</v>
      </c>
      <c r="D632" s="27">
        <v>2361.8782941356185</v>
      </c>
      <c r="E632" s="27">
        <v>3436.8201646900707</v>
      </c>
      <c r="F632" s="27">
        <v>5327.7001091460115</v>
      </c>
      <c r="G632" s="27">
        <v>7334.9416176225059</v>
      </c>
      <c r="H632" s="27">
        <v>9628.0368752134673</v>
      </c>
      <c r="I632" s="27">
        <v>13735.94603661068</v>
      </c>
      <c r="J632" s="27">
        <v>22521.299097758267</v>
      </c>
      <c r="K632" s="27">
        <v>50192.071713189798</v>
      </c>
      <c r="L632" s="27">
        <v>103080.74847507459</v>
      </c>
      <c r="M632" s="27">
        <v>219349.90995184166</v>
      </c>
    </row>
    <row r="633" spans="1:13" x14ac:dyDescent="0.75">
      <c r="A633" s="40">
        <v>631</v>
      </c>
      <c r="B633" s="27">
        <v>787.83627113395778</v>
      </c>
      <c r="C633" s="27">
        <v>1194.9728897025489</v>
      </c>
      <c r="D633" s="27">
        <v>2168.0061322182009</v>
      </c>
      <c r="E633" s="27">
        <v>3479.8447579240019</v>
      </c>
      <c r="F633" s="27">
        <v>5589.3964209626429</v>
      </c>
      <c r="G633" s="27">
        <v>8092.2392075944517</v>
      </c>
      <c r="H633" s="27">
        <v>10923.485360666164</v>
      </c>
      <c r="I633" s="27">
        <v>14730.605353996623</v>
      </c>
      <c r="J633" s="27">
        <v>23158.199903509434</v>
      </c>
      <c r="K633" s="27">
        <v>46366.256436323543</v>
      </c>
      <c r="L633" s="27">
        <v>107680.08425112447</v>
      </c>
      <c r="M633" s="27">
        <v>224170.92698515602</v>
      </c>
    </row>
    <row r="634" spans="1:13" x14ac:dyDescent="0.75">
      <c r="A634" s="40">
        <v>632</v>
      </c>
      <c r="B634" s="27">
        <v>441.21765176174813</v>
      </c>
      <c r="C634" s="27">
        <v>1068.6838195128075</v>
      </c>
      <c r="D634" s="27">
        <v>1669.3021136773605</v>
      </c>
      <c r="E634" s="27">
        <v>2662.4185618923948</v>
      </c>
      <c r="F634" s="27">
        <v>4481.8279158927471</v>
      </c>
      <c r="G634" s="27">
        <v>6961.8315534892026</v>
      </c>
      <c r="H634" s="27">
        <v>9630.118398682258</v>
      </c>
      <c r="I634" s="27">
        <v>13344.379991492737</v>
      </c>
      <c r="J634" s="27">
        <v>23363.362522412266</v>
      </c>
      <c r="K634" s="27">
        <v>47699.009368401908</v>
      </c>
      <c r="L634" s="27">
        <v>112307.93792191501</v>
      </c>
      <c r="M634" s="27">
        <v>223630.08981913043</v>
      </c>
    </row>
    <row r="635" spans="1:13" x14ac:dyDescent="0.75">
      <c r="A635" s="40">
        <v>633</v>
      </c>
      <c r="B635" s="27">
        <v>875.24756013185834</v>
      </c>
      <c r="C635" s="27">
        <v>1172.7893806381762</v>
      </c>
      <c r="D635" s="27">
        <v>2021.4391673756909</v>
      </c>
      <c r="E635" s="27">
        <v>3113.4167753455113</v>
      </c>
      <c r="F635" s="27">
        <v>5268.4052669138182</v>
      </c>
      <c r="G635" s="27">
        <v>7581.6873880898929</v>
      </c>
      <c r="H635" s="27">
        <v>10459.87823566061</v>
      </c>
      <c r="I635" s="27">
        <v>13894.276954574758</v>
      </c>
      <c r="J635" s="27">
        <v>23114.354221972098</v>
      </c>
      <c r="K635" s="27">
        <v>46174.254963546089</v>
      </c>
      <c r="L635" s="27">
        <v>118628.24604116986</v>
      </c>
      <c r="M635" s="27">
        <v>232303.99595541836</v>
      </c>
    </row>
    <row r="636" spans="1:13" x14ac:dyDescent="0.75">
      <c r="A636" s="40">
        <v>634</v>
      </c>
      <c r="B636" s="27">
        <v>667.28677541857178</v>
      </c>
      <c r="C636" s="27">
        <v>1455.752344465247</v>
      </c>
      <c r="D636" s="27">
        <v>2250.544266187324</v>
      </c>
      <c r="E636" s="27">
        <v>3465.4448551705427</v>
      </c>
      <c r="F636" s="27">
        <v>5217.7859397200227</v>
      </c>
      <c r="G636" s="27">
        <v>7889.3757678668189</v>
      </c>
      <c r="H636" s="27">
        <v>10845.309126370703</v>
      </c>
      <c r="I636" s="27">
        <v>15100.741584361051</v>
      </c>
      <c r="J636" s="27">
        <v>23694.3042030082</v>
      </c>
      <c r="K636" s="27">
        <v>45979.926432480308</v>
      </c>
      <c r="L636" s="27">
        <v>110770.66978761011</v>
      </c>
      <c r="M636" s="27">
        <v>227337.1410826589</v>
      </c>
    </row>
    <row r="637" spans="1:13" x14ac:dyDescent="0.75">
      <c r="A637" s="40">
        <v>635</v>
      </c>
      <c r="B637" s="27">
        <v>498.7439116868627</v>
      </c>
      <c r="C637" s="27">
        <v>892.87183609858039</v>
      </c>
      <c r="D637" s="27">
        <v>1725.7230048201163</v>
      </c>
      <c r="E637" s="27">
        <v>2833.8809254253574</v>
      </c>
      <c r="F637" s="27">
        <v>4742.2156179693848</v>
      </c>
      <c r="G637" s="27">
        <v>7338.2411849732161</v>
      </c>
      <c r="H637" s="27">
        <v>9879.5826555663662</v>
      </c>
      <c r="I637" s="27">
        <v>14242.00635698768</v>
      </c>
      <c r="J637" s="27">
        <v>23297.709717859689</v>
      </c>
      <c r="K637" s="27">
        <v>46440.324330629053</v>
      </c>
      <c r="L637" s="27">
        <v>110043.90647997489</v>
      </c>
      <c r="M637" s="27">
        <v>221935.20602199121</v>
      </c>
    </row>
    <row r="638" spans="1:13" x14ac:dyDescent="0.75">
      <c r="A638" s="40">
        <v>636</v>
      </c>
      <c r="B638" s="27">
        <v>713.68184177366493</v>
      </c>
      <c r="C638" s="27">
        <v>1252.4638682060468</v>
      </c>
      <c r="D638" s="27">
        <v>2346.4403216879437</v>
      </c>
      <c r="E638" s="27">
        <v>3101.7255009273358</v>
      </c>
      <c r="F638" s="27">
        <v>5229.8563567961392</v>
      </c>
      <c r="G638" s="27">
        <v>7430.5288399506535</v>
      </c>
      <c r="H638" s="27">
        <v>10373.943314634045</v>
      </c>
      <c r="I638" s="27">
        <v>14148.96641356124</v>
      </c>
      <c r="J638" s="27">
        <v>23488.633809486011</v>
      </c>
      <c r="K638" s="27">
        <v>47508.183299158933</v>
      </c>
      <c r="L638" s="27">
        <v>104752.38701436485</v>
      </c>
      <c r="M638" s="27">
        <v>220346.81058054685</v>
      </c>
    </row>
    <row r="639" spans="1:13" x14ac:dyDescent="0.75">
      <c r="A639" s="40">
        <v>637</v>
      </c>
      <c r="B639" s="27">
        <v>752.27877330342017</v>
      </c>
      <c r="C639" s="27">
        <v>1397.4025319586799</v>
      </c>
      <c r="D639" s="27">
        <v>2504.6363741107489</v>
      </c>
      <c r="E639" s="27">
        <v>3534.5061651634314</v>
      </c>
      <c r="F639" s="27">
        <v>5320.0411821306916</v>
      </c>
      <c r="G639" s="27">
        <v>7273.1687892677437</v>
      </c>
      <c r="H639" s="27">
        <v>10475.329521058506</v>
      </c>
      <c r="I639" s="27">
        <v>15336.06640441675</v>
      </c>
      <c r="J639" s="27">
        <v>23013.573858124248</v>
      </c>
      <c r="K639" s="27">
        <v>46609.813165833097</v>
      </c>
      <c r="L639" s="27">
        <v>113878.88792257459</v>
      </c>
      <c r="M639" s="27">
        <v>230095.70468794191</v>
      </c>
    </row>
    <row r="640" spans="1:13" x14ac:dyDescent="0.75">
      <c r="A640" s="40">
        <v>638</v>
      </c>
      <c r="B640" s="27">
        <v>365.33088414663507</v>
      </c>
      <c r="C640" s="27">
        <v>972.37339091917966</v>
      </c>
      <c r="D640" s="27">
        <v>2078.3018773614167</v>
      </c>
      <c r="E640" s="27">
        <v>3063.1442461260012</v>
      </c>
      <c r="F640" s="27">
        <v>4911.2625662758946</v>
      </c>
      <c r="G640" s="27">
        <v>6841.2882148966601</v>
      </c>
      <c r="H640" s="27">
        <v>9385.4571275040362</v>
      </c>
      <c r="I640" s="27">
        <v>13692.820647657645</v>
      </c>
      <c r="J640" s="27">
        <v>24405.916621820259</v>
      </c>
      <c r="K640" s="27">
        <v>46330.659588843322</v>
      </c>
      <c r="L640" s="27">
        <v>101711.73733384468</v>
      </c>
      <c r="M640" s="27">
        <v>213758.29249939573</v>
      </c>
    </row>
    <row r="641" spans="1:13" x14ac:dyDescent="0.75">
      <c r="A641" s="40">
        <v>639</v>
      </c>
      <c r="B641" s="27">
        <v>914.81598078823299</v>
      </c>
      <c r="C641" s="27">
        <v>1561.0335076303163</v>
      </c>
      <c r="D641" s="27">
        <v>2616.5435014382238</v>
      </c>
      <c r="E641" s="27">
        <v>3864.088425825641</v>
      </c>
      <c r="F641" s="27">
        <v>5534.3397273390292</v>
      </c>
      <c r="G641" s="27">
        <v>8589.288502088777</v>
      </c>
      <c r="H641" s="27">
        <v>10712.275724226114</v>
      </c>
      <c r="I641" s="27">
        <v>14596.587203655479</v>
      </c>
      <c r="J641" s="27">
        <v>24946.417263314652</v>
      </c>
      <c r="K641" s="27">
        <v>45878.441897729586</v>
      </c>
      <c r="L641" s="27">
        <v>108068.90323253736</v>
      </c>
      <c r="M641" s="27">
        <v>227282.73496657342</v>
      </c>
    </row>
    <row r="642" spans="1:13" x14ac:dyDescent="0.75">
      <c r="A642" s="40">
        <v>640</v>
      </c>
      <c r="B642" s="27">
        <v>787.80255325656617</v>
      </c>
      <c r="C642" s="27">
        <v>1312.4026181136724</v>
      </c>
      <c r="D642" s="27">
        <v>2392.8110814006941</v>
      </c>
      <c r="E642" s="27">
        <v>3749.0930366961984</v>
      </c>
      <c r="F642" s="27">
        <v>5900.231823207112</v>
      </c>
      <c r="G642" s="27">
        <v>8071.461296710535</v>
      </c>
      <c r="H642" s="27">
        <v>10360.835080978024</v>
      </c>
      <c r="I642" s="27">
        <v>14746.196505573738</v>
      </c>
      <c r="J642" s="27">
        <v>23845.767039554194</v>
      </c>
      <c r="K642" s="27">
        <v>47625.845631484175</v>
      </c>
      <c r="L642" s="27">
        <v>118770.84992126038</v>
      </c>
      <c r="M642" s="27">
        <v>237563.2965882353</v>
      </c>
    </row>
    <row r="643" spans="1:13" x14ac:dyDescent="0.75">
      <c r="A643" s="40">
        <v>641</v>
      </c>
      <c r="B643" s="27">
        <v>746.83126026790706</v>
      </c>
      <c r="C643" s="27">
        <v>1260.0841884921247</v>
      </c>
      <c r="D643" s="27">
        <v>2033.5828730966605</v>
      </c>
      <c r="E643" s="27">
        <v>2973.6972258928145</v>
      </c>
      <c r="F643" s="27">
        <v>4935.1740543188935</v>
      </c>
      <c r="G643" s="27">
        <v>7665.3786583884503</v>
      </c>
      <c r="H643" s="27">
        <v>10895.472513520217</v>
      </c>
      <c r="I643" s="27">
        <v>14470.134103542558</v>
      </c>
      <c r="J643" s="27">
        <v>22539.436370437994</v>
      </c>
      <c r="K643" s="27">
        <v>48227.568991361506</v>
      </c>
      <c r="L643" s="27">
        <v>115410.08555301369</v>
      </c>
      <c r="M643" s="27">
        <v>231157.44579233282</v>
      </c>
    </row>
    <row r="644" spans="1:13" x14ac:dyDescent="0.75">
      <c r="A644" s="40">
        <v>642</v>
      </c>
      <c r="B644" s="27">
        <v>937.73784833432001</v>
      </c>
      <c r="C644" s="27">
        <v>1387.5488117048953</v>
      </c>
      <c r="D644" s="27">
        <v>2032.9500018958934</v>
      </c>
      <c r="E644" s="27">
        <v>3193.8019205347664</v>
      </c>
      <c r="F644" s="27">
        <v>5030.8519809203572</v>
      </c>
      <c r="G644" s="27">
        <v>7730.7390472715197</v>
      </c>
      <c r="H644" s="27">
        <v>9947.0490110617247</v>
      </c>
      <c r="I644" s="27">
        <v>14751.225615828007</v>
      </c>
      <c r="J644" s="27">
        <v>22411.807535738437</v>
      </c>
      <c r="K644" s="27">
        <v>44952.177394063008</v>
      </c>
      <c r="L644" s="27">
        <v>117570.40364077105</v>
      </c>
      <c r="M644" s="27">
        <v>229946.29280812398</v>
      </c>
    </row>
    <row r="645" spans="1:13" x14ac:dyDescent="0.75">
      <c r="A645" s="40">
        <v>643</v>
      </c>
      <c r="B645" s="27">
        <v>1213.4058400118665</v>
      </c>
      <c r="C645" s="27">
        <v>1777.4033459913335</v>
      </c>
      <c r="D645" s="27">
        <v>2717.7837984494254</v>
      </c>
      <c r="E645" s="27">
        <v>3821.2288999648881</v>
      </c>
      <c r="F645" s="27">
        <v>5602.3337914228905</v>
      </c>
      <c r="G645" s="27">
        <v>7338.2471369201958</v>
      </c>
      <c r="H645" s="27">
        <v>9762.5295836533624</v>
      </c>
      <c r="I645" s="27">
        <v>15116.985270787001</v>
      </c>
      <c r="J645" s="27">
        <v>23705.619620541416</v>
      </c>
      <c r="K645" s="27">
        <v>46919.330691454175</v>
      </c>
      <c r="L645" s="27">
        <v>112813.76808985542</v>
      </c>
      <c r="M645" s="27">
        <v>230788.63606905198</v>
      </c>
    </row>
    <row r="646" spans="1:13" x14ac:dyDescent="0.75">
      <c r="A646" s="40">
        <v>644</v>
      </c>
      <c r="B646" s="27">
        <v>529.95108404092025</v>
      </c>
      <c r="C646" s="27">
        <v>1164.5714935240394</v>
      </c>
      <c r="D646" s="27">
        <v>2202.6119029677502</v>
      </c>
      <c r="E646" s="27">
        <v>3357.3420143776311</v>
      </c>
      <c r="F646" s="27">
        <v>5441.6532145294477</v>
      </c>
      <c r="G646" s="27">
        <v>7503.5028157255147</v>
      </c>
      <c r="H646" s="27">
        <v>9571.5745252806228</v>
      </c>
      <c r="I646" s="27">
        <v>14189.05183909375</v>
      </c>
      <c r="J646" s="27">
        <v>22052.301171886211</v>
      </c>
      <c r="K646" s="27">
        <v>48051.68759596991</v>
      </c>
      <c r="L646" s="27">
        <v>112449.16725392389</v>
      </c>
      <c r="M646" s="27">
        <v>226513.41491131968</v>
      </c>
    </row>
    <row r="647" spans="1:13" x14ac:dyDescent="0.75">
      <c r="A647" s="40">
        <v>645</v>
      </c>
      <c r="B647" s="27">
        <v>948.4307718587952</v>
      </c>
      <c r="C647" s="27">
        <v>1454.4951635222096</v>
      </c>
      <c r="D647" s="27">
        <v>2419.528547093345</v>
      </c>
      <c r="E647" s="27">
        <v>3416.7054376548185</v>
      </c>
      <c r="F647" s="27">
        <v>5082.0759721055801</v>
      </c>
      <c r="G647" s="27">
        <v>7588.1029861630814</v>
      </c>
      <c r="H647" s="27">
        <v>10331.964473018888</v>
      </c>
      <c r="I647" s="27">
        <v>14442.383056748105</v>
      </c>
      <c r="J647" s="27">
        <v>21807.361494065481</v>
      </c>
      <c r="K647" s="27">
        <v>46236.369176084787</v>
      </c>
      <c r="L647" s="27">
        <v>104793.25337628176</v>
      </c>
      <c r="M647" s="27">
        <v>218520.67045459687</v>
      </c>
    </row>
    <row r="648" spans="1:13" x14ac:dyDescent="0.75">
      <c r="A648" s="40">
        <v>646</v>
      </c>
      <c r="B648" s="27">
        <v>670.73591115686577</v>
      </c>
      <c r="C648" s="27">
        <v>1385.1072037957056</v>
      </c>
      <c r="D648" s="27">
        <v>2269.1117555346573</v>
      </c>
      <c r="E648" s="27">
        <v>3398.0071877605224</v>
      </c>
      <c r="F648" s="27">
        <v>5589.7615908855805</v>
      </c>
      <c r="G648" s="27">
        <v>7573.0973753983271</v>
      </c>
      <c r="H648" s="27">
        <v>10502.078165732353</v>
      </c>
      <c r="I648" s="27">
        <v>15050.524067263061</v>
      </c>
      <c r="J648" s="27">
        <v>22982.042264567761</v>
      </c>
      <c r="K648" s="27">
        <v>48843.064317884709</v>
      </c>
      <c r="L648" s="27">
        <v>107776.84220766873</v>
      </c>
      <c r="M648" s="27">
        <v>226040.37204764827</v>
      </c>
    </row>
    <row r="649" spans="1:13" x14ac:dyDescent="0.75">
      <c r="A649" s="40">
        <v>647</v>
      </c>
      <c r="B649" s="27">
        <v>773.60582833975786</v>
      </c>
      <c r="C649" s="27">
        <v>989.63486998851295</v>
      </c>
      <c r="D649" s="27">
        <v>2140.2472296485066</v>
      </c>
      <c r="E649" s="27">
        <v>3197.5286944048712</v>
      </c>
      <c r="F649" s="27">
        <v>5337.3712355922326</v>
      </c>
      <c r="G649" s="27">
        <v>7902.3281402300927</v>
      </c>
      <c r="H649" s="27">
        <v>10223.075728929573</v>
      </c>
      <c r="I649" s="27">
        <v>14805.211081126195</v>
      </c>
      <c r="J649" s="27">
        <v>23395.394230182254</v>
      </c>
      <c r="K649" s="27">
        <v>49464.789800879822</v>
      </c>
      <c r="L649" s="27">
        <v>110591.99791769325</v>
      </c>
      <c r="M649" s="27">
        <v>228821.18475701509</v>
      </c>
    </row>
    <row r="650" spans="1:13" x14ac:dyDescent="0.75">
      <c r="A650" s="40">
        <v>648</v>
      </c>
      <c r="B650" s="27">
        <v>958.91357180359773</v>
      </c>
      <c r="C650" s="27">
        <v>1619.2461857081362</v>
      </c>
      <c r="D650" s="27">
        <v>2548.1700724350085</v>
      </c>
      <c r="E650" s="27">
        <v>3574.0625957671873</v>
      </c>
      <c r="F650" s="27">
        <v>5814.0574576506478</v>
      </c>
      <c r="G650" s="27">
        <v>8244.8863200646883</v>
      </c>
      <c r="H650" s="27">
        <v>10595.664131723082</v>
      </c>
      <c r="I650" s="27">
        <v>15283.580836520734</v>
      </c>
      <c r="J650" s="27">
        <v>23240.369075045848</v>
      </c>
      <c r="K650" s="27">
        <v>46433.794893924583</v>
      </c>
      <c r="L650" s="27">
        <v>107581.71779049834</v>
      </c>
      <c r="M650" s="27">
        <v>225894.46293114184</v>
      </c>
    </row>
    <row r="651" spans="1:13" x14ac:dyDescent="0.75">
      <c r="A651" s="40">
        <v>649</v>
      </c>
      <c r="B651" s="27">
        <v>1077.2595943207707</v>
      </c>
      <c r="C651" s="27">
        <v>1497.5355604723882</v>
      </c>
      <c r="D651" s="27">
        <v>2609.3216759921488</v>
      </c>
      <c r="E651" s="27">
        <v>3442.7198275400588</v>
      </c>
      <c r="F651" s="27">
        <v>5148.6083266901987</v>
      </c>
      <c r="G651" s="27">
        <v>7745.9306253606919</v>
      </c>
      <c r="H651" s="27">
        <v>9917.4426414360059</v>
      </c>
      <c r="I651" s="27">
        <v>14117.857549360022</v>
      </c>
      <c r="J651" s="27">
        <v>23760.649519379658</v>
      </c>
      <c r="K651" s="27">
        <v>47248.161443971359</v>
      </c>
      <c r="L651" s="27">
        <v>116803.90300633406</v>
      </c>
      <c r="M651" s="27">
        <v>233369.38977085735</v>
      </c>
    </row>
    <row r="652" spans="1:13" x14ac:dyDescent="0.75">
      <c r="A652" s="40">
        <v>650</v>
      </c>
      <c r="B652" s="27">
        <v>714.88075136594125</v>
      </c>
      <c r="C652" s="27">
        <v>1126.068009147697</v>
      </c>
      <c r="D652" s="27">
        <v>1806.8111434378661</v>
      </c>
      <c r="E652" s="27">
        <v>2919.3582807715575</v>
      </c>
      <c r="F652" s="27">
        <v>4699.1324481287593</v>
      </c>
      <c r="G652" s="27">
        <v>7278.2432546057971</v>
      </c>
      <c r="H652" s="27">
        <v>10518.10653097363</v>
      </c>
      <c r="I652" s="27">
        <v>14804.541373158048</v>
      </c>
      <c r="J652" s="27">
        <v>23986.431218389393</v>
      </c>
      <c r="K652" s="27">
        <v>47401.721973345557</v>
      </c>
      <c r="L652" s="27">
        <v>110545.21564308708</v>
      </c>
      <c r="M652" s="27">
        <v>225800.51062641133</v>
      </c>
    </row>
    <row r="653" spans="1:13" x14ac:dyDescent="0.75">
      <c r="A653" s="40">
        <v>651</v>
      </c>
      <c r="B653" s="27">
        <v>1077.9945253645274</v>
      </c>
      <c r="C653" s="27">
        <v>1483.067025713055</v>
      </c>
      <c r="D653" s="27">
        <v>2183.6722355803504</v>
      </c>
      <c r="E653" s="27">
        <v>3339.9322533483792</v>
      </c>
      <c r="F653" s="27">
        <v>5343.3427766246023</v>
      </c>
      <c r="G653" s="27">
        <v>7670.1358472814027</v>
      </c>
      <c r="H653" s="27">
        <v>10336.767298435967</v>
      </c>
      <c r="I653" s="27">
        <v>14107.420574739066</v>
      </c>
      <c r="J653" s="27">
        <v>22239.605419764892</v>
      </c>
      <c r="K653" s="27">
        <v>46828.530541097571</v>
      </c>
      <c r="L653" s="27">
        <v>102766.80934197083</v>
      </c>
      <c r="M653" s="27">
        <v>217377.27783992066</v>
      </c>
    </row>
    <row r="654" spans="1:13" x14ac:dyDescent="0.75">
      <c r="A654" s="40">
        <v>652</v>
      </c>
      <c r="B654" s="27">
        <v>821.77501498461061</v>
      </c>
      <c r="C654" s="27">
        <v>1494.3891390565695</v>
      </c>
      <c r="D654" s="27">
        <v>2330.3285083733208</v>
      </c>
      <c r="E654" s="27">
        <v>3711.9590691668564</v>
      </c>
      <c r="F654" s="27">
        <v>5654.2950486681948</v>
      </c>
      <c r="G654" s="27">
        <v>7651.9648112415161</v>
      </c>
      <c r="H654" s="27">
        <v>10545.505627467952</v>
      </c>
      <c r="I654" s="27">
        <v>13479.320732098407</v>
      </c>
      <c r="J654" s="27">
        <v>23054.217962806157</v>
      </c>
      <c r="K654" s="27">
        <v>46671.730084510782</v>
      </c>
      <c r="L654" s="27">
        <v>108321.86237575088</v>
      </c>
      <c r="M654" s="27">
        <v>223737.34837412526</v>
      </c>
    </row>
    <row r="655" spans="1:13" x14ac:dyDescent="0.75">
      <c r="A655" s="40">
        <v>653</v>
      </c>
      <c r="B655" s="27">
        <v>756.88390844491369</v>
      </c>
      <c r="C655" s="27">
        <v>1218.0278480036068</v>
      </c>
      <c r="D655" s="27">
        <v>2317.1769758689479</v>
      </c>
      <c r="E655" s="27">
        <v>3464.9421479825251</v>
      </c>
      <c r="F655" s="27">
        <v>5301.1921710931492</v>
      </c>
      <c r="G655" s="27">
        <v>7905.0462863536086</v>
      </c>
      <c r="H655" s="27">
        <v>10302.402108907991</v>
      </c>
      <c r="I655" s="27">
        <v>13656.557124786123</v>
      </c>
      <c r="J655" s="27">
        <v>23075.447862254325</v>
      </c>
      <c r="K655" s="27">
        <v>44361.625538702589</v>
      </c>
      <c r="L655" s="27">
        <v>110290.12984180552</v>
      </c>
      <c r="M655" s="27">
        <v>222649.4318142033</v>
      </c>
    </row>
    <row r="656" spans="1:13" x14ac:dyDescent="0.75">
      <c r="A656" s="40">
        <v>654</v>
      </c>
      <c r="B656" s="27">
        <v>1463.6753220070532</v>
      </c>
      <c r="C656" s="27">
        <v>2089.4573850799061</v>
      </c>
      <c r="D656" s="27">
        <v>3108.5132531097624</v>
      </c>
      <c r="E656" s="27">
        <v>3903.7366259620758</v>
      </c>
      <c r="F656" s="27">
        <v>6230.5295959841314</v>
      </c>
      <c r="G656" s="27">
        <v>8591.5451028035313</v>
      </c>
      <c r="H656" s="27">
        <v>11115.698447593692</v>
      </c>
      <c r="I656" s="27">
        <v>15633.055276087383</v>
      </c>
      <c r="J656" s="27">
        <v>25291.095297670458</v>
      </c>
      <c r="K656" s="27">
        <v>48711.252941627419</v>
      </c>
      <c r="L656" s="27">
        <v>106014.63625846115</v>
      </c>
      <c r="M656" s="27">
        <v>232153.19550638658</v>
      </c>
    </row>
    <row r="657" spans="1:13" x14ac:dyDescent="0.75">
      <c r="A657" s="40">
        <v>655</v>
      </c>
      <c r="B657" s="27">
        <v>1091.3572316791251</v>
      </c>
      <c r="C657" s="27">
        <v>1403.212441581607</v>
      </c>
      <c r="D657" s="27">
        <v>2297.4893357130932</v>
      </c>
      <c r="E657" s="27">
        <v>3426.5246116884518</v>
      </c>
      <c r="F657" s="27">
        <v>5258.4907724915829</v>
      </c>
      <c r="G657" s="27">
        <v>7572.0473271783267</v>
      </c>
      <c r="H657" s="27">
        <v>9312.7151913487032</v>
      </c>
      <c r="I657" s="27">
        <v>13634.870367174488</v>
      </c>
      <c r="J657" s="27">
        <v>22309.723897684307</v>
      </c>
      <c r="K657" s="27">
        <v>45973.526192885285</v>
      </c>
      <c r="L657" s="27">
        <v>106256.51800862727</v>
      </c>
      <c r="M657" s="27">
        <v>218536.47537805224</v>
      </c>
    </row>
    <row r="658" spans="1:13" x14ac:dyDescent="0.75">
      <c r="A658" s="40">
        <v>656</v>
      </c>
      <c r="B658" s="27">
        <v>1411.1004565721814</v>
      </c>
      <c r="C658" s="27">
        <v>1695.9854252988735</v>
      </c>
      <c r="D658" s="27">
        <v>2696.9087202780647</v>
      </c>
      <c r="E658" s="27">
        <v>3693.5267404370097</v>
      </c>
      <c r="F658" s="27">
        <v>5935.9528588734393</v>
      </c>
      <c r="G658" s="27">
        <v>7844.2084617968067</v>
      </c>
      <c r="H658" s="27">
        <v>10135.293727896526</v>
      </c>
      <c r="I658" s="27">
        <v>14207.723367146435</v>
      </c>
      <c r="J658" s="27">
        <v>22609.246080132361</v>
      </c>
      <c r="K658" s="27">
        <v>45224.074460286909</v>
      </c>
      <c r="L658" s="27">
        <v>107582.70746462708</v>
      </c>
      <c r="M658" s="27">
        <v>223036.7277633457</v>
      </c>
    </row>
    <row r="659" spans="1:13" x14ac:dyDescent="0.75">
      <c r="A659" s="40">
        <v>657</v>
      </c>
      <c r="B659" s="27">
        <v>755.36897077642789</v>
      </c>
      <c r="C659" s="27">
        <v>1436.8149797134392</v>
      </c>
      <c r="D659" s="27">
        <v>2552.2748003180895</v>
      </c>
      <c r="E659" s="27">
        <v>3662.916158406777</v>
      </c>
      <c r="F659" s="27">
        <v>5455.7738850204332</v>
      </c>
      <c r="G659" s="27">
        <v>7303.113226032292</v>
      </c>
      <c r="H659" s="27">
        <v>9479.1330383466993</v>
      </c>
      <c r="I659" s="27">
        <v>13614.400142802886</v>
      </c>
      <c r="J659" s="27">
        <v>21424.56029986334</v>
      </c>
      <c r="K659" s="27">
        <v>43034.116546281482</v>
      </c>
      <c r="L659" s="27">
        <v>109450.17606756598</v>
      </c>
      <c r="M659" s="27">
        <v>218168.64811512784</v>
      </c>
    </row>
    <row r="660" spans="1:13" x14ac:dyDescent="0.75">
      <c r="A660" s="40">
        <v>658</v>
      </c>
      <c r="B660" s="27">
        <v>1191.1823160207568</v>
      </c>
      <c r="C660" s="27">
        <v>1630.9022877284879</v>
      </c>
      <c r="D660" s="27">
        <v>2358.0905631898058</v>
      </c>
      <c r="E660" s="27">
        <v>3387.4371651611</v>
      </c>
      <c r="F660" s="27">
        <v>5452.1286163768673</v>
      </c>
      <c r="G660" s="27">
        <v>8014.2538058016798</v>
      </c>
      <c r="H660" s="27">
        <v>10102.70265149737</v>
      </c>
      <c r="I660" s="27">
        <v>14559.738649519059</v>
      </c>
      <c r="J660" s="27">
        <v>24237.935046727245</v>
      </c>
      <c r="K660" s="27">
        <v>45695.272670386039</v>
      </c>
      <c r="L660" s="27">
        <v>112624.76331381148</v>
      </c>
      <c r="M660" s="27">
        <v>229254.40708621987</v>
      </c>
    </row>
    <row r="661" spans="1:13" x14ac:dyDescent="0.75">
      <c r="A661" s="40">
        <v>659</v>
      </c>
      <c r="B661" s="27">
        <v>1036.2179428667878</v>
      </c>
      <c r="C661" s="27">
        <v>1677.7483469681611</v>
      </c>
      <c r="D661" s="27">
        <v>2691.5059694937663</v>
      </c>
      <c r="E661" s="27">
        <v>3860.7205840232928</v>
      </c>
      <c r="F661" s="27">
        <v>5742.9904816596245</v>
      </c>
      <c r="G661" s="27">
        <v>8118.963525826839</v>
      </c>
      <c r="H661" s="27">
        <v>10941.039059660572</v>
      </c>
      <c r="I661" s="27">
        <v>15652.160415942402</v>
      </c>
      <c r="J661" s="27">
        <v>23811.780658928037</v>
      </c>
      <c r="K661" s="27">
        <v>47618.042319053551</v>
      </c>
      <c r="L661" s="27">
        <v>116307.88834040026</v>
      </c>
      <c r="M661" s="27">
        <v>237459.05764482328</v>
      </c>
    </row>
    <row r="662" spans="1:13" x14ac:dyDescent="0.75">
      <c r="A662" s="40">
        <v>660</v>
      </c>
      <c r="B662" s="27">
        <v>205.26763910573209</v>
      </c>
      <c r="C662" s="27">
        <v>624.97120264871046</v>
      </c>
      <c r="D662" s="27">
        <v>1618.5950708927121</v>
      </c>
      <c r="E662" s="27">
        <v>2558.9932321438246</v>
      </c>
      <c r="F662" s="27">
        <v>4451.7898294568731</v>
      </c>
      <c r="G662" s="27">
        <v>7367.9011693705397</v>
      </c>
      <c r="H662" s="27">
        <v>9569.9845401427883</v>
      </c>
      <c r="I662" s="27">
        <v>13610.111987938973</v>
      </c>
      <c r="J662" s="27">
        <v>23436.826412391791</v>
      </c>
      <c r="K662" s="27">
        <v>45080.398921367494</v>
      </c>
      <c r="L662" s="27">
        <v>110830.23525256212</v>
      </c>
      <c r="M662" s="27">
        <v>219355.07525802156</v>
      </c>
    </row>
    <row r="663" spans="1:13" x14ac:dyDescent="0.75">
      <c r="A663" s="40">
        <v>661</v>
      </c>
      <c r="B663" s="27">
        <v>705.97945811829413</v>
      </c>
      <c r="C663" s="27">
        <v>1266.1924147864775</v>
      </c>
      <c r="D663" s="27">
        <v>2197.7482693797065</v>
      </c>
      <c r="E663" s="27">
        <v>3253.6284930625989</v>
      </c>
      <c r="F663" s="27">
        <v>5045.9403461877955</v>
      </c>
      <c r="G663" s="27">
        <v>7227.4075244582491</v>
      </c>
      <c r="H663" s="27">
        <v>9772.7025048374198</v>
      </c>
      <c r="I663" s="27">
        <v>14095.904372627512</v>
      </c>
      <c r="J663" s="27">
        <v>23329.215839741009</v>
      </c>
      <c r="K663" s="27">
        <v>45837.206185532996</v>
      </c>
      <c r="L663" s="27">
        <v>112016.6245731386</v>
      </c>
      <c r="M663" s="27">
        <v>224748.54998187066</v>
      </c>
    </row>
    <row r="664" spans="1:13" x14ac:dyDescent="0.75">
      <c r="A664" s="40">
        <v>662</v>
      </c>
      <c r="B664" s="27">
        <v>1231.4757521131833</v>
      </c>
      <c r="C664" s="27">
        <v>1529.1851955261227</v>
      </c>
      <c r="D664" s="27">
        <v>2721.0507148633042</v>
      </c>
      <c r="E664" s="27">
        <v>3899.1385207083804</v>
      </c>
      <c r="F664" s="27">
        <v>5777.0407376405783</v>
      </c>
      <c r="G664" s="27">
        <v>7983.6071595067042</v>
      </c>
      <c r="H664" s="27">
        <v>10479.174666658859</v>
      </c>
      <c r="I664" s="27">
        <v>14559.411535384788</v>
      </c>
      <c r="J664" s="27">
        <v>22690.201302634639</v>
      </c>
      <c r="K664" s="27">
        <v>45711.771005923219</v>
      </c>
      <c r="L664" s="27">
        <v>108223.35153172513</v>
      </c>
      <c r="M664" s="27">
        <v>224805.40812268492</v>
      </c>
    </row>
    <row r="665" spans="1:13" x14ac:dyDescent="0.75">
      <c r="A665" s="40">
        <v>663</v>
      </c>
      <c r="B665" s="27">
        <v>1270.1358480616473</v>
      </c>
      <c r="C665" s="27">
        <v>1602.9755538746394</v>
      </c>
      <c r="D665" s="27">
        <v>2829.4572957327473</v>
      </c>
      <c r="E665" s="27">
        <v>3998.1134787180781</v>
      </c>
      <c r="F665" s="27">
        <v>5883.1713740419946</v>
      </c>
      <c r="G665" s="27">
        <v>8456.2116565814649</v>
      </c>
      <c r="H665" s="27">
        <v>10819.982260817764</v>
      </c>
      <c r="I665" s="27">
        <v>15508.891552232162</v>
      </c>
      <c r="J665" s="27">
        <v>25174.494632634029</v>
      </c>
      <c r="K665" s="27">
        <v>50395.998283995228</v>
      </c>
      <c r="L665" s="27">
        <v>109833.49009194999</v>
      </c>
      <c r="M665" s="27">
        <v>235772.92202863976</v>
      </c>
    </row>
    <row r="666" spans="1:13" x14ac:dyDescent="0.75">
      <c r="A666" s="40">
        <v>664</v>
      </c>
      <c r="B666" s="27">
        <v>1150.6925513280585</v>
      </c>
      <c r="C666" s="27">
        <v>1468.0255711400387</v>
      </c>
      <c r="D666" s="27">
        <v>2594.7637282501382</v>
      </c>
      <c r="E666" s="27">
        <v>3636.0530248278519</v>
      </c>
      <c r="F666" s="27">
        <v>5786.3040766716877</v>
      </c>
      <c r="G666" s="27">
        <v>8186.9621372389374</v>
      </c>
      <c r="H666" s="27">
        <v>10328.669728087407</v>
      </c>
      <c r="I666" s="27">
        <v>13983.170809286079</v>
      </c>
      <c r="J666" s="27">
        <v>23952.882752649341</v>
      </c>
      <c r="K666" s="27">
        <v>46615.521784617289</v>
      </c>
      <c r="L666" s="27">
        <v>120137.43769152668</v>
      </c>
      <c r="M666" s="27">
        <v>237840.48385562352</v>
      </c>
    </row>
    <row r="667" spans="1:13" x14ac:dyDescent="0.75">
      <c r="A667" s="40">
        <v>665</v>
      </c>
      <c r="B667" s="27">
        <v>694.45162531989627</v>
      </c>
      <c r="C667" s="27">
        <v>1028.2908866132057</v>
      </c>
      <c r="D667" s="27">
        <v>1857.6437564302178</v>
      </c>
      <c r="E667" s="27">
        <v>3121.2246365881583</v>
      </c>
      <c r="F667" s="27">
        <v>5032.2647900930024</v>
      </c>
      <c r="G667" s="27">
        <v>7403.8865753515274</v>
      </c>
      <c r="H667" s="27">
        <v>10675.392799768335</v>
      </c>
      <c r="I667" s="27">
        <v>14861.167921363929</v>
      </c>
      <c r="J667" s="27">
        <v>23812.854504394898</v>
      </c>
      <c r="K667" s="27">
        <v>48163.187392309192</v>
      </c>
      <c r="L667" s="27">
        <v>118994.00921699053</v>
      </c>
      <c r="M667" s="27">
        <v>235644.37410522287</v>
      </c>
    </row>
    <row r="668" spans="1:13" x14ac:dyDescent="0.75">
      <c r="A668" s="40">
        <v>666</v>
      </c>
      <c r="B668" s="27">
        <v>1181.0989326349954</v>
      </c>
      <c r="C668" s="27">
        <v>1697.3790543898358</v>
      </c>
      <c r="D668" s="27">
        <v>2465.3915392149938</v>
      </c>
      <c r="E668" s="27">
        <v>3925.1148581114248</v>
      </c>
      <c r="F668" s="27">
        <v>6413.8067621857626</v>
      </c>
      <c r="G668" s="27">
        <v>8415.794212032255</v>
      </c>
      <c r="H668" s="27">
        <v>11201.048286763456</v>
      </c>
      <c r="I668" s="27">
        <v>15402.153350691544</v>
      </c>
      <c r="J668" s="27">
        <v>24011.928945794731</v>
      </c>
      <c r="K668" s="27">
        <v>50811.653014134557</v>
      </c>
      <c r="L668" s="27">
        <v>111304.68815849925</v>
      </c>
      <c r="M668" s="27">
        <v>236830.05711445282</v>
      </c>
    </row>
    <row r="669" spans="1:13" x14ac:dyDescent="0.75">
      <c r="A669" s="40">
        <v>667</v>
      </c>
      <c r="B669" s="27">
        <v>1203.8636575705168</v>
      </c>
      <c r="C669" s="27">
        <v>1766.0084323208866</v>
      </c>
      <c r="D669" s="27">
        <v>2843.3371805933857</v>
      </c>
      <c r="E669" s="27">
        <v>3819.8966866897827</v>
      </c>
      <c r="F669" s="27">
        <v>5630.8278670336149</v>
      </c>
      <c r="G669" s="27">
        <v>7941.9230709575058</v>
      </c>
      <c r="H669" s="27">
        <v>10295.302682040478</v>
      </c>
      <c r="I669" s="27">
        <v>14597.240674454486</v>
      </c>
      <c r="J669" s="27">
        <v>23615.788574024264</v>
      </c>
      <c r="K669" s="27">
        <v>45806.800808064581</v>
      </c>
      <c r="L669" s="27">
        <v>105213.13281900359</v>
      </c>
      <c r="M669" s="27">
        <v>222734.12245275307</v>
      </c>
    </row>
    <row r="670" spans="1:13" x14ac:dyDescent="0.75">
      <c r="A670" s="40">
        <v>668</v>
      </c>
      <c r="B670" s="27">
        <v>1046.563291187369</v>
      </c>
      <c r="C670" s="27">
        <v>1807.5856284108158</v>
      </c>
      <c r="D670" s="27">
        <v>2697.329166155323</v>
      </c>
      <c r="E670" s="27">
        <v>4408.0588967784715</v>
      </c>
      <c r="F670" s="27">
        <v>6555.7209748687164</v>
      </c>
      <c r="G670" s="27">
        <v>9041.9627325950423</v>
      </c>
      <c r="H670" s="27">
        <v>11318.026693249849</v>
      </c>
      <c r="I670" s="27">
        <v>15285.344741992114</v>
      </c>
      <c r="J670" s="27">
        <v>24254.439491048921</v>
      </c>
      <c r="K670" s="27">
        <v>49863.965070810373</v>
      </c>
      <c r="L670" s="27">
        <v>111417.6343039154</v>
      </c>
      <c r="M670" s="27">
        <v>237696.63099101238</v>
      </c>
    </row>
    <row r="671" spans="1:13" x14ac:dyDescent="0.75">
      <c r="A671" s="40">
        <v>669</v>
      </c>
      <c r="B671" s="27">
        <v>203.26168683294964</v>
      </c>
      <c r="C671" s="27">
        <v>655.70746797019092</v>
      </c>
      <c r="D671" s="27">
        <v>1730.1133477169205</v>
      </c>
      <c r="E671" s="27">
        <v>2876.4315796022129</v>
      </c>
      <c r="F671" s="27">
        <v>4574.2836758862686</v>
      </c>
      <c r="G671" s="27">
        <v>6987.9339887838287</v>
      </c>
      <c r="H671" s="27">
        <v>9782.820978524207</v>
      </c>
      <c r="I671" s="27">
        <v>13188.879139163793</v>
      </c>
      <c r="J671" s="27">
        <v>22781.096757196196</v>
      </c>
      <c r="K671" s="27">
        <v>47340.649446121461</v>
      </c>
      <c r="L671" s="27">
        <v>106842.17641856539</v>
      </c>
      <c r="M671" s="27">
        <v>216963.35448636342</v>
      </c>
    </row>
    <row r="672" spans="1:13" x14ac:dyDescent="0.75">
      <c r="A672" s="40">
        <v>670</v>
      </c>
      <c r="B672" s="27">
        <v>1011.685179904176</v>
      </c>
      <c r="C672" s="27">
        <v>1394.703839898677</v>
      </c>
      <c r="D672" s="27">
        <v>2716.6610226474877</v>
      </c>
      <c r="E672" s="27">
        <v>3980.6700208833645</v>
      </c>
      <c r="F672" s="27">
        <v>5458.0738940384763</v>
      </c>
      <c r="G672" s="27">
        <v>8196.6083765648655</v>
      </c>
      <c r="H672" s="27">
        <v>10520.058436017469</v>
      </c>
      <c r="I672" s="27">
        <v>15136.375079289064</v>
      </c>
      <c r="J672" s="27">
        <v>23877.722161906742</v>
      </c>
      <c r="K672" s="27">
        <v>45727.164846550542</v>
      </c>
      <c r="L672" s="27">
        <v>112587.03013754578</v>
      </c>
      <c r="M672" s="27">
        <v>230606.75299524664</v>
      </c>
    </row>
    <row r="673" spans="1:13" x14ac:dyDescent="0.75">
      <c r="A673" s="40">
        <v>671</v>
      </c>
      <c r="B673" s="27">
        <v>730.39602941792691</v>
      </c>
      <c r="C673" s="27">
        <v>1011.9881639791711</v>
      </c>
      <c r="D673" s="27">
        <v>1803.484657180481</v>
      </c>
      <c r="E673" s="27">
        <v>2737.9075537286262</v>
      </c>
      <c r="F673" s="27">
        <v>4690.9126344755059</v>
      </c>
      <c r="G673" s="27">
        <v>7257.9998824581562</v>
      </c>
      <c r="H673" s="27">
        <v>9992.2786483698728</v>
      </c>
      <c r="I673" s="27">
        <v>14228.421435198994</v>
      </c>
      <c r="J673" s="27">
        <v>22916.595349229654</v>
      </c>
      <c r="K673" s="27">
        <v>44827.695134219219</v>
      </c>
      <c r="L673" s="27">
        <v>104298.82357017662</v>
      </c>
      <c r="M673" s="27">
        <v>214496.50305843423</v>
      </c>
    </row>
    <row r="674" spans="1:13" x14ac:dyDescent="0.75">
      <c r="A674" s="40">
        <v>672</v>
      </c>
      <c r="B674" s="27">
        <v>645.2019134437578</v>
      </c>
      <c r="C674" s="27">
        <v>985.47936877854227</v>
      </c>
      <c r="D674" s="27">
        <v>1597.8368652921636</v>
      </c>
      <c r="E674" s="27">
        <v>2463.7583593225281</v>
      </c>
      <c r="F674" s="27">
        <v>4709.4760020445101</v>
      </c>
      <c r="G674" s="27">
        <v>7092.1268453490047</v>
      </c>
      <c r="H674" s="27">
        <v>9965.5155988658662</v>
      </c>
      <c r="I674" s="27">
        <v>13915.739379752005</v>
      </c>
      <c r="J674" s="27">
        <v>22172.998996317823</v>
      </c>
      <c r="K674" s="27">
        <v>45233.022892758832</v>
      </c>
      <c r="L674" s="27">
        <v>112497.01113553479</v>
      </c>
      <c r="M674" s="27">
        <v>221278.16735745984</v>
      </c>
    </row>
    <row r="675" spans="1:13" x14ac:dyDescent="0.75">
      <c r="A675" s="40">
        <v>673</v>
      </c>
      <c r="B675" s="27">
        <v>833.99984588885854</v>
      </c>
      <c r="C675" s="27">
        <v>1415.7019424009341</v>
      </c>
      <c r="D675" s="27">
        <v>2185.5606358810619</v>
      </c>
      <c r="E675" s="27">
        <v>3144.1374714725243</v>
      </c>
      <c r="F675" s="27">
        <v>5316.5360423791572</v>
      </c>
      <c r="G675" s="27">
        <v>7445.4829213900957</v>
      </c>
      <c r="H675" s="27">
        <v>10154.984134027429</v>
      </c>
      <c r="I675" s="27">
        <v>14549.631637253013</v>
      </c>
      <c r="J675" s="27">
        <v>23632.822435651702</v>
      </c>
      <c r="K675" s="27">
        <v>46920.642565131304</v>
      </c>
      <c r="L675" s="27">
        <v>110476.94302257441</v>
      </c>
      <c r="M675" s="27">
        <v>226076.44265405048</v>
      </c>
    </row>
    <row r="676" spans="1:13" x14ac:dyDescent="0.75">
      <c r="A676" s="40">
        <v>674</v>
      </c>
      <c r="B676" s="27">
        <v>632.9491890121426</v>
      </c>
      <c r="C676" s="27">
        <v>1356.7223411020386</v>
      </c>
      <c r="D676" s="27">
        <v>2502.5736150597659</v>
      </c>
      <c r="E676" s="27">
        <v>3283.480961744659</v>
      </c>
      <c r="F676" s="27">
        <v>5209.0227685864229</v>
      </c>
      <c r="G676" s="27">
        <v>7448.3598568155721</v>
      </c>
      <c r="H676" s="27">
        <v>10160.37605171022</v>
      </c>
      <c r="I676" s="27">
        <v>14835.741041746267</v>
      </c>
      <c r="J676" s="27">
        <v>22624.64197116271</v>
      </c>
      <c r="K676" s="27">
        <v>47324.122946429561</v>
      </c>
      <c r="L676" s="27">
        <v>115115.20790670026</v>
      </c>
      <c r="M676" s="27">
        <v>230493.19865006962</v>
      </c>
    </row>
    <row r="677" spans="1:13" x14ac:dyDescent="0.75">
      <c r="A677" s="40">
        <v>675</v>
      </c>
      <c r="B677" s="27">
        <v>275.72377904763562</v>
      </c>
      <c r="C677" s="27">
        <v>759.08723036725132</v>
      </c>
      <c r="D677" s="27">
        <v>1528.9644481805299</v>
      </c>
      <c r="E677" s="27">
        <v>2676.0706425513927</v>
      </c>
      <c r="F677" s="27">
        <v>4303.5614528259612</v>
      </c>
      <c r="G677" s="27">
        <v>7028.6483720830001</v>
      </c>
      <c r="H677" s="27">
        <v>10242.699395400618</v>
      </c>
      <c r="I677" s="27">
        <v>14197.651306034197</v>
      </c>
      <c r="J677" s="27">
        <v>23872.169409827096</v>
      </c>
      <c r="K677" s="27">
        <v>45472.908281252196</v>
      </c>
      <c r="L677" s="27">
        <v>119218.99819131965</v>
      </c>
      <c r="M677" s="27">
        <v>229576.48250888952</v>
      </c>
    </row>
    <row r="678" spans="1:13" x14ac:dyDescent="0.75">
      <c r="A678" s="40">
        <v>676</v>
      </c>
      <c r="B678" s="27">
        <v>648.19872806426429</v>
      </c>
      <c r="C678" s="27">
        <v>1123.5402229280298</v>
      </c>
      <c r="D678" s="27">
        <v>1829.0001115747436</v>
      </c>
      <c r="E678" s="27">
        <v>2643.0195119360433</v>
      </c>
      <c r="F678" s="27">
        <v>4324.7017645454762</v>
      </c>
      <c r="G678" s="27">
        <v>7184.8182512534258</v>
      </c>
      <c r="H678" s="27">
        <v>9225.9487697835575</v>
      </c>
      <c r="I678" s="27">
        <v>13189.632163630929</v>
      </c>
      <c r="J678" s="27">
        <v>21707.839964115352</v>
      </c>
      <c r="K678" s="27">
        <v>45605.140655637981</v>
      </c>
      <c r="L678" s="27">
        <v>110822.06481324049</v>
      </c>
      <c r="M678" s="27">
        <v>218303.90495671029</v>
      </c>
    </row>
    <row r="679" spans="1:13" x14ac:dyDescent="0.75">
      <c r="A679" s="40">
        <v>677</v>
      </c>
      <c r="B679" s="27">
        <v>1043.0320249237266</v>
      </c>
      <c r="C679" s="27">
        <v>1517.0658225689403</v>
      </c>
      <c r="D679" s="27">
        <v>2338.5877251347265</v>
      </c>
      <c r="E679" s="27">
        <v>3715.4494156312867</v>
      </c>
      <c r="F679" s="27">
        <v>5749.3144799708389</v>
      </c>
      <c r="G679" s="27">
        <v>8123.5777349939453</v>
      </c>
      <c r="H679" s="27">
        <v>10502.387904331961</v>
      </c>
      <c r="I679" s="27">
        <v>14537.522841733749</v>
      </c>
      <c r="J679" s="27">
        <v>22940.199058442347</v>
      </c>
      <c r="K679" s="27">
        <v>49766.128886739272</v>
      </c>
      <c r="L679" s="27">
        <v>116973.09334742527</v>
      </c>
      <c r="M679" s="27">
        <v>237206.35924189608</v>
      </c>
    </row>
    <row r="680" spans="1:13" x14ac:dyDescent="0.75">
      <c r="A680" s="40">
        <v>678</v>
      </c>
      <c r="B680" s="27">
        <v>910.22533130932425</v>
      </c>
      <c r="C680" s="27">
        <v>1435.7046844763827</v>
      </c>
      <c r="D680" s="27">
        <v>2498.8231159958959</v>
      </c>
      <c r="E680" s="27">
        <v>3573.7749961151712</v>
      </c>
      <c r="F680" s="27">
        <v>5550.3348130241793</v>
      </c>
      <c r="G680" s="27">
        <v>7676.4659522006405</v>
      </c>
      <c r="H680" s="27">
        <v>10176.943596692552</v>
      </c>
      <c r="I680" s="27">
        <v>14734.00516232464</v>
      </c>
      <c r="J680" s="27">
        <v>23097.278994091495</v>
      </c>
      <c r="K680" s="27">
        <v>47378.424851346426</v>
      </c>
      <c r="L680" s="27">
        <v>116624.00188809157</v>
      </c>
      <c r="M680" s="27">
        <v>233655.98338566828</v>
      </c>
    </row>
    <row r="681" spans="1:13" x14ac:dyDescent="0.75">
      <c r="A681" s="40">
        <v>679</v>
      </c>
      <c r="B681" s="27">
        <v>1128.6080732372066</v>
      </c>
      <c r="C681" s="27">
        <v>1629.3960376272007</v>
      </c>
      <c r="D681" s="27">
        <v>2500.1158080908499</v>
      </c>
      <c r="E681" s="27">
        <v>3705.6608374488424</v>
      </c>
      <c r="F681" s="27">
        <v>4950.878306251805</v>
      </c>
      <c r="G681" s="27">
        <v>7765.0989374210185</v>
      </c>
      <c r="H681" s="27">
        <v>10371.90280358211</v>
      </c>
      <c r="I681" s="27">
        <v>14015.320517992048</v>
      </c>
      <c r="J681" s="27">
        <v>22166.250709516098</v>
      </c>
      <c r="K681" s="27">
        <v>45385.360569710028</v>
      </c>
      <c r="L681" s="27">
        <v>113037.41165348071</v>
      </c>
      <c r="M681" s="27">
        <v>226656.00425435792</v>
      </c>
    </row>
    <row r="682" spans="1:13" x14ac:dyDescent="0.75">
      <c r="A682" s="40">
        <v>680</v>
      </c>
      <c r="B682" s="27">
        <v>758.05602736299625</v>
      </c>
      <c r="C682" s="27">
        <v>1195.5985850976285</v>
      </c>
      <c r="D682" s="27">
        <v>1935.2416059247771</v>
      </c>
      <c r="E682" s="27">
        <v>3381.4792724489089</v>
      </c>
      <c r="F682" s="27">
        <v>5397.6887022050796</v>
      </c>
      <c r="G682" s="27">
        <v>7524.2439617652853</v>
      </c>
      <c r="H682" s="27">
        <v>9603.4885268846265</v>
      </c>
      <c r="I682" s="27">
        <v>14296.95947790482</v>
      </c>
      <c r="J682" s="27">
        <v>23035.447477504291</v>
      </c>
      <c r="K682" s="27">
        <v>46160.282189295307</v>
      </c>
      <c r="L682" s="27">
        <v>107862.81291524861</v>
      </c>
      <c r="M682" s="27">
        <v>221151.29874164233</v>
      </c>
    </row>
    <row r="683" spans="1:13" x14ac:dyDescent="0.75">
      <c r="A683" s="40">
        <v>681</v>
      </c>
      <c r="B683" s="27">
        <v>1219.7844670724589</v>
      </c>
      <c r="C683" s="27">
        <v>1706.94543017869</v>
      </c>
      <c r="D683" s="27">
        <v>2588.2938654785539</v>
      </c>
      <c r="E683" s="27">
        <v>3322.0836865996389</v>
      </c>
      <c r="F683" s="27">
        <v>5345.0926536303305</v>
      </c>
      <c r="G683" s="27">
        <v>7796.9805563723785</v>
      </c>
      <c r="H683" s="27">
        <v>9887.2490886014712</v>
      </c>
      <c r="I683" s="27">
        <v>13395.411888502073</v>
      </c>
      <c r="J683" s="27">
        <v>22643.527996313627</v>
      </c>
      <c r="K683" s="27">
        <v>46096.892892642645</v>
      </c>
      <c r="L683" s="27">
        <v>110435.04724435056</v>
      </c>
      <c r="M683" s="27">
        <v>224437.30976974242</v>
      </c>
    </row>
    <row r="684" spans="1:13" x14ac:dyDescent="0.75">
      <c r="A684" s="40">
        <v>682</v>
      </c>
      <c r="B684" s="27">
        <v>1056.9074667510286</v>
      </c>
      <c r="C684" s="27">
        <v>1641.5730182427942</v>
      </c>
      <c r="D684" s="27">
        <v>2473.6098440782662</v>
      </c>
      <c r="E684" s="27">
        <v>3313.406286168276</v>
      </c>
      <c r="F684" s="27">
        <v>5209.8616637393134</v>
      </c>
      <c r="G684" s="27">
        <v>7602.4055362014624</v>
      </c>
      <c r="H684" s="27">
        <v>10048.293955743968</v>
      </c>
      <c r="I684" s="27">
        <v>14141.888122063887</v>
      </c>
      <c r="J684" s="27">
        <v>23027.372811032386</v>
      </c>
      <c r="K684" s="27">
        <v>45712.610111930553</v>
      </c>
      <c r="L684" s="27">
        <v>111442.59431584436</v>
      </c>
      <c r="M684" s="27">
        <v>225670.52313179628</v>
      </c>
    </row>
    <row r="685" spans="1:13" x14ac:dyDescent="0.75">
      <c r="A685" s="40">
        <v>683</v>
      </c>
      <c r="B685" s="27">
        <v>1034.0753986497002</v>
      </c>
      <c r="C685" s="27">
        <v>1519.8901109062717</v>
      </c>
      <c r="D685" s="27">
        <v>2480.1823426757037</v>
      </c>
      <c r="E685" s="27">
        <v>3669.6759747133183</v>
      </c>
      <c r="F685" s="27">
        <v>5040.5055968663801</v>
      </c>
      <c r="G685" s="27">
        <v>7739.1001177936269</v>
      </c>
      <c r="H685" s="27">
        <v>10046.396857016094</v>
      </c>
      <c r="I685" s="27">
        <v>13626.343460288263</v>
      </c>
      <c r="J685" s="27">
        <v>23807.171961413813</v>
      </c>
      <c r="K685" s="27">
        <v>47306.704120145747</v>
      </c>
      <c r="L685" s="27">
        <v>115582.72758861913</v>
      </c>
      <c r="M685" s="27">
        <v>231852.77352908807</v>
      </c>
    </row>
    <row r="686" spans="1:13" x14ac:dyDescent="0.75">
      <c r="A686" s="40">
        <v>684</v>
      </c>
      <c r="B686" s="27">
        <v>810.06331631859939</v>
      </c>
      <c r="C686" s="27">
        <v>1262.7923385838076</v>
      </c>
      <c r="D686" s="27">
        <v>2400.5330526999896</v>
      </c>
      <c r="E686" s="27">
        <v>3310.23316907759</v>
      </c>
      <c r="F686" s="27">
        <v>5081.5373141198797</v>
      </c>
      <c r="G686" s="27">
        <v>8006.8129559354857</v>
      </c>
      <c r="H686" s="27">
        <v>10920.891772133211</v>
      </c>
      <c r="I686" s="27">
        <v>14086.447141178127</v>
      </c>
      <c r="J686" s="27">
        <v>23549.558949336759</v>
      </c>
      <c r="K686" s="27">
        <v>46807.013255170314</v>
      </c>
      <c r="L686" s="27">
        <v>109073.99792117511</v>
      </c>
      <c r="M686" s="27">
        <v>225309.88118572888</v>
      </c>
    </row>
    <row r="687" spans="1:13" x14ac:dyDescent="0.75">
      <c r="A687" s="40">
        <v>685</v>
      </c>
      <c r="B687" s="27">
        <v>287.50589502688672</v>
      </c>
      <c r="C687" s="27">
        <v>465.13856202359602</v>
      </c>
      <c r="D687" s="27">
        <v>1015.0274280056765</v>
      </c>
      <c r="E687" s="27">
        <v>2104.7433984648815</v>
      </c>
      <c r="F687" s="27">
        <v>3753.6349091051088</v>
      </c>
      <c r="G687" s="27">
        <v>5674.1112702815153</v>
      </c>
      <c r="H687" s="27">
        <v>8850.6053449382598</v>
      </c>
      <c r="I687" s="27">
        <v>12437.946044187454</v>
      </c>
      <c r="J687" s="27">
        <v>21075.870839926676</v>
      </c>
      <c r="K687" s="27">
        <v>45500.433269456757</v>
      </c>
      <c r="L687" s="27">
        <v>108159.94823952095</v>
      </c>
      <c r="M687" s="27">
        <v>209324.96520093776</v>
      </c>
    </row>
    <row r="688" spans="1:13" x14ac:dyDescent="0.75">
      <c r="A688" s="40">
        <v>686</v>
      </c>
      <c r="B688" s="27">
        <v>615.9712878207356</v>
      </c>
      <c r="C688" s="27">
        <v>1024.6813381232787</v>
      </c>
      <c r="D688" s="27">
        <v>1810.4165474684123</v>
      </c>
      <c r="E688" s="27">
        <v>2921.2758909058612</v>
      </c>
      <c r="F688" s="27">
        <v>4794.0561745138548</v>
      </c>
      <c r="G688" s="27">
        <v>6521.5606858948595</v>
      </c>
      <c r="H688" s="27">
        <v>9805.8656462960935</v>
      </c>
      <c r="I688" s="27">
        <v>14082.084430223156</v>
      </c>
      <c r="J688" s="27">
        <v>23001.368676917642</v>
      </c>
      <c r="K688" s="27">
        <v>44538.155869337977</v>
      </c>
      <c r="L688" s="27">
        <v>112211.38659041793</v>
      </c>
      <c r="M688" s="27">
        <v>221326.8231379198</v>
      </c>
    </row>
    <row r="689" spans="1:13" x14ac:dyDescent="0.75">
      <c r="A689" s="40">
        <v>687</v>
      </c>
      <c r="B689" s="27">
        <v>1551.8924814636412</v>
      </c>
      <c r="C689" s="27">
        <v>2203.3569058405847</v>
      </c>
      <c r="D689" s="27">
        <v>3112.5905746637727</v>
      </c>
      <c r="E689" s="27">
        <v>4188.0301444700017</v>
      </c>
      <c r="F689" s="27">
        <v>6082.2897008899599</v>
      </c>
      <c r="G689" s="27">
        <v>9316.6084529770596</v>
      </c>
      <c r="H689" s="27">
        <v>11790.374679662724</v>
      </c>
      <c r="I689" s="27">
        <v>15424.589062508487</v>
      </c>
      <c r="J689" s="27">
        <v>24448.161084399413</v>
      </c>
      <c r="K689" s="27">
        <v>49011.611861193553</v>
      </c>
      <c r="L689" s="27">
        <v>112296.02415869362</v>
      </c>
      <c r="M689" s="27">
        <v>239425.52910676281</v>
      </c>
    </row>
    <row r="690" spans="1:13" x14ac:dyDescent="0.75">
      <c r="A690" s="40">
        <v>688</v>
      </c>
      <c r="B690" s="27">
        <v>658.12341020644817</v>
      </c>
      <c r="C690" s="27">
        <v>1021.1780197056942</v>
      </c>
      <c r="D690" s="27">
        <v>1903.3531941117108</v>
      </c>
      <c r="E690" s="27">
        <v>3084.1865504731395</v>
      </c>
      <c r="F690" s="27">
        <v>5183.5204663855257</v>
      </c>
      <c r="G690" s="27">
        <v>7139.1056966948236</v>
      </c>
      <c r="H690" s="27">
        <v>10090.25929497811</v>
      </c>
      <c r="I690" s="27">
        <v>13073.386791390338</v>
      </c>
      <c r="J690" s="27">
        <v>22490.7901115063</v>
      </c>
      <c r="K690" s="27">
        <v>47441.328218203824</v>
      </c>
      <c r="L690" s="27">
        <v>114689.10673380594</v>
      </c>
      <c r="M690" s="27">
        <v>226774.33848746185</v>
      </c>
    </row>
    <row r="691" spans="1:13" x14ac:dyDescent="0.75">
      <c r="A691" s="40">
        <v>689</v>
      </c>
      <c r="B691" s="27">
        <v>648.99925639062712</v>
      </c>
      <c r="C691" s="27">
        <v>1038.9917418346886</v>
      </c>
      <c r="D691" s="27">
        <v>1709.4242601495644</v>
      </c>
      <c r="E691" s="27">
        <v>2728.9317681822722</v>
      </c>
      <c r="F691" s="27">
        <v>4571.3176494846266</v>
      </c>
      <c r="G691" s="27">
        <v>6965.4293572253955</v>
      </c>
      <c r="H691" s="27">
        <v>9529.3917168600019</v>
      </c>
      <c r="I691" s="27">
        <v>13978.498286167087</v>
      </c>
      <c r="J691" s="27">
        <v>23611.716201148694</v>
      </c>
      <c r="K691" s="27">
        <v>44397.635478745884</v>
      </c>
      <c r="L691" s="27">
        <v>107540.78397199002</v>
      </c>
      <c r="M691" s="27">
        <v>216721.11968817888</v>
      </c>
    </row>
    <row r="692" spans="1:13" x14ac:dyDescent="0.75">
      <c r="A692" s="40">
        <v>690</v>
      </c>
      <c r="B692" s="27">
        <v>1174.5870243039099</v>
      </c>
      <c r="C692" s="27">
        <v>1853.423625924479</v>
      </c>
      <c r="D692" s="27">
        <v>2760.4742094922403</v>
      </c>
      <c r="E692" s="27">
        <v>3981.4575925515674</v>
      </c>
      <c r="F692" s="27">
        <v>5845.083936761861</v>
      </c>
      <c r="G692" s="27">
        <v>8014.6100436494744</v>
      </c>
      <c r="H692" s="27">
        <v>11083.495513131144</v>
      </c>
      <c r="I692" s="27">
        <v>15350.512388968811</v>
      </c>
      <c r="J692" s="27">
        <v>23245.750322704218</v>
      </c>
      <c r="K692" s="27">
        <v>48798.909665162413</v>
      </c>
      <c r="L692" s="27">
        <v>113176.21693754761</v>
      </c>
      <c r="M692" s="27">
        <v>235284.52126019774</v>
      </c>
    </row>
    <row r="693" spans="1:13" x14ac:dyDescent="0.75">
      <c r="A693" s="40">
        <v>691</v>
      </c>
      <c r="B693" s="27">
        <v>700.0495019510563</v>
      </c>
      <c r="C693" s="27">
        <v>1139.0158026215504</v>
      </c>
      <c r="D693" s="27">
        <v>1887.9382644420693</v>
      </c>
      <c r="E693" s="27">
        <v>2986.0851531493681</v>
      </c>
      <c r="F693" s="27">
        <v>4889.3431838432734</v>
      </c>
      <c r="G693" s="27">
        <v>7099.0101076954743</v>
      </c>
      <c r="H693" s="27">
        <v>9775.3690104765701</v>
      </c>
      <c r="I693" s="27">
        <v>14272.596242778658</v>
      </c>
      <c r="J693" s="27">
        <v>22885.121534850332</v>
      </c>
      <c r="K693" s="27">
        <v>46583.044140253958</v>
      </c>
      <c r="L693" s="27">
        <v>107849.22700028031</v>
      </c>
      <c r="M693" s="27">
        <v>220066.79994234262</v>
      </c>
    </row>
    <row r="694" spans="1:13" x14ac:dyDescent="0.75">
      <c r="A694" s="40">
        <v>692</v>
      </c>
      <c r="B694" s="27">
        <v>685.08096064858546</v>
      </c>
      <c r="C694" s="27">
        <v>1320.8542293759529</v>
      </c>
      <c r="D694" s="27">
        <v>2081.4824708527449</v>
      </c>
      <c r="E694" s="27">
        <v>2944.429234340656</v>
      </c>
      <c r="F694" s="27">
        <v>5107.720157504169</v>
      </c>
      <c r="G694" s="27">
        <v>7307.8396604451118</v>
      </c>
      <c r="H694" s="27">
        <v>10634.221859487545</v>
      </c>
      <c r="I694" s="27">
        <v>14563.312348613428</v>
      </c>
      <c r="J694" s="27">
        <v>23525.060862456245</v>
      </c>
      <c r="K694" s="27">
        <v>49313.909266018512</v>
      </c>
      <c r="L694" s="27">
        <v>113942.60759937813</v>
      </c>
      <c r="M694" s="27">
        <v>231426.51864912108</v>
      </c>
    </row>
    <row r="695" spans="1:13" x14ac:dyDescent="0.75">
      <c r="A695" s="40">
        <v>693</v>
      </c>
      <c r="B695" s="27">
        <v>429.34688280403498</v>
      </c>
      <c r="C695" s="27">
        <v>841.94914528849768</v>
      </c>
      <c r="D695" s="27">
        <v>1998.2263545134338</v>
      </c>
      <c r="E695" s="27">
        <v>3238.1431454526464</v>
      </c>
      <c r="F695" s="27">
        <v>5341.5063717002049</v>
      </c>
      <c r="G695" s="27">
        <v>7437.9501378639834</v>
      </c>
      <c r="H695" s="27">
        <v>9749.9377606367198</v>
      </c>
      <c r="I695" s="27">
        <v>13563.926407185078</v>
      </c>
      <c r="J695" s="27">
        <v>23350.394950919814</v>
      </c>
      <c r="K695" s="27">
        <v>47127.737462766119</v>
      </c>
      <c r="L695" s="27">
        <v>116386.40669363647</v>
      </c>
      <c r="M695" s="27">
        <v>229465.52531276701</v>
      </c>
    </row>
    <row r="696" spans="1:13" x14ac:dyDescent="0.75">
      <c r="A696" s="40">
        <v>694</v>
      </c>
      <c r="B696" s="27">
        <v>812.86307366122492</v>
      </c>
      <c r="C696" s="27">
        <v>1473.6005812429357</v>
      </c>
      <c r="D696" s="27">
        <v>2509.3528856576158</v>
      </c>
      <c r="E696" s="27">
        <v>3769.3878298198106</v>
      </c>
      <c r="F696" s="27">
        <v>5614.6693942517741</v>
      </c>
      <c r="G696" s="27">
        <v>7992.1463899631344</v>
      </c>
      <c r="H696" s="27">
        <v>10313.984706829477</v>
      </c>
      <c r="I696" s="27">
        <v>14868.589872932353</v>
      </c>
      <c r="J696" s="27">
        <v>22659.041737258114</v>
      </c>
      <c r="K696" s="27">
        <v>47455.94544051183</v>
      </c>
      <c r="L696" s="27">
        <v>116810.28573324713</v>
      </c>
      <c r="M696" s="27">
        <v>234279.8676453754</v>
      </c>
    </row>
    <row r="697" spans="1:13" x14ac:dyDescent="0.75">
      <c r="A697" s="40">
        <v>695</v>
      </c>
      <c r="B697" s="27">
        <v>645.02587082733226</v>
      </c>
      <c r="C697" s="27">
        <v>1345.8322226374585</v>
      </c>
      <c r="D697" s="27">
        <v>2186.422463127572</v>
      </c>
      <c r="E697" s="27">
        <v>3286.1669630989636</v>
      </c>
      <c r="F697" s="27">
        <v>5092.5454079646443</v>
      </c>
      <c r="G697" s="27">
        <v>7226.2251552233356</v>
      </c>
      <c r="H697" s="27">
        <v>10119.635787241044</v>
      </c>
      <c r="I697" s="27">
        <v>14692.493861158713</v>
      </c>
      <c r="J697" s="27">
        <v>22652.024968500395</v>
      </c>
      <c r="K697" s="27">
        <v>44984.845871345024</v>
      </c>
      <c r="L697" s="27">
        <v>116933.84184592922</v>
      </c>
      <c r="M697" s="27">
        <v>229165.0604170537</v>
      </c>
    </row>
    <row r="698" spans="1:13" x14ac:dyDescent="0.75">
      <c r="A698" s="40">
        <v>696</v>
      </c>
      <c r="B698" s="27">
        <v>759.2933432750433</v>
      </c>
      <c r="C698" s="27">
        <v>1398.6169942122069</v>
      </c>
      <c r="D698" s="27">
        <v>2352.5342265067738</v>
      </c>
      <c r="E698" s="27">
        <v>3412.4530641646561</v>
      </c>
      <c r="F698" s="27">
        <v>5435.274957388363</v>
      </c>
      <c r="G698" s="27">
        <v>8502.1277373985795</v>
      </c>
      <c r="H698" s="27">
        <v>10573.150586244825</v>
      </c>
      <c r="I698" s="27">
        <v>15410.113308777058</v>
      </c>
      <c r="J698" s="27">
        <v>23259.354863234155</v>
      </c>
      <c r="K698" s="27">
        <v>44718.23627877055</v>
      </c>
      <c r="L698" s="27">
        <v>113834.30333136089</v>
      </c>
      <c r="M698" s="27">
        <v>229655.4586913331</v>
      </c>
    </row>
    <row r="699" spans="1:13" x14ac:dyDescent="0.75">
      <c r="A699" s="40">
        <v>697</v>
      </c>
      <c r="B699" s="27">
        <v>784.56286565614573</v>
      </c>
      <c r="C699" s="27">
        <v>1424.6038570596575</v>
      </c>
      <c r="D699" s="27">
        <v>2476.1775792914414</v>
      </c>
      <c r="E699" s="27">
        <v>3582.7229321776831</v>
      </c>
      <c r="F699" s="27">
        <v>5204.6280913629162</v>
      </c>
      <c r="G699" s="27">
        <v>7915.8408365198993</v>
      </c>
      <c r="H699" s="27">
        <v>9860.3078888248856</v>
      </c>
      <c r="I699" s="27">
        <v>13988.753822126149</v>
      </c>
      <c r="J699" s="27">
        <v>23065.765452632419</v>
      </c>
      <c r="K699" s="27">
        <v>45684.124230231479</v>
      </c>
      <c r="L699" s="27">
        <v>111352.09058601844</v>
      </c>
      <c r="M699" s="27">
        <v>225339.57814190112</v>
      </c>
    </row>
    <row r="700" spans="1:13" x14ac:dyDescent="0.75">
      <c r="A700" s="40">
        <v>698</v>
      </c>
      <c r="B700" s="27">
        <v>917.38728663221991</v>
      </c>
      <c r="C700" s="27">
        <v>1569.0193559811887</v>
      </c>
      <c r="D700" s="27">
        <v>2456.8410446197668</v>
      </c>
      <c r="E700" s="27">
        <v>3844.0867994602013</v>
      </c>
      <c r="F700" s="27">
        <v>5501.8878227256646</v>
      </c>
      <c r="G700" s="27">
        <v>8012.2499115807004</v>
      </c>
      <c r="H700" s="27">
        <v>10301.437479698347</v>
      </c>
      <c r="I700" s="27">
        <v>15204.07538484894</v>
      </c>
      <c r="J700" s="27">
        <v>24453.208977080329</v>
      </c>
      <c r="K700" s="27">
        <v>47364.071229508409</v>
      </c>
      <c r="L700" s="27">
        <v>104387.88014310811</v>
      </c>
      <c r="M700" s="27">
        <v>224012.14543524387</v>
      </c>
    </row>
    <row r="701" spans="1:13" x14ac:dyDescent="0.75">
      <c r="A701" s="40">
        <v>699</v>
      </c>
      <c r="B701" s="27">
        <v>624.97455654355872</v>
      </c>
      <c r="C701" s="27">
        <v>1057.59563181884</v>
      </c>
      <c r="D701" s="27">
        <v>2072.1082391412638</v>
      </c>
      <c r="E701" s="27">
        <v>3266.6056338195631</v>
      </c>
      <c r="F701" s="27">
        <v>4908.8933925982856</v>
      </c>
      <c r="G701" s="27">
        <v>7517.6996174716623</v>
      </c>
      <c r="H701" s="27">
        <v>9508.0857875256625</v>
      </c>
      <c r="I701" s="27">
        <v>13348.072003586363</v>
      </c>
      <c r="J701" s="27">
        <v>21521.871002823289</v>
      </c>
      <c r="K701" s="27">
        <v>46618.001284393918</v>
      </c>
      <c r="L701" s="27">
        <v>114629.12845393291</v>
      </c>
      <c r="M701" s="27">
        <v>225073.03560365533</v>
      </c>
    </row>
    <row r="702" spans="1:13" x14ac:dyDescent="0.75">
      <c r="A702" s="40">
        <v>700</v>
      </c>
      <c r="B702" s="27">
        <v>1063.790492166183</v>
      </c>
      <c r="C702" s="27">
        <v>1525.6743485041516</v>
      </c>
      <c r="D702" s="27">
        <v>2500.9897377228626</v>
      </c>
      <c r="E702" s="27">
        <v>3611.0462589191447</v>
      </c>
      <c r="F702" s="27">
        <v>5799.5419998193538</v>
      </c>
      <c r="G702" s="27">
        <v>8339.1324100338097</v>
      </c>
      <c r="H702" s="27">
        <v>10882.45199724329</v>
      </c>
      <c r="I702" s="27">
        <v>14810.455604844174</v>
      </c>
      <c r="J702" s="27">
        <v>23888.615718873829</v>
      </c>
      <c r="K702" s="27">
        <v>47996.090839501237</v>
      </c>
      <c r="L702" s="27">
        <v>111082.53619036156</v>
      </c>
      <c r="M702" s="27">
        <v>231500.32559798961</v>
      </c>
    </row>
    <row r="703" spans="1:13" x14ac:dyDescent="0.75">
      <c r="A703" s="40">
        <v>701</v>
      </c>
      <c r="B703" s="27">
        <v>561.63791324912745</v>
      </c>
      <c r="C703" s="27">
        <v>1062.2750697440642</v>
      </c>
      <c r="D703" s="27">
        <v>2347.9790685070766</v>
      </c>
      <c r="E703" s="27">
        <v>3281.3525357313483</v>
      </c>
      <c r="F703" s="27">
        <v>5131.4823024094949</v>
      </c>
      <c r="G703" s="27">
        <v>7727.0173996313824</v>
      </c>
      <c r="H703" s="27">
        <v>10376.418717713837</v>
      </c>
      <c r="I703" s="27">
        <v>14872.84075632137</v>
      </c>
      <c r="J703" s="27">
        <v>23584.098587173605</v>
      </c>
      <c r="K703" s="27">
        <v>48024.493977806487</v>
      </c>
      <c r="L703" s="27">
        <v>110073.94742849749</v>
      </c>
      <c r="M703" s="27">
        <v>227043.54375678528</v>
      </c>
    </row>
    <row r="704" spans="1:13" x14ac:dyDescent="0.75">
      <c r="A704" s="40">
        <v>702</v>
      </c>
      <c r="B704" s="27">
        <v>1110.2166741834517</v>
      </c>
      <c r="C704" s="27">
        <v>1786.9829182766407</v>
      </c>
      <c r="D704" s="27">
        <v>2664.6872779455589</v>
      </c>
      <c r="E704" s="27">
        <v>3658.4368160215818</v>
      </c>
      <c r="F704" s="27">
        <v>5652.6654350930621</v>
      </c>
      <c r="G704" s="27">
        <v>7838.3825961727998</v>
      </c>
      <c r="H704" s="27">
        <v>10227.47591532224</v>
      </c>
      <c r="I704" s="27">
        <v>15281.610398087607</v>
      </c>
      <c r="J704" s="27">
        <v>23547.085969607011</v>
      </c>
      <c r="K704" s="27">
        <v>46954.682387857756</v>
      </c>
      <c r="L704" s="27">
        <v>109592.47875599534</v>
      </c>
      <c r="M704" s="27">
        <v>228314.70514456305</v>
      </c>
    </row>
    <row r="705" spans="1:13" x14ac:dyDescent="0.75">
      <c r="A705" s="40">
        <v>703</v>
      </c>
      <c r="B705" s="27">
        <v>547.07522320152202</v>
      </c>
      <c r="C705" s="27">
        <v>1089.5626214787335</v>
      </c>
      <c r="D705" s="27">
        <v>1963.4969597926101</v>
      </c>
      <c r="E705" s="27">
        <v>2984.5656233583577</v>
      </c>
      <c r="F705" s="27">
        <v>4517.6112166806997</v>
      </c>
      <c r="G705" s="27">
        <v>6941.4992075077898</v>
      </c>
      <c r="H705" s="27">
        <v>9287.6003566556028</v>
      </c>
      <c r="I705" s="27">
        <v>13134.072733460547</v>
      </c>
      <c r="J705" s="27">
        <v>22233.192988429757</v>
      </c>
      <c r="K705" s="27">
        <v>47020.800635572989</v>
      </c>
      <c r="L705" s="27">
        <v>111279.99875077349</v>
      </c>
      <c r="M705" s="27">
        <v>220999.4763169121</v>
      </c>
    </row>
    <row r="706" spans="1:13" x14ac:dyDescent="0.75">
      <c r="A706" s="40">
        <v>704</v>
      </c>
      <c r="B706" s="27">
        <v>283.73878613550914</v>
      </c>
      <c r="C706" s="27">
        <v>717.67483072528557</v>
      </c>
      <c r="D706" s="27">
        <v>1449.8297464481147</v>
      </c>
      <c r="E706" s="27">
        <v>2765.058710788071</v>
      </c>
      <c r="F706" s="27">
        <v>4468.7902674523066</v>
      </c>
      <c r="G706" s="27">
        <v>7129.3583774512517</v>
      </c>
      <c r="H706" s="27">
        <v>10368.133303455485</v>
      </c>
      <c r="I706" s="27">
        <v>14607.070623724474</v>
      </c>
      <c r="J706" s="27">
        <v>23485.974102919441</v>
      </c>
      <c r="K706" s="27">
        <v>48742.91695302169</v>
      </c>
      <c r="L706" s="27">
        <v>108372.71022539007</v>
      </c>
      <c r="M706" s="27">
        <v>222391.25592751169</v>
      </c>
    </row>
    <row r="707" spans="1:13" x14ac:dyDescent="0.75">
      <c r="A707" s="40">
        <v>705</v>
      </c>
      <c r="B707" s="27">
        <v>788.05203805498604</v>
      </c>
      <c r="C707" s="27">
        <v>1174.5335026684625</v>
      </c>
      <c r="D707" s="27">
        <v>2232.8263736151566</v>
      </c>
      <c r="E707" s="27">
        <v>3120.0685509216273</v>
      </c>
      <c r="F707" s="27">
        <v>4857.5591284489637</v>
      </c>
      <c r="G707" s="27">
        <v>7305.7176774468389</v>
      </c>
      <c r="H707" s="27">
        <v>9889.3368488517881</v>
      </c>
      <c r="I707" s="27">
        <v>13115.203564124138</v>
      </c>
      <c r="J707" s="27">
        <v>23259.359938399721</v>
      </c>
      <c r="K707" s="27">
        <v>46168.800484319247</v>
      </c>
      <c r="L707" s="27">
        <v>114274.55457799316</v>
      </c>
      <c r="M707" s="27">
        <v>226186.01268484409</v>
      </c>
    </row>
    <row r="708" spans="1:13" x14ac:dyDescent="0.75">
      <c r="A708" s="40">
        <v>706</v>
      </c>
      <c r="B708" s="27">
        <v>541.73385303156101</v>
      </c>
      <c r="C708" s="27">
        <v>939.54990057142277</v>
      </c>
      <c r="D708" s="27">
        <v>1939.1589235776191</v>
      </c>
      <c r="E708" s="27">
        <v>2849.9842115316133</v>
      </c>
      <c r="F708" s="27">
        <v>4592.6471047762898</v>
      </c>
      <c r="G708" s="27">
        <v>6946.9296613907209</v>
      </c>
      <c r="H708" s="27">
        <v>10029.429399498244</v>
      </c>
      <c r="I708" s="27">
        <v>13329.046471483976</v>
      </c>
      <c r="J708" s="27">
        <v>21002.137882985626</v>
      </c>
      <c r="K708" s="27">
        <v>44706.083076099807</v>
      </c>
      <c r="L708" s="27">
        <v>113358.22656103809</v>
      </c>
      <c r="M708" s="27">
        <v>220234.92704598495</v>
      </c>
    </row>
    <row r="709" spans="1:13" x14ac:dyDescent="0.75">
      <c r="A709" s="40">
        <v>707</v>
      </c>
      <c r="B709" s="27">
        <v>845.54285380161309</v>
      </c>
      <c r="C709" s="27">
        <v>1406.7147804079868</v>
      </c>
      <c r="D709" s="27">
        <v>2307.5975169748126</v>
      </c>
      <c r="E709" s="27">
        <v>3391.7403616114752</v>
      </c>
      <c r="F709" s="27">
        <v>5577.9300968328607</v>
      </c>
      <c r="G709" s="27">
        <v>7901.2216359257582</v>
      </c>
      <c r="H709" s="27">
        <v>10577.212132993329</v>
      </c>
      <c r="I709" s="27">
        <v>14308.860895519465</v>
      </c>
      <c r="J709" s="27">
        <v>22677.741517167538</v>
      </c>
      <c r="K709" s="27">
        <v>48375.346812618343</v>
      </c>
      <c r="L709" s="27">
        <v>118325.98812751462</v>
      </c>
      <c r="M709" s="27">
        <v>235695.8967313678</v>
      </c>
    </row>
    <row r="710" spans="1:13" x14ac:dyDescent="0.75">
      <c r="A710" s="40">
        <v>708</v>
      </c>
      <c r="B710" s="27">
        <v>885.39926316071069</v>
      </c>
      <c r="C710" s="27">
        <v>1428.1424733459135</v>
      </c>
      <c r="D710" s="27">
        <v>2559.9392989028856</v>
      </c>
      <c r="E710" s="27">
        <v>3543.1137090455159</v>
      </c>
      <c r="F710" s="27">
        <v>5187.1562539276638</v>
      </c>
      <c r="G710" s="27">
        <v>8059.7716084120329</v>
      </c>
      <c r="H710" s="27">
        <v>10034.149363421107</v>
      </c>
      <c r="I710" s="27">
        <v>14480.3693742256</v>
      </c>
      <c r="J710" s="27">
        <v>22970.632821963765</v>
      </c>
      <c r="K710" s="27">
        <v>46882.057964053325</v>
      </c>
      <c r="L710" s="27">
        <v>110889.12775579406</v>
      </c>
      <c r="M710" s="27">
        <v>226919.85988625258</v>
      </c>
    </row>
    <row r="711" spans="1:13" x14ac:dyDescent="0.75">
      <c r="A711" s="40">
        <v>709</v>
      </c>
      <c r="B711" s="27">
        <v>1148.1577021467238</v>
      </c>
      <c r="C711" s="27">
        <v>1607.5577289199136</v>
      </c>
      <c r="D711" s="27">
        <v>2402.5059231356136</v>
      </c>
      <c r="E711" s="27">
        <v>3190.5859248675406</v>
      </c>
      <c r="F711" s="27">
        <v>4958.2582212607085</v>
      </c>
      <c r="G711" s="27">
        <v>7218.7523309973185</v>
      </c>
      <c r="H711" s="27">
        <v>9240.1626966657786</v>
      </c>
      <c r="I711" s="27">
        <v>13489.171618744935</v>
      </c>
      <c r="J711" s="27">
        <v>22736.576064450448</v>
      </c>
      <c r="K711" s="27">
        <v>43954.105484425338</v>
      </c>
      <c r="L711" s="27">
        <v>117022.76713027863</v>
      </c>
      <c r="M711" s="27">
        <v>226968.60082589294</v>
      </c>
    </row>
    <row r="712" spans="1:13" x14ac:dyDescent="0.75">
      <c r="A712" s="40">
        <v>710</v>
      </c>
      <c r="B712" s="27">
        <v>1247.0512350471981</v>
      </c>
      <c r="C712" s="27">
        <v>1753.9980227143387</v>
      </c>
      <c r="D712" s="27">
        <v>2778.5864437252603</v>
      </c>
      <c r="E712" s="27">
        <v>4176.7640608053189</v>
      </c>
      <c r="F712" s="27">
        <v>6354.8756706104614</v>
      </c>
      <c r="G712" s="27">
        <v>8638.2398989745416</v>
      </c>
      <c r="H712" s="27">
        <v>11833.135539323819</v>
      </c>
      <c r="I712" s="27">
        <v>15261.842385023003</v>
      </c>
      <c r="J712" s="27">
        <v>24796.184874156999</v>
      </c>
      <c r="K712" s="27">
        <v>47085.201669838701</v>
      </c>
      <c r="L712" s="27">
        <v>118778.26545554197</v>
      </c>
      <c r="M712" s="27">
        <v>242704.14525576163</v>
      </c>
    </row>
    <row r="713" spans="1:13" x14ac:dyDescent="0.75">
      <c r="A713" s="40">
        <v>711</v>
      </c>
      <c r="B713" s="27">
        <v>879.06347550584178</v>
      </c>
      <c r="C713" s="27">
        <v>1249.9052454737975</v>
      </c>
      <c r="D713" s="27">
        <v>2424.1943262342102</v>
      </c>
      <c r="E713" s="27">
        <v>3336.55198479518</v>
      </c>
      <c r="F713" s="27">
        <v>5090.0340172042925</v>
      </c>
      <c r="G713" s="27">
        <v>7524.8704728042649</v>
      </c>
      <c r="H713" s="27">
        <v>10814.243555711219</v>
      </c>
      <c r="I713" s="27">
        <v>14198.082923854876</v>
      </c>
      <c r="J713" s="27">
        <v>22579.349921599802</v>
      </c>
      <c r="K713" s="27">
        <v>48220.017288529969</v>
      </c>
      <c r="L713" s="27">
        <v>110019.08780763662</v>
      </c>
      <c r="M713" s="27">
        <v>226335.40101935007</v>
      </c>
    </row>
    <row r="714" spans="1:13" x14ac:dyDescent="0.75">
      <c r="A714" s="40">
        <v>712</v>
      </c>
      <c r="B714" s="27">
        <v>1120.2882958064729</v>
      </c>
      <c r="C714" s="27">
        <v>1532.3750658381905</v>
      </c>
      <c r="D714" s="27">
        <v>2535.3300084661169</v>
      </c>
      <c r="E714" s="27">
        <v>3985.2212545701768</v>
      </c>
      <c r="F714" s="27">
        <v>5818.7224190223496</v>
      </c>
      <c r="G714" s="27">
        <v>8212.7017579070525</v>
      </c>
      <c r="H714" s="27">
        <v>11002.524331255438</v>
      </c>
      <c r="I714" s="27">
        <v>15326.328052225406</v>
      </c>
      <c r="J714" s="27">
        <v>25065.86078998138</v>
      </c>
      <c r="K714" s="27">
        <v>47661.384723055991</v>
      </c>
      <c r="L714" s="27">
        <v>114251.70853752882</v>
      </c>
      <c r="M714" s="27">
        <v>236512.44523565739</v>
      </c>
    </row>
    <row r="715" spans="1:13" x14ac:dyDescent="0.75">
      <c r="A715" s="40">
        <v>713</v>
      </c>
      <c r="B715" s="27">
        <v>713.03712266706862</v>
      </c>
      <c r="C715" s="27">
        <v>1462.5557935909601</v>
      </c>
      <c r="D715" s="27">
        <v>2416.1660755502235</v>
      </c>
      <c r="E715" s="27">
        <v>3480.2578445321124</v>
      </c>
      <c r="F715" s="27">
        <v>5317.8843092030438</v>
      </c>
      <c r="G715" s="27">
        <v>7347.5011479954992</v>
      </c>
      <c r="H715" s="27">
        <v>10546.689462263894</v>
      </c>
      <c r="I715" s="27">
        <v>13971.261092666464</v>
      </c>
      <c r="J715" s="27">
        <v>24717.554427590076</v>
      </c>
      <c r="K715" s="27">
        <v>49929.520275825722</v>
      </c>
      <c r="L715" s="27">
        <v>115284.7058043202</v>
      </c>
      <c r="M715" s="27">
        <v>235187.13335620525</v>
      </c>
    </row>
    <row r="716" spans="1:13" x14ac:dyDescent="0.75">
      <c r="A716" s="40">
        <v>714</v>
      </c>
      <c r="B716" s="27">
        <v>914.51145665318472</v>
      </c>
      <c r="C716" s="27">
        <v>1492.2309213760454</v>
      </c>
      <c r="D716" s="27">
        <v>2128.6484964235278</v>
      </c>
      <c r="E716" s="27">
        <v>3308.5522848771361</v>
      </c>
      <c r="F716" s="27">
        <v>4932.3062669720675</v>
      </c>
      <c r="G716" s="27">
        <v>7075.2673670474032</v>
      </c>
      <c r="H716" s="27">
        <v>10469.979315682023</v>
      </c>
      <c r="I716" s="27">
        <v>14476.035050840117</v>
      </c>
      <c r="J716" s="27">
        <v>25052.003587888903</v>
      </c>
      <c r="K716" s="27">
        <v>48337.498383659913</v>
      </c>
      <c r="L716" s="27">
        <v>115396.09349157606</v>
      </c>
      <c r="M716" s="27">
        <v>233583.12662299638</v>
      </c>
    </row>
    <row r="717" spans="1:13" x14ac:dyDescent="0.75">
      <c r="A717" s="40">
        <v>715</v>
      </c>
      <c r="B717" s="27">
        <v>823.0937393012282</v>
      </c>
      <c r="C717" s="27">
        <v>1373.93236212997</v>
      </c>
      <c r="D717" s="27">
        <v>2532.122233081318</v>
      </c>
      <c r="E717" s="27">
        <v>3368.1218459756492</v>
      </c>
      <c r="F717" s="27">
        <v>5065.0721733964456</v>
      </c>
      <c r="G717" s="27">
        <v>7052.781448970316</v>
      </c>
      <c r="H717" s="27">
        <v>9805.8706383890094</v>
      </c>
      <c r="I717" s="27">
        <v>14279.391050572129</v>
      </c>
      <c r="J717" s="27">
        <v>23422.614222766875</v>
      </c>
      <c r="K717" s="27">
        <v>46462.347018962901</v>
      </c>
      <c r="L717" s="27">
        <v>123029.55532906519</v>
      </c>
      <c r="M717" s="27">
        <v>237214.90206261101</v>
      </c>
    </row>
    <row r="718" spans="1:13" x14ac:dyDescent="0.75">
      <c r="A718" s="40">
        <v>716</v>
      </c>
      <c r="B718" s="27">
        <v>635.34082855632005</v>
      </c>
      <c r="C718" s="27">
        <v>1208.8426025431254</v>
      </c>
      <c r="D718" s="27">
        <v>2093.0361220298655</v>
      </c>
      <c r="E718" s="27">
        <v>3124.4681704549876</v>
      </c>
      <c r="F718" s="27">
        <v>4964.7772080670111</v>
      </c>
      <c r="G718" s="27">
        <v>7217.4455516108428</v>
      </c>
      <c r="H718" s="27">
        <v>9447.2378367157071</v>
      </c>
      <c r="I718" s="27">
        <v>14046.37267961094</v>
      </c>
      <c r="J718" s="27">
        <v>22870.992994437373</v>
      </c>
      <c r="K718" s="27">
        <v>44417.410460864863</v>
      </c>
      <c r="L718" s="27">
        <v>108181.32885459444</v>
      </c>
      <c r="M718" s="27">
        <v>218207.25330948547</v>
      </c>
    </row>
    <row r="719" spans="1:13" x14ac:dyDescent="0.75">
      <c r="A719" s="40">
        <v>717</v>
      </c>
      <c r="B719" s="27">
        <v>626.60833094248665</v>
      </c>
      <c r="C719" s="27">
        <v>1412.9056439710548</v>
      </c>
      <c r="D719" s="27">
        <v>2401.9697573528829</v>
      </c>
      <c r="E719" s="27">
        <v>4016.6388782697322</v>
      </c>
      <c r="F719" s="27">
        <v>5702.3531549134495</v>
      </c>
      <c r="G719" s="27">
        <v>7654.1836822612386</v>
      </c>
      <c r="H719" s="27">
        <v>10654.622313074855</v>
      </c>
      <c r="I719" s="27">
        <v>15619.513194891944</v>
      </c>
      <c r="J719" s="27">
        <v>24686.001345539888</v>
      </c>
      <c r="K719" s="27">
        <v>45993.645438028529</v>
      </c>
      <c r="L719" s="27">
        <v>117458.11215017702</v>
      </c>
      <c r="M719" s="27">
        <v>236226.55388942308</v>
      </c>
    </row>
    <row r="720" spans="1:13" x14ac:dyDescent="0.75">
      <c r="A720" s="40">
        <v>718</v>
      </c>
      <c r="B720" s="27">
        <v>980.86708247805655</v>
      </c>
      <c r="C720" s="27">
        <v>1433.9229088666907</v>
      </c>
      <c r="D720" s="27">
        <v>2305.6197405797138</v>
      </c>
      <c r="E720" s="27">
        <v>3184.6819904962904</v>
      </c>
      <c r="F720" s="27">
        <v>4530.024536461322</v>
      </c>
      <c r="G720" s="27">
        <v>7046.0126883525809</v>
      </c>
      <c r="H720" s="27">
        <v>9405.4213961966889</v>
      </c>
      <c r="I720" s="27">
        <v>13551.661650982132</v>
      </c>
      <c r="J720" s="27">
        <v>22015.718418164062</v>
      </c>
      <c r="K720" s="27">
        <v>45990.432834096995</v>
      </c>
      <c r="L720" s="27">
        <v>107860.03777515574</v>
      </c>
      <c r="M720" s="27">
        <v>218304.40102183027</v>
      </c>
    </row>
    <row r="721" spans="1:13" x14ac:dyDescent="0.75">
      <c r="A721" s="40">
        <v>719</v>
      </c>
      <c r="B721" s="27">
        <v>1075.6226046758966</v>
      </c>
      <c r="C721" s="27">
        <v>1580.875566210103</v>
      </c>
      <c r="D721" s="27">
        <v>2704.2483046678972</v>
      </c>
      <c r="E721" s="27">
        <v>3899.9014624452539</v>
      </c>
      <c r="F721" s="27">
        <v>5791.565449683927</v>
      </c>
      <c r="G721" s="27">
        <v>8457.2290272972314</v>
      </c>
      <c r="H721" s="27">
        <v>10546.524973563195</v>
      </c>
      <c r="I721" s="27">
        <v>15245.432228512262</v>
      </c>
      <c r="J721" s="27">
        <v>22725.302639923029</v>
      </c>
      <c r="K721" s="27">
        <v>46367.111916103066</v>
      </c>
      <c r="L721" s="27">
        <v>105510.34969301982</v>
      </c>
      <c r="M721" s="27">
        <v>223904.16386610168</v>
      </c>
    </row>
    <row r="722" spans="1:13" x14ac:dyDescent="0.75">
      <c r="A722" s="40">
        <v>720</v>
      </c>
      <c r="B722" s="27">
        <v>439.9259353485686</v>
      </c>
      <c r="C722" s="27">
        <v>1018.9485046338523</v>
      </c>
      <c r="D722" s="27">
        <v>1724.4773055979167</v>
      </c>
      <c r="E722" s="27">
        <v>2808.2635553464061</v>
      </c>
      <c r="F722" s="27">
        <v>4935.6429849730339</v>
      </c>
      <c r="G722" s="27">
        <v>7186.8999750986695</v>
      </c>
      <c r="H722" s="27">
        <v>9960.2356010208314</v>
      </c>
      <c r="I722" s="27">
        <v>13659.682779237599</v>
      </c>
      <c r="J722" s="27">
        <v>22785.221706792217</v>
      </c>
      <c r="K722" s="27">
        <v>46596.858493096181</v>
      </c>
      <c r="L722" s="27">
        <v>105663.66771061826</v>
      </c>
      <c r="M722" s="27">
        <v>216779.82455176354</v>
      </c>
    </row>
    <row r="723" spans="1:13" x14ac:dyDescent="0.75">
      <c r="A723" s="40">
        <v>721</v>
      </c>
      <c r="B723" s="27">
        <v>799.02406793046976</v>
      </c>
      <c r="C723" s="27">
        <v>1067.6953460126097</v>
      </c>
      <c r="D723" s="27">
        <v>2065.9348447149823</v>
      </c>
      <c r="E723" s="27">
        <v>3211.3958530701493</v>
      </c>
      <c r="F723" s="27">
        <v>5258.4216717787203</v>
      </c>
      <c r="G723" s="27">
        <v>7278.9722471958958</v>
      </c>
      <c r="H723" s="27">
        <v>10120.158518546159</v>
      </c>
      <c r="I723" s="27">
        <v>14834.510545327488</v>
      </c>
      <c r="J723" s="27">
        <v>23387.97942027243</v>
      </c>
      <c r="K723" s="27">
        <v>47703.269054461751</v>
      </c>
      <c r="L723" s="27">
        <v>119552.72208698171</v>
      </c>
      <c r="M723" s="27">
        <v>235280.08365629235</v>
      </c>
    </row>
    <row r="724" spans="1:13" x14ac:dyDescent="0.75">
      <c r="A724" s="40">
        <v>722</v>
      </c>
      <c r="B724" s="27">
        <v>724.17464356686105</v>
      </c>
      <c r="C724" s="27">
        <v>1297.7289435856219</v>
      </c>
      <c r="D724" s="27">
        <v>2100.9746713601198</v>
      </c>
      <c r="E724" s="27">
        <v>2998.0925681752415</v>
      </c>
      <c r="F724" s="27">
        <v>4867.1762266851438</v>
      </c>
      <c r="G724" s="27">
        <v>7240.8988025887229</v>
      </c>
      <c r="H724" s="27">
        <v>9537.8522802207444</v>
      </c>
      <c r="I724" s="27">
        <v>14152.475562946405</v>
      </c>
      <c r="J724" s="27">
        <v>21628.568868928225</v>
      </c>
      <c r="K724" s="27">
        <v>45582.330292577972</v>
      </c>
      <c r="L724" s="27">
        <v>108947.08306964721</v>
      </c>
      <c r="M724" s="27">
        <v>219077.35593028227</v>
      </c>
    </row>
    <row r="725" spans="1:13" x14ac:dyDescent="0.75">
      <c r="A725" s="40">
        <v>723</v>
      </c>
      <c r="B725" s="27">
        <v>947.04822832815989</v>
      </c>
      <c r="C725" s="27">
        <v>1596.232604814868</v>
      </c>
      <c r="D725" s="27">
        <v>2394.1097080986656</v>
      </c>
      <c r="E725" s="27">
        <v>3766.1560984363896</v>
      </c>
      <c r="F725" s="27">
        <v>5414.1009365109931</v>
      </c>
      <c r="G725" s="27">
        <v>8358.8089595838101</v>
      </c>
      <c r="H725" s="27">
        <v>10419.303571468146</v>
      </c>
      <c r="I725" s="27">
        <v>15652.388124747522</v>
      </c>
      <c r="J725" s="27">
        <v>24088.931243677333</v>
      </c>
      <c r="K725" s="27">
        <v>46732.640504376526</v>
      </c>
      <c r="L725" s="27">
        <v>106926.77413063825</v>
      </c>
      <c r="M725" s="27">
        <v>226296.49411068065</v>
      </c>
    </row>
    <row r="726" spans="1:13" x14ac:dyDescent="0.75">
      <c r="A726" s="40">
        <v>724</v>
      </c>
      <c r="B726" s="27">
        <v>798.94557990814792</v>
      </c>
      <c r="C726" s="27">
        <v>1250.3340775059187</v>
      </c>
      <c r="D726" s="27">
        <v>2091.6379358023405</v>
      </c>
      <c r="E726" s="27">
        <v>3563.4294028602599</v>
      </c>
      <c r="F726" s="27">
        <v>5436.3011710402498</v>
      </c>
      <c r="G726" s="27">
        <v>7775.8770855059265</v>
      </c>
      <c r="H726" s="27">
        <v>10508.841046073794</v>
      </c>
      <c r="I726" s="27">
        <v>14026.326158843061</v>
      </c>
      <c r="J726" s="27">
        <v>23578.048736512195</v>
      </c>
      <c r="K726" s="27">
        <v>49225.13891387108</v>
      </c>
      <c r="L726" s="27">
        <v>116994.28516814424</v>
      </c>
      <c r="M726" s="27">
        <v>235249.16527606722</v>
      </c>
    </row>
    <row r="727" spans="1:13" x14ac:dyDescent="0.75">
      <c r="A727" s="40">
        <v>725</v>
      </c>
      <c r="B727" s="27">
        <v>637.81349689642957</v>
      </c>
      <c r="C727" s="27">
        <v>1013.6251306594786</v>
      </c>
      <c r="D727" s="27">
        <v>1636.8440714998433</v>
      </c>
      <c r="E727" s="27">
        <v>2756.1608982916077</v>
      </c>
      <c r="F727" s="27">
        <v>4868.4204757378611</v>
      </c>
      <c r="G727" s="27">
        <v>6952.102985715348</v>
      </c>
      <c r="H727" s="27">
        <v>10064.331702992233</v>
      </c>
      <c r="I727" s="27">
        <v>14827.233820550318</v>
      </c>
      <c r="J727" s="27">
        <v>22658.427485785083</v>
      </c>
      <c r="K727" s="27">
        <v>45477.504278619541</v>
      </c>
      <c r="L727" s="27">
        <v>118965.16287639612</v>
      </c>
      <c r="M727" s="27">
        <v>229857.62722314388</v>
      </c>
    </row>
    <row r="728" spans="1:13" x14ac:dyDescent="0.75">
      <c r="A728" s="40">
        <v>726</v>
      </c>
      <c r="B728" s="27">
        <v>790.11254824754724</v>
      </c>
      <c r="C728" s="27">
        <v>1229.3400843579147</v>
      </c>
      <c r="D728" s="27">
        <v>2019.666101606228</v>
      </c>
      <c r="E728" s="27">
        <v>3026.2447621867323</v>
      </c>
      <c r="F728" s="27">
        <v>4799.9291387680569</v>
      </c>
      <c r="G728" s="27">
        <v>6748.8442326459626</v>
      </c>
      <c r="H728" s="27">
        <v>9158.1077151239006</v>
      </c>
      <c r="I728" s="27">
        <v>12898.918177353247</v>
      </c>
      <c r="J728" s="27">
        <v>23313.835613167379</v>
      </c>
      <c r="K728" s="27">
        <v>49095.487504955876</v>
      </c>
      <c r="L728" s="27">
        <v>110890.66595152783</v>
      </c>
      <c r="M728" s="27">
        <v>223971.15182994067</v>
      </c>
    </row>
    <row r="729" spans="1:13" x14ac:dyDescent="0.75">
      <c r="A729" s="40">
        <v>727</v>
      </c>
      <c r="B729" s="27">
        <v>299.28687378294126</v>
      </c>
      <c r="C729" s="27">
        <v>743.01396707748063</v>
      </c>
      <c r="D729" s="27">
        <v>1289.2834297975642</v>
      </c>
      <c r="E729" s="27">
        <v>2414.7103243952442</v>
      </c>
      <c r="F729" s="27">
        <v>4072.4775480595417</v>
      </c>
      <c r="G729" s="27">
        <v>6536.6805594039615</v>
      </c>
      <c r="H729" s="27">
        <v>9079.7396835213876</v>
      </c>
      <c r="I729" s="27">
        <v>13656.886999739305</v>
      </c>
      <c r="J729" s="27">
        <v>22417.237588338234</v>
      </c>
      <c r="K729" s="27">
        <v>45289.592860062461</v>
      </c>
      <c r="L729" s="27">
        <v>104760.282066347</v>
      </c>
      <c r="M729" s="27">
        <v>210559.19190052513</v>
      </c>
    </row>
    <row r="730" spans="1:13" x14ac:dyDescent="0.75">
      <c r="A730" s="40">
        <v>728</v>
      </c>
      <c r="B730" s="27">
        <v>646.6809688341018</v>
      </c>
      <c r="C730" s="27">
        <v>1078.0755407934048</v>
      </c>
      <c r="D730" s="27">
        <v>1956.1911737808696</v>
      </c>
      <c r="E730" s="27">
        <v>3241.1849583579315</v>
      </c>
      <c r="F730" s="27">
        <v>4727.8544138591969</v>
      </c>
      <c r="G730" s="27">
        <v>7023.0781448565831</v>
      </c>
      <c r="H730" s="27">
        <v>10396.45584996781</v>
      </c>
      <c r="I730" s="27">
        <v>13434.473220108674</v>
      </c>
      <c r="J730" s="27">
        <v>22806.01674683459</v>
      </c>
      <c r="K730" s="27">
        <v>46570.637758954341</v>
      </c>
      <c r="L730" s="27">
        <v>103748.84153595398</v>
      </c>
      <c r="M730" s="27">
        <v>215629.4903123015</v>
      </c>
    </row>
    <row r="731" spans="1:13" x14ac:dyDescent="0.75">
      <c r="A731" s="40">
        <v>729</v>
      </c>
      <c r="B731" s="27">
        <v>856.47779265277495</v>
      </c>
      <c r="C731" s="27">
        <v>1312.8065424624219</v>
      </c>
      <c r="D731" s="27">
        <v>2477.3761047284934</v>
      </c>
      <c r="E731" s="27">
        <v>3803.9790647127811</v>
      </c>
      <c r="F731" s="27">
        <v>6090.0281187542132</v>
      </c>
      <c r="G731" s="27">
        <v>8395.1575364549353</v>
      </c>
      <c r="H731" s="27">
        <v>11380.133963587898</v>
      </c>
      <c r="I731" s="27">
        <v>15212.908374940205</v>
      </c>
      <c r="J731" s="27">
        <v>23345.443674776296</v>
      </c>
      <c r="K731" s="27">
        <v>45597.090991110774</v>
      </c>
      <c r="L731" s="27">
        <v>111309.3915342096</v>
      </c>
      <c r="M731" s="27">
        <v>229780.79369839039</v>
      </c>
    </row>
    <row r="732" spans="1:13" x14ac:dyDescent="0.75">
      <c r="A732" s="40">
        <v>730</v>
      </c>
      <c r="B732" s="27">
        <v>1227.5667607716459</v>
      </c>
      <c r="C732" s="27">
        <v>1683.5628187851544</v>
      </c>
      <c r="D732" s="27">
        <v>2748.6647603496967</v>
      </c>
      <c r="E732" s="27">
        <v>3739.7471634017129</v>
      </c>
      <c r="F732" s="27">
        <v>5986.7778420879622</v>
      </c>
      <c r="G732" s="27">
        <v>8271.6826691264578</v>
      </c>
      <c r="H732" s="27">
        <v>10653.313159349127</v>
      </c>
      <c r="I732" s="27">
        <v>14754.874163086919</v>
      </c>
      <c r="J732" s="27">
        <v>23731.675079187233</v>
      </c>
      <c r="K732" s="27">
        <v>46747.399636901551</v>
      </c>
      <c r="L732" s="27">
        <v>113456.76797950285</v>
      </c>
      <c r="M732" s="27">
        <v>233002.03203255031</v>
      </c>
    </row>
    <row r="733" spans="1:13" x14ac:dyDescent="0.75">
      <c r="A733" s="40">
        <v>731</v>
      </c>
      <c r="B733" s="27">
        <v>1138.0869627550128</v>
      </c>
      <c r="C733" s="27">
        <v>1635.8151741874317</v>
      </c>
      <c r="D733" s="27">
        <v>2474.2011236187536</v>
      </c>
      <c r="E733" s="27">
        <v>3479.2034280443331</v>
      </c>
      <c r="F733" s="27">
        <v>5473.4442340662354</v>
      </c>
      <c r="G733" s="27">
        <v>8124.2229648372158</v>
      </c>
      <c r="H733" s="27">
        <v>10209.69642559471</v>
      </c>
      <c r="I733" s="27">
        <v>15244.355663945433</v>
      </c>
      <c r="J733" s="27">
        <v>23235.624391979887</v>
      </c>
      <c r="K733" s="27">
        <v>47952.33332722928</v>
      </c>
      <c r="L733" s="27">
        <v>113035.62904088834</v>
      </c>
      <c r="M733" s="27">
        <v>232002.61273714661</v>
      </c>
    </row>
    <row r="734" spans="1:13" x14ac:dyDescent="0.75">
      <c r="A734" s="40">
        <v>732</v>
      </c>
      <c r="B734" s="27">
        <v>960.65108661090198</v>
      </c>
      <c r="C734" s="27">
        <v>1341.313723399333</v>
      </c>
      <c r="D734" s="27">
        <v>2351.8434532107931</v>
      </c>
      <c r="E734" s="27">
        <v>3625.3904785324412</v>
      </c>
      <c r="F734" s="27">
        <v>5671.090466175141</v>
      </c>
      <c r="G734" s="27">
        <v>8158.0493163566862</v>
      </c>
      <c r="H734" s="27">
        <v>10290.700688522978</v>
      </c>
      <c r="I734" s="27">
        <v>13754.955871097351</v>
      </c>
      <c r="J734" s="27">
        <v>22899.555563725211</v>
      </c>
      <c r="K734" s="27">
        <v>46562.420825146022</v>
      </c>
      <c r="L734" s="27">
        <v>108260.48421146572</v>
      </c>
      <c r="M734" s="27">
        <v>223876.4556842426</v>
      </c>
    </row>
    <row r="735" spans="1:13" x14ac:dyDescent="0.75">
      <c r="A735" s="40">
        <v>733</v>
      </c>
      <c r="B735" s="27">
        <v>1069.3204114898836</v>
      </c>
      <c r="C735" s="27">
        <v>1481.4634743194474</v>
      </c>
      <c r="D735" s="27">
        <v>2235.3373132018169</v>
      </c>
      <c r="E735" s="27">
        <v>3485.8178817627922</v>
      </c>
      <c r="F735" s="27">
        <v>5448.0457785929757</v>
      </c>
      <c r="G735" s="27">
        <v>8438.6841861754365</v>
      </c>
      <c r="H735" s="27">
        <v>10498.961120854103</v>
      </c>
      <c r="I735" s="27">
        <v>14093.304128217424</v>
      </c>
      <c r="J735" s="27">
        <v>22607.909729963314</v>
      </c>
      <c r="K735" s="27">
        <v>45412.295433476917</v>
      </c>
      <c r="L735" s="27">
        <v>111440.61442615863</v>
      </c>
      <c r="M735" s="27">
        <v>226211.75388421275</v>
      </c>
    </row>
    <row r="736" spans="1:13" x14ac:dyDescent="0.75">
      <c r="A736" s="40">
        <v>734</v>
      </c>
      <c r="B736" s="27">
        <v>738.6199240219139</v>
      </c>
      <c r="C736" s="27">
        <v>1336.2809514729743</v>
      </c>
      <c r="D736" s="27">
        <v>2079.6214555801271</v>
      </c>
      <c r="E736" s="27">
        <v>3222.6729710649088</v>
      </c>
      <c r="F736" s="27">
        <v>5279.9006566066528</v>
      </c>
      <c r="G736" s="27">
        <v>7616.6971420535701</v>
      </c>
      <c r="H736" s="27">
        <v>10794.431938414054</v>
      </c>
      <c r="I736" s="27">
        <v>14671.423991795906</v>
      </c>
      <c r="J736" s="27">
        <v>23832.311119043137</v>
      </c>
      <c r="K736" s="27">
        <v>50492.619420580508</v>
      </c>
      <c r="L736" s="27">
        <v>110427.98833460148</v>
      </c>
      <c r="M736" s="27">
        <v>230492.56790523522</v>
      </c>
    </row>
    <row r="737" spans="1:13" x14ac:dyDescent="0.75">
      <c r="A737" s="40">
        <v>735</v>
      </c>
      <c r="B737" s="27">
        <v>633.27153871905466</v>
      </c>
      <c r="C737" s="27">
        <v>966.69449709390756</v>
      </c>
      <c r="D737" s="27">
        <v>1802.7469491285592</v>
      </c>
      <c r="E737" s="27">
        <v>2944.5411651610339</v>
      </c>
      <c r="F737" s="27">
        <v>4977.1511923494982</v>
      </c>
      <c r="G737" s="27">
        <v>7041.5769870972726</v>
      </c>
      <c r="H737" s="27">
        <v>9305.6599137198937</v>
      </c>
      <c r="I737" s="27">
        <v>13036.967694214749</v>
      </c>
      <c r="J737" s="27">
        <v>22120.873761594557</v>
      </c>
      <c r="K737" s="27">
        <v>44234.199450307933</v>
      </c>
      <c r="L737" s="27">
        <v>108843.24390052987</v>
      </c>
      <c r="M737" s="27">
        <v>215906.92704991632</v>
      </c>
    </row>
    <row r="738" spans="1:13" x14ac:dyDescent="0.75">
      <c r="A738" s="40">
        <v>736</v>
      </c>
      <c r="B738" s="27">
        <v>751.70545573972049</v>
      </c>
      <c r="C738" s="27">
        <v>1402.3501646423101</v>
      </c>
      <c r="D738" s="27">
        <v>2102.903622658283</v>
      </c>
      <c r="E738" s="27">
        <v>3423.8786585944763</v>
      </c>
      <c r="F738" s="27">
        <v>5684.9767954020645</v>
      </c>
      <c r="G738" s="27">
        <v>7828.1288054140459</v>
      </c>
      <c r="H738" s="27">
        <v>11044.766961644054</v>
      </c>
      <c r="I738" s="27">
        <v>14413.503233646974</v>
      </c>
      <c r="J738" s="27">
        <v>23774.121381589153</v>
      </c>
      <c r="K738" s="27">
        <v>44680.596717310953</v>
      </c>
      <c r="L738" s="27">
        <v>114945.49570647115</v>
      </c>
      <c r="M738" s="27">
        <v>230052.42750311317</v>
      </c>
    </row>
    <row r="739" spans="1:13" x14ac:dyDescent="0.75">
      <c r="A739" s="40">
        <v>737</v>
      </c>
      <c r="B739" s="27">
        <v>959.30749646517506</v>
      </c>
      <c r="C739" s="27">
        <v>1272.3743236541632</v>
      </c>
      <c r="D739" s="27">
        <v>2359.991783038553</v>
      </c>
      <c r="E739" s="27">
        <v>3534.8581039236014</v>
      </c>
      <c r="F739" s="27">
        <v>5694.3884422079282</v>
      </c>
      <c r="G739" s="27">
        <v>8038.165551653452</v>
      </c>
      <c r="H739" s="27">
        <v>10415.487862966125</v>
      </c>
      <c r="I739" s="27">
        <v>15281.213430045129</v>
      </c>
      <c r="J739" s="27">
        <v>23973.120883566648</v>
      </c>
      <c r="K739" s="27">
        <v>48386.329272757794</v>
      </c>
      <c r="L739" s="27">
        <v>115045.02952373924</v>
      </c>
      <c r="M739" s="27">
        <v>234960.26667401782</v>
      </c>
    </row>
    <row r="740" spans="1:13" x14ac:dyDescent="0.75">
      <c r="A740" s="40">
        <v>738</v>
      </c>
      <c r="B740" s="27">
        <v>822.60635243610886</v>
      </c>
      <c r="C740" s="27">
        <v>1227.2047296350793</v>
      </c>
      <c r="D740" s="27">
        <v>2011.7290094786295</v>
      </c>
      <c r="E740" s="27">
        <v>3508.8169056991464</v>
      </c>
      <c r="F740" s="27">
        <v>5505.4336865641526</v>
      </c>
      <c r="G740" s="27">
        <v>7865.6120130777999</v>
      </c>
      <c r="H740" s="27">
        <v>10712.831456587432</v>
      </c>
      <c r="I740" s="27">
        <v>15110.230819957404</v>
      </c>
      <c r="J740" s="27">
        <v>23392.172993055923</v>
      </c>
      <c r="K740" s="27">
        <v>44607.574022608256</v>
      </c>
      <c r="L740" s="27">
        <v>107606.99574296873</v>
      </c>
      <c r="M740" s="27">
        <v>222371.20773206867</v>
      </c>
    </row>
    <row r="741" spans="1:13" x14ac:dyDescent="0.75">
      <c r="A741" s="40">
        <v>739</v>
      </c>
      <c r="B741" s="27">
        <v>356.23031354926934</v>
      </c>
      <c r="C741" s="27">
        <v>692.63504851450853</v>
      </c>
      <c r="D741" s="27">
        <v>1398.3351955561957</v>
      </c>
      <c r="E741" s="27">
        <v>2471.8237423022365</v>
      </c>
      <c r="F741" s="27">
        <v>4538.502182086173</v>
      </c>
      <c r="G741" s="27">
        <v>6525.82916454316</v>
      </c>
      <c r="H741" s="27">
        <v>9913.4555507130863</v>
      </c>
      <c r="I741" s="27">
        <v>13238.156285766774</v>
      </c>
      <c r="J741" s="27">
        <v>22579.925733148237</v>
      </c>
      <c r="K741" s="27">
        <v>44442.330140774429</v>
      </c>
      <c r="L741" s="27">
        <v>114664.11276518008</v>
      </c>
      <c r="M741" s="27">
        <v>220821.33612213415</v>
      </c>
    </row>
    <row r="742" spans="1:13" x14ac:dyDescent="0.75">
      <c r="A742" s="40">
        <v>740</v>
      </c>
      <c r="B742" s="27">
        <v>570.25873197721376</v>
      </c>
      <c r="C742" s="27">
        <v>1000.2621497442306</v>
      </c>
      <c r="D742" s="27">
        <v>1579.597487385181</v>
      </c>
      <c r="E742" s="27">
        <v>2700.608139012038</v>
      </c>
      <c r="F742" s="27">
        <v>4770.3100411617779</v>
      </c>
      <c r="G742" s="27">
        <v>6843.4962246278592</v>
      </c>
      <c r="H742" s="27">
        <v>9349.4757292890426</v>
      </c>
      <c r="I742" s="27">
        <v>13924.665634332108</v>
      </c>
      <c r="J742" s="27">
        <v>22084.219350343395</v>
      </c>
      <c r="K742" s="27">
        <v>45280.548991402262</v>
      </c>
      <c r="L742" s="27">
        <v>115845.90368824617</v>
      </c>
      <c r="M742" s="27">
        <v>223949.34616752126</v>
      </c>
    </row>
    <row r="743" spans="1:13" x14ac:dyDescent="0.75">
      <c r="A743" s="40">
        <v>741</v>
      </c>
      <c r="B743" s="27">
        <v>1122.804728995834</v>
      </c>
      <c r="C743" s="27">
        <v>1734.7967866344989</v>
      </c>
      <c r="D743" s="27">
        <v>2618.4894000831846</v>
      </c>
      <c r="E743" s="27">
        <v>4042.7021295982122</v>
      </c>
      <c r="F743" s="27">
        <v>5635.2139233378548</v>
      </c>
      <c r="G743" s="27">
        <v>8552.4259127379628</v>
      </c>
      <c r="H743" s="27">
        <v>10820.381755278344</v>
      </c>
      <c r="I743" s="27">
        <v>15175.732114510902</v>
      </c>
      <c r="J743" s="27">
        <v>24086.913842913389</v>
      </c>
      <c r="K743" s="27">
        <v>46576.673131872711</v>
      </c>
      <c r="L743" s="27">
        <v>117860.86916230187</v>
      </c>
      <c r="M743" s="27">
        <v>238227.00288826477</v>
      </c>
    </row>
    <row r="744" spans="1:13" x14ac:dyDescent="0.75">
      <c r="A744" s="40">
        <v>742</v>
      </c>
      <c r="B744" s="27">
        <v>791.91500062395062</v>
      </c>
      <c r="C744" s="27">
        <v>1013.7567852112115</v>
      </c>
      <c r="D744" s="27">
        <v>1639.2547350011737</v>
      </c>
      <c r="E744" s="27">
        <v>2754.9773788006714</v>
      </c>
      <c r="F744" s="27">
        <v>4550.4065026708995</v>
      </c>
      <c r="G744" s="27">
        <v>6614.5669674063392</v>
      </c>
      <c r="H744" s="27">
        <v>9499.4635129281669</v>
      </c>
      <c r="I744" s="27">
        <v>13251.315049533368</v>
      </c>
      <c r="J744" s="27">
        <v>21018.220135713011</v>
      </c>
      <c r="K744" s="27">
        <v>44622.261967498285</v>
      </c>
      <c r="L744" s="27">
        <v>115090.78294027774</v>
      </c>
      <c r="M744" s="27">
        <v>220846.92097566481</v>
      </c>
    </row>
    <row r="745" spans="1:13" x14ac:dyDescent="0.75">
      <c r="A745" s="40">
        <v>743</v>
      </c>
      <c r="B745" s="27">
        <v>1513.5410322280222</v>
      </c>
      <c r="C745" s="27">
        <v>2083.3985431212059</v>
      </c>
      <c r="D745" s="27">
        <v>3106.0692061470909</v>
      </c>
      <c r="E745" s="27">
        <v>4484.1516408163152</v>
      </c>
      <c r="F745" s="27">
        <v>6496.0348882476101</v>
      </c>
      <c r="G745" s="27">
        <v>8749.7799521587149</v>
      </c>
      <c r="H745" s="27">
        <v>11750.920613448543</v>
      </c>
      <c r="I745" s="27">
        <v>16145.19666404085</v>
      </c>
      <c r="J745" s="27">
        <v>24101.532571105359</v>
      </c>
      <c r="K745" s="27">
        <v>49935.36618509618</v>
      </c>
      <c r="L745" s="27">
        <v>114605.61718537458</v>
      </c>
      <c r="M745" s="27">
        <v>242971.60848178447</v>
      </c>
    </row>
    <row r="746" spans="1:13" x14ac:dyDescent="0.75">
      <c r="A746" s="40">
        <v>744</v>
      </c>
      <c r="B746" s="27">
        <v>1221.4864587214543</v>
      </c>
      <c r="C746" s="27">
        <v>1891.5151167718286</v>
      </c>
      <c r="D746" s="27">
        <v>2747.6910451420845</v>
      </c>
      <c r="E746" s="27">
        <v>3682.4496949548193</v>
      </c>
      <c r="F746" s="27">
        <v>6426.0500858789019</v>
      </c>
      <c r="G746" s="27">
        <v>8844.3321277046925</v>
      </c>
      <c r="H746" s="27">
        <v>11535.285035904861</v>
      </c>
      <c r="I746" s="27">
        <v>15036.951868750519</v>
      </c>
      <c r="J746" s="27">
        <v>25230.271941318177</v>
      </c>
      <c r="K746" s="27">
        <v>47889.036848041593</v>
      </c>
      <c r="L746" s="27">
        <v>107511.51171485301</v>
      </c>
      <c r="M746" s="27">
        <v>232016.58193804196</v>
      </c>
    </row>
    <row r="747" spans="1:13" x14ac:dyDescent="0.75">
      <c r="A747" s="40">
        <v>745</v>
      </c>
      <c r="B747" s="27">
        <v>1180.08914674673</v>
      </c>
      <c r="C747" s="27">
        <v>1731.33684213784</v>
      </c>
      <c r="D747" s="27">
        <v>2809.324051695934</v>
      </c>
      <c r="E747" s="27">
        <v>3726.5061258875648</v>
      </c>
      <c r="F747" s="27">
        <v>5760.6181043374236</v>
      </c>
      <c r="G747" s="27">
        <v>8078.7125457188522</v>
      </c>
      <c r="H747" s="27">
        <v>10925.67252053741</v>
      </c>
      <c r="I747" s="27">
        <v>15434.134971656385</v>
      </c>
      <c r="J747" s="27">
        <v>22602.257693224063</v>
      </c>
      <c r="K747" s="27">
        <v>46734.60308788676</v>
      </c>
      <c r="L747" s="27">
        <v>118135.30379992732</v>
      </c>
      <c r="M747" s="27">
        <v>237118.55888975627</v>
      </c>
    </row>
    <row r="748" spans="1:13" x14ac:dyDescent="0.75">
      <c r="A748" s="40">
        <v>746</v>
      </c>
      <c r="B748" s="27">
        <v>658.31953286888893</v>
      </c>
      <c r="C748" s="27">
        <v>1115.2624319963797</v>
      </c>
      <c r="D748" s="27">
        <v>2001.0957501201046</v>
      </c>
      <c r="E748" s="27">
        <v>3207.1203252878186</v>
      </c>
      <c r="F748" s="27">
        <v>5042.9962801237416</v>
      </c>
      <c r="G748" s="27">
        <v>7220.469279047742</v>
      </c>
      <c r="H748" s="27">
        <v>9846.0228978442901</v>
      </c>
      <c r="I748" s="27">
        <v>15180.574175626069</v>
      </c>
      <c r="J748" s="27">
        <v>23401.037998261745</v>
      </c>
      <c r="K748" s="27">
        <v>45794.300467428839</v>
      </c>
      <c r="L748" s="27">
        <v>118670.24699919578</v>
      </c>
      <c r="M748" s="27">
        <v>232137.44613780139</v>
      </c>
    </row>
    <row r="749" spans="1:13" x14ac:dyDescent="0.75">
      <c r="A749" s="40">
        <v>747</v>
      </c>
      <c r="B749" s="27">
        <v>496.37741775781615</v>
      </c>
      <c r="C749" s="27">
        <v>1170.2030608930218</v>
      </c>
      <c r="D749" s="27">
        <v>1721.1156805208302</v>
      </c>
      <c r="E749" s="27">
        <v>2783.579276634191</v>
      </c>
      <c r="F749" s="27">
        <v>4508.6162327747734</v>
      </c>
      <c r="G749" s="27">
        <v>6907.1190212245274</v>
      </c>
      <c r="H749" s="27">
        <v>10344.964386513428</v>
      </c>
      <c r="I749" s="27">
        <v>14137.249709599622</v>
      </c>
      <c r="J749" s="27">
        <v>22466.349364714493</v>
      </c>
      <c r="K749" s="27">
        <v>44012.193741928466</v>
      </c>
      <c r="L749" s="27">
        <v>103928.27585968918</v>
      </c>
      <c r="M749" s="27">
        <v>212476.04375225035</v>
      </c>
    </row>
    <row r="750" spans="1:13" x14ac:dyDescent="0.75">
      <c r="A750" s="40">
        <v>748</v>
      </c>
      <c r="B750" s="27">
        <v>830.9263482507522</v>
      </c>
      <c r="C750" s="27">
        <v>1427.2152369309915</v>
      </c>
      <c r="D750" s="27">
        <v>2230.4531727342401</v>
      </c>
      <c r="E750" s="27">
        <v>3162.4482028325729</v>
      </c>
      <c r="F750" s="27">
        <v>5307.0464071121824</v>
      </c>
      <c r="G750" s="27">
        <v>7709.4775865199044</v>
      </c>
      <c r="H750" s="27">
        <v>10467.827010467852</v>
      </c>
      <c r="I750" s="27">
        <v>14823.553347359746</v>
      </c>
      <c r="J750" s="27">
        <v>23840.377655447519</v>
      </c>
      <c r="K750" s="27">
        <v>45333.310576732591</v>
      </c>
      <c r="L750" s="27">
        <v>103848.97583074615</v>
      </c>
      <c r="M750" s="27">
        <v>218981.6113751345</v>
      </c>
    </row>
    <row r="751" spans="1:13" x14ac:dyDescent="0.75">
      <c r="A751" s="40">
        <v>749</v>
      </c>
      <c r="B751" s="27">
        <v>462.2623097084288</v>
      </c>
      <c r="C751" s="27">
        <v>1131.384184874667</v>
      </c>
      <c r="D751" s="27">
        <v>1881.4506578288274</v>
      </c>
      <c r="E751" s="27">
        <v>2676.744746626835</v>
      </c>
      <c r="F751" s="27">
        <v>4641.0515275577491</v>
      </c>
      <c r="G751" s="27">
        <v>7011.3915458740667</v>
      </c>
      <c r="H751" s="27">
        <v>9769.5928641364444</v>
      </c>
      <c r="I751" s="27">
        <v>13609.522811700779</v>
      </c>
      <c r="J751" s="27">
        <v>23192.256538114772</v>
      </c>
      <c r="K751" s="27">
        <v>46225.756600305613</v>
      </c>
      <c r="L751" s="27">
        <v>114407.73119885277</v>
      </c>
      <c r="M751" s="27">
        <v>225009.14498558093</v>
      </c>
    </row>
    <row r="752" spans="1:13" x14ac:dyDescent="0.75">
      <c r="A752" s="40">
        <v>750</v>
      </c>
      <c r="B752" s="27">
        <v>1021.6844293975737</v>
      </c>
      <c r="C752" s="27">
        <v>1915.1396252732084</v>
      </c>
      <c r="D752" s="27">
        <v>2613.0700409017736</v>
      </c>
      <c r="E752" s="27">
        <v>3837.1921324131254</v>
      </c>
      <c r="F752" s="27">
        <v>5501.8546220066928</v>
      </c>
      <c r="G752" s="27">
        <v>8180.9501685718715</v>
      </c>
      <c r="H752" s="27">
        <v>10634.806275301147</v>
      </c>
      <c r="I752" s="27">
        <v>14597.043698681809</v>
      </c>
      <c r="J752" s="27">
        <v>24110.167629060015</v>
      </c>
      <c r="K752" s="27">
        <v>47529.894030518219</v>
      </c>
      <c r="L752" s="27">
        <v>110836.04652036632</v>
      </c>
      <c r="M752" s="27">
        <v>230777.84917249175</v>
      </c>
    </row>
    <row r="753" spans="1:13" x14ac:dyDescent="0.75">
      <c r="A753" s="40">
        <v>751</v>
      </c>
      <c r="B753" s="27">
        <v>1106.2475832011114</v>
      </c>
      <c r="C753" s="27">
        <v>1614.0412975405052</v>
      </c>
      <c r="D753" s="27">
        <v>2124.3394138505246</v>
      </c>
      <c r="E753" s="27">
        <v>3607.1159329794318</v>
      </c>
      <c r="F753" s="27">
        <v>5472.2274852555129</v>
      </c>
      <c r="G753" s="27">
        <v>7808.8191269616364</v>
      </c>
      <c r="H753" s="27">
        <v>10321.930167909784</v>
      </c>
      <c r="I753" s="27">
        <v>14277.687544373592</v>
      </c>
      <c r="J753" s="27">
        <v>22599.875319026964</v>
      </c>
      <c r="K753" s="27">
        <v>45647.755185648624</v>
      </c>
      <c r="L753" s="27">
        <v>109431.06596653047</v>
      </c>
      <c r="M753" s="27">
        <v>224011.10502327816</v>
      </c>
    </row>
    <row r="754" spans="1:13" x14ac:dyDescent="0.75">
      <c r="A754" s="40">
        <v>752</v>
      </c>
      <c r="B754" s="27">
        <v>964.66301084496081</v>
      </c>
      <c r="C754" s="27">
        <v>1376.6613893780741</v>
      </c>
      <c r="D754" s="27">
        <v>2379.4201731083158</v>
      </c>
      <c r="E754" s="27">
        <v>3715.8515954118193</v>
      </c>
      <c r="F754" s="27">
        <v>5950.1652121429652</v>
      </c>
      <c r="G754" s="27">
        <v>8556.8453714390344</v>
      </c>
      <c r="H754" s="27">
        <v>10851.530780250672</v>
      </c>
      <c r="I754" s="27">
        <v>15484.702361189513</v>
      </c>
      <c r="J754" s="27">
        <v>22633.581649724059</v>
      </c>
      <c r="K754" s="27">
        <v>45953.633207451698</v>
      </c>
      <c r="L754" s="27">
        <v>106502.68453476607</v>
      </c>
      <c r="M754" s="27">
        <v>224369.73928570718</v>
      </c>
    </row>
    <row r="755" spans="1:13" x14ac:dyDescent="0.75">
      <c r="A755" s="40">
        <v>753</v>
      </c>
      <c r="B755" s="27">
        <v>993.39925740381295</v>
      </c>
      <c r="C755" s="27">
        <v>1485.2745436096448</v>
      </c>
      <c r="D755" s="27">
        <v>2297.3902095398371</v>
      </c>
      <c r="E755" s="27">
        <v>3861.1245041956572</v>
      </c>
      <c r="F755" s="27">
        <v>5419.0041104663687</v>
      </c>
      <c r="G755" s="27">
        <v>7277.2118890088459</v>
      </c>
      <c r="H755" s="27">
        <v>10392.494233122212</v>
      </c>
      <c r="I755" s="27">
        <v>13970.180107867462</v>
      </c>
      <c r="J755" s="27">
        <v>22970.688162506907</v>
      </c>
      <c r="K755" s="27">
        <v>45658.832470412206</v>
      </c>
      <c r="L755" s="27">
        <v>105134.6679218068</v>
      </c>
      <c r="M755" s="27">
        <v>219460.26740993976</v>
      </c>
    </row>
    <row r="756" spans="1:13" x14ac:dyDescent="0.75">
      <c r="A756" s="40">
        <v>754</v>
      </c>
      <c r="B756" s="27">
        <v>916.94732987733732</v>
      </c>
      <c r="C756" s="27">
        <v>1372.8973331147281</v>
      </c>
      <c r="D756" s="27">
        <v>2104.0190166315442</v>
      </c>
      <c r="E756" s="27">
        <v>3051.420712290128</v>
      </c>
      <c r="F756" s="27">
        <v>4977.4314423641335</v>
      </c>
      <c r="G756" s="27">
        <v>7703.2671994062257</v>
      </c>
      <c r="H756" s="27">
        <v>10449.284461820644</v>
      </c>
      <c r="I756" s="27">
        <v>13941.680427165207</v>
      </c>
      <c r="J756" s="27">
        <v>23278.007665957659</v>
      </c>
      <c r="K756" s="27">
        <v>46292.695025036184</v>
      </c>
      <c r="L756" s="27">
        <v>118728.3644994646</v>
      </c>
      <c r="M756" s="27">
        <v>232816.01511312841</v>
      </c>
    </row>
    <row r="757" spans="1:13" x14ac:dyDescent="0.75">
      <c r="A757" s="40">
        <v>755</v>
      </c>
      <c r="B757" s="27">
        <v>981.02540269702149</v>
      </c>
      <c r="C757" s="27">
        <v>1528.1960027368186</v>
      </c>
      <c r="D757" s="27">
        <v>2423.1410663770075</v>
      </c>
      <c r="E757" s="27">
        <v>3837.2028607730026</v>
      </c>
      <c r="F757" s="27">
        <v>5999.1240998808935</v>
      </c>
      <c r="G757" s="27">
        <v>8410.9224828376318</v>
      </c>
      <c r="H757" s="27">
        <v>11719.358144289901</v>
      </c>
      <c r="I757" s="27">
        <v>15910.840789530528</v>
      </c>
      <c r="J757" s="27">
        <v>25123.547130974504</v>
      </c>
      <c r="K757" s="27">
        <v>50630.462128015701</v>
      </c>
      <c r="L757" s="27">
        <v>107403.84030836794</v>
      </c>
      <c r="M757" s="27">
        <v>233967.66041648097</v>
      </c>
    </row>
    <row r="758" spans="1:13" x14ac:dyDescent="0.75">
      <c r="A758" s="40">
        <v>756</v>
      </c>
      <c r="B758" s="27">
        <v>810.50607710918121</v>
      </c>
      <c r="C758" s="27">
        <v>1198.8713899061549</v>
      </c>
      <c r="D758" s="27">
        <v>2147.1152291729377</v>
      </c>
      <c r="E758" s="27">
        <v>3565.0324340080988</v>
      </c>
      <c r="F758" s="27">
        <v>6073.0478955388826</v>
      </c>
      <c r="G758" s="27">
        <v>8381.9349404039094</v>
      </c>
      <c r="H758" s="27">
        <v>10938.035789970847</v>
      </c>
      <c r="I758" s="27">
        <v>15153.505651022439</v>
      </c>
      <c r="J758" s="27">
        <v>23296.233506233461</v>
      </c>
      <c r="K758" s="27">
        <v>47348.731137229246</v>
      </c>
      <c r="L758" s="27">
        <v>109240.70861868358</v>
      </c>
      <c r="M758" s="27">
        <v>228153.72266927874</v>
      </c>
    </row>
    <row r="759" spans="1:13" x14ac:dyDescent="0.75">
      <c r="A759" s="40">
        <v>757</v>
      </c>
      <c r="B759" s="27">
        <v>1255.3270779779414</v>
      </c>
      <c r="C759" s="27">
        <v>1461.7924501342059</v>
      </c>
      <c r="D759" s="27">
        <v>2312.6685571251583</v>
      </c>
      <c r="E759" s="27">
        <v>3101.2290298292501</v>
      </c>
      <c r="F759" s="27">
        <v>5160.5306966653734</v>
      </c>
      <c r="G759" s="27">
        <v>6857.7505256792647</v>
      </c>
      <c r="H759" s="27">
        <v>9730.5575156145787</v>
      </c>
      <c r="I759" s="27">
        <v>13296.834998273029</v>
      </c>
      <c r="J759" s="27">
        <v>22442.314162568393</v>
      </c>
      <c r="K759" s="27">
        <v>44485.010238805829</v>
      </c>
      <c r="L759" s="27">
        <v>114731.10359964742</v>
      </c>
      <c r="M759" s="27">
        <v>224835.11885232045</v>
      </c>
    </row>
    <row r="760" spans="1:13" x14ac:dyDescent="0.75">
      <c r="A760" s="40">
        <v>758</v>
      </c>
      <c r="B760" s="27">
        <v>611.37266916158842</v>
      </c>
      <c r="C760" s="27">
        <v>1031.9760291007551</v>
      </c>
      <c r="D760" s="27">
        <v>1767.0679776232428</v>
      </c>
      <c r="E760" s="27">
        <v>3055.4171108992159</v>
      </c>
      <c r="F760" s="27">
        <v>4782.2644339806284</v>
      </c>
      <c r="G760" s="27">
        <v>7103.9558289213164</v>
      </c>
      <c r="H760" s="27">
        <v>10019.043760248518</v>
      </c>
      <c r="I760" s="27">
        <v>13889.187420294315</v>
      </c>
      <c r="J760" s="27">
        <v>22371.09659739412</v>
      </c>
      <c r="K760" s="27">
        <v>49320.653603121784</v>
      </c>
      <c r="L760" s="27">
        <v>115878.63591417347</v>
      </c>
      <c r="M760" s="27">
        <v>229830.67134491896</v>
      </c>
    </row>
    <row r="761" spans="1:13" x14ac:dyDescent="0.75">
      <c r="A761" s="40">
        <v>759</v>
      </c>
      <c r="B761" s="27">
        <v>1014.573982440852</v>
      </c>
      <c r="C761" s="27">
        <v>1209.4085728840291</v>
      </c>
      <c r="D761" s="27">
        <v>2316.8791772851546</v>
      </c>
      <c r="E761" s="27">
        <v>3287.3762569992978</v>
      </c>
      <c r="F761" s="27">
        <v>5140.0161052626936</v>
      </c>
      <c r="G761" s="27">
        <v>7456.6620249488624</v>
      </c>
      <c r="H761" s="27">
        <v>9572.5388961413264</v>
      </c>
      <c r="I761" s="27">
        <v>14282.788978493059</v>
      </c>
      <c r="J761" s="27">
        <v>22688.68166041009</v>
      </c>
      <c r="K761" s="27">
        <v>46607.400544959528</v>
      </c>
      <c r="L761" s="27">
        <v>105006.5037971533</v>
      </c>
      <c r="M761" s="27">
        <v>218582.82999697819</v>
      </c>
    </row>
    <row r="762" spans="1:13" x14ac:dyDescent="0.75">
      <c r="A762" s="40">
        <v>760</v>
      </c>
      <c r="B762" s="27">
        <v>1051.6584637239721</v>
      </c>
      <c r="C762" s="27">
        <v>1604.5970079138206</v>
      </c>
      <c r="D762" s="27">
        <v>2408.0260981826432</v>
      </c>
      <c r="E762" s="27">
        <v>3437.5533518386801</v>
      </c>
      <c r="F762" s="27">
        <v>5389.8113624740217</v>
      </c>
      <c r="G762" s="27">
        <v>8241.9588222368038</v>
      </c>
      <c r="H762" s="27">
        <v>10583.653366121784</v>
      </c>
      <c r="I762" s="27">
        <v>14941.083215843886</v>
      </c>
      <c r="J762" s="27">
        <v>23027.087432847838</v>
      </c>
      <c r="K762" s="27">
        <v>45013.055329824347</v>
      </c>
      <c r="L762" s="27">
        <v>114858.46434556053</v>
      </c>
      <c r="M762" s="27">
        <v>230556.94879656832</v>
      </c>
    </row>
    <row r="763" spans="1:13" x14ac:dyDescent="0.75">
      <c r="A763" s="40">
        <v>761</v>
      </c>
      <c r="B763" s="27">
        <v>720.97103055276966</v>
      </c>
      <c r="C763" s="27">
        <v>1272.5594343993434</v>
      </c>
      <c r="D763" s="27">
        <v>2112.599100179752</v>
      </c>
      <c r="E763" s="27">
        <v>3030.3425184189837</v>
      </c>
      <c r="F763" s="27">
        <v>4654.6714729036612</v>
      </c>
      <c r="G763" s="27">
        <v>7245.0176441896474</v>
      </c>
      <c r="H763" s="27">
        <v>10035.47889445466</v>
      </c>
      <c r="I763" s="27">
        <v>13116.478740775914</v>
      </c>
      <c r="J763" s="27">
        <v>21047.981793303334</v>
      </c>
      <c r="K763" s="27">
        <v>44636.612189538137</v>
      </c>
      <c r="L763" s="27">
        <v>112133.16772717335</v>
      </c>
      <c r="M763" s="27">
        <v>220005.88054588955</v>
      </c>
    </row>
    <row r="764" spans="1:13" x14ac:dyDescent="0.75">
      <c r="A764" s="40">
        <v>762</v>
      </c>
      <c r="B764" s="27">
        <v>807.35124340699986</v>
      </c>
      <c r="C764" s="27">
        <v>1335.5975154425687</v>
      </c>
      <c r="D764" s="27">
        <v>2441.6130976990098</v>
      </c>
      <c r="E764" s="27">
        <v>3277.4241459269106</v>
      </c>
      <c r="F764" s="27">
        <v>5152.1169120966515</v>
      </c>
      <c r="G764" s="27">
        <v>7521.3420800175809</v>
      </c>
      <c r="H764" s="27">
        <v>10546.176700678232</v>
      </c>
      <c r="I764" s="27">
        <v>15043.60386914511</v>
      </c>
      <c r="J764" s="27">
        <v>23295.791705974989</v>
      </c>
      <c r="K764" s="27">
        <v>47392.420603424747</v>
      </c>
      <c r="L764" s="27">
        <v>115643.06319629218</v>
      </c>
      <c r="M764" s="27">
        <v>232456.50107010498</v>
      </c>
    </row>
    <row r="765" spans="1:13" x14ac:dyDescent="0.75">
      <c r="A765" s="40">
        <v>763</v>
      </c>
      <c r="B765" s="27">
        <v>873.5004190121108</v>
      </c>
      <c r="C765" s="27">
        <v>1451.7320159578521</v>
      </c>
      <c r="D765" s="27">
        <v>2273.7080778531235</v>
      </c>
      <c r="E765" s="27">
        <v>3267.095732617774</v>
      </c>
      <c r="F765" s="27">
        <v>5157.306485951005</v>
      </c>
      <c r="G765" s="27">
        <v>7619.9877810811158</v>
      </c>
      <c r="H765" s="27">
        <v>10374.754342384171</v>
      </c>
      <c r="I765" s="27">
        <v>14100.872221398327</v>
      </c>
      <c r="J765" s="27">
        <v>23176.282439321789</v>
      </c>
      <c r="K765" s="27">
        <v>46010.205034909217</v>
      </c>
      <c r="L765" s="27">
        <v>118854.71456819901</v>
      </c>
      <c r="M765" s="27">
        <v>233160.15911868549</v>
      </c>
    </row>
    <row r="766" spans="1:13" x14ac:dyDescent="0.75">
      <c r="A766" s="40">
        <v>764</v>
      </c>
      <c r="B766" s="27">
        <v>1158.7276722999814</v>
      </c>
      <c r="C766" s="27">
        <v>1860.9044132447743</v>
      </c>
      <c r="D766" s="27">
        <v>2687.7026620261749</v>
      </c>
      <c r="E766" s="27">
        <v>3958.593504974313</v>
      </c>
      <c r="F766" s="27">
        <v>5719.8943583665387</v>
      </c>
      <c r="G766" s="27">
        <v>7776.3747614996391</v>
      </c>
      <c r="H766" s="27">
        <v>10936.252619770836</v>
      </c>
      <c r="I766" s="27">
        <v>14832.964555424085</v>
      </c>
      <c r="J766" s="27">
        <v>23717.402235449277</v>
      </c>
      <c r="K766" s="27">
        <v>48265.05094608356</v>
      </c>
      <c r="L766" s="27">
        <v>106454.1674186763</v>
      </c>
      <c r="M766" s="27">
        <v>227368.03514781548</v>
      </c>
    </row>
    <row r="767" spans="1:13" x14ac:dyDescent="0.75">
      <c r="A767" s="40">
        <v>765</v>
      </c>
      <c r="B767" s="27">
        <v>1063.8744843576424</v>
      </c>
      <c r="C767" s="27">
        <v>1648.0549329533678</v>
      </c>
      <c r="D767" s="27">
        <v>2243.6808709311881</v>
      </c>
      <c r="E767" s="27">
        <v>3334.8674807040952</v>
      </c>
      <c r="F767" s="27">
        <v>5536.4187295831507</v>
      </c>
      <c r="G767" s="27">
        <v>7662.2268418929016</v>
      </c>
      <c r="H767" s="27">
        <v>10326.248031346346</v>
      </c>
      <c r="I767" s="27">
        <v>14187.616247710917</v>
      </c>
      <c r="J767" s="27">
        <v>23489.594730414683</v>
      </c>
      <c r="K767" s="27">
        <v>47731.254272969119</v>
      </c>
      <c r="L767" s="27">
        <v>117398.89318718485</v>
      </c>
      <c r="M767" s="27">
        <v>234622.72981004824</v>
      </c>
    </row>
    <row r="768" spans="1:13" x14ac:dyDescent="0.75">
      <c r="A768" s="40">
        <v>766</v>
      </c>
      <c r="B768" s="27">
        <v>754.27895005914615</v>
      </c>
      <c r="C768" s="27">
        <v>1233.9397957917827</v>
      </c>
      <c r="D768" s="27">
        <v>2070.522843328552</v>
      </c>
      <c r="E768" s="27">
        <v>3179.1841369491885</v>
      </c>
      <c r="F768" s="27">
        <v>5225.3588155204779</v>
      </c>
      <c r="G768" s="27">
        <v>7709.2777741695172</v>
      </c>
      <c r="H768" s="27">
        <v>10010.429604968915</v>
      </c>
      <c r="I768" s="27">
        <v>14331.997767175897</v>
      </c>
      <c r="J768" s="27">
        <v>21986.495818032854</v>
      </c>
      <c r="K768" s="27">
        <v>45442.588485095679</v>
      </c>
      <c r="L768" s="27">
        <v>107987.45748733604</v>
      </c>
      <c r="M768" s="27">
        <v>219931.53147842805</v>
      </c>
    </row>
    <row r="769" spans="1:13" x14ac:dyDescent="0.75">
      <c r="A769" s="40">
        <v>767</v>
      </c>
      <c r="B769" s="27">
        <v>1147.925802194557</v>
      </c>
      <c r="C769" s="27">
        <v>1555.7796360964421</v>
      </c>
      <c r="D769" s="27">
        <v>2374.0119240662316</v>
      </c>
      <c r="E769" s="27">
        <v>3420.0260472308728</v>
      </c>
      <c r="F769" s="27">
        <v>5422.5208227389085</v>
      </c>
      <c r="G769" s="27">
        <v>7512.2329356272239</v>
      </c>
      <c r="H769" s="27">
        <v>10511.261261333435</v>
      </c>
      <c r="I769" s="27">
        <v>14742.887920679903</v>
      </c>
      <c r="J769" s="27">
        <v>23835.698791348186</v>
      </c>
      <c r="K769" s="27">
        <v>46005.258959778366</v>
      </c>
      <c r="L769" s="27">
        <v>115459.61241830052</v>
      </c>
      <c r="M769" s="27">
        <v>231987.21651939466</v>
      </c>
    </row>
    <row r="770" spans="1:13" x14ac:dyDescent="0.75">
      <c r="A770" s="40">
        <v>768</v>
      </c>
      <c r="B770" s="27">
        <v>744.25808035330556</v>
      </c>
      <c r="C770" s="27">
        <v>1127.0112443231337</v>
      </c>
      <c r="D770" s="27">
        <v>2079.8712821658846</v>
      </c>
      <c r="E770" s="27">
        <v>2906.7788690134475</v>
      </c>
      <c r="F770" s="27">
        <v>4417.1640443764918</v>
      </c>
      <c r="G770" s="27">
        <v>6735.6549615599215</v>
      </c>
      <c r="H770" s="27">
        <v>8889.0568300706218</v>
      </c>
      <c r="I770" s="27">
        <v>12812.394451411688</v>
      </c>
      <c r="J770" s="27">
        <v>20995.227423801785</v>
      </c>
      <c r="K770" s="27">
        <v>47223.789120974456</v>
      </c>
      <c r="L770" s="27">
        <v>116972.54271089536</v>
      </c>
      <c r="M770" s="27">
        <v>224903.74901894608</v>
      </c>
    </row>
    <row r="771" spans="1:13" x14ac:dyDescent="0.75">
      <c r="A771" s="40">
        <v>769</v>
      </c>
      <c r="B771" s="27">
        <v>485.21099367423449</v>
      </c>
      <c r="C771" s="27">
        <v>894.8570828512602</v>
      </c>
      <c r="D771" s="27">
        <v>1882.4494149552193</v>
      </c>
      <c r="E771" s="27">
        <v>2920.3619309722271</v>
      </c>
      <c r="F771" s="27">
        <v>4906.7062315866351</v>
      </c>
      <c r="G771" s="27">
        <v>7353.6377267448115</v>
      </c>
      <c r="H771" s="27">
        <v>10106.718121146754</v>
      </c>
      <c r="I771" s="27">
        <v>13797.147366235178</v>
      </c>
      <c r="J771" s="27">
        <v>22952.483580078042</v>
      </c>
      <c r="K771" s="27">
        <v>44937.685821349034</v>
      </c>
      <c r="L771" s="27">
        <v>109203.42902594266</v>
      </c>
      <c r="M771" s="27">
        <v>219440.68729553604</v>
      </c>
    </row>
    <row r="772" spans="1:13" x14ac:dyDescent="0.75">
      <c r="A772" s="40">
        <v>770</v>
      </c>
      <c r="B772" s="27">
        <v>819.82935903337784</v>
      </c>
      <c r="C772" s="27">
        <v>1296.3484515837335</v>
      </c>
      <c r="D772" s="27">
        <v>2014.4947153044632</v>
      </c>
      <c r="E772" s="27">
        <v>3053.7190109527291</v>
      </c>
      <c r="F772" s="27">
        <v>4990.5266220576887</v>
      </c>
      <c r="G772" s="27">
        <v>7279.7991940960346</v>
      </c>
      <c r="H772" s="27">
        <v>9961.5471668373066</v>
      </c>
      <c r="I772" s="27">
        <v>13318.265008990042</v>
      </c>
      <c r="J772" s="27">
        <v>23794.658548774285</v>
      </c>
      <c r="K772" s="27">
        <v>46731.525932494958</v>
      </c>
      <c r="L772" s="27">
        <v>114291.42429498245</v>
      </c>
      <c r="M772" s="27">
        <v>227552.13830510707</v>
      </c>
    </row>
    <row r="773" spans="1:13" x14ac:dyDescent="0.75">
      <c r="A773" s="40">
        <v>771</v>
      </c>
      <c r="B773" s="27">
        <v>762.14466757046466</v>
      </c>
      <c r="C773" s="27">
        <v>1041.6170735129272</v>
      </c>
      <c r="D773" s="27">
        <v>1920.4635096180427</v>
      </c>
      <c r="E773" s="27">
        <v>3086.7105031620304</v>
      </c>
      <c r="F773" s="27">
        <v>4941.7911105198436</v>
      </c>
      <c r="G773" s="27">
        <v>7016.646433379472</v>
      </c>
      <c r="H773" s="27">
        <v>9284.8253674948064</v>
      </c>
      <c r="I773" s="27">
        <v>13634.912749087627</v>
      </c>
      <c r="J773" s="27">
        <v>22428.0083550704</v>
      </c>
      <c r="K773" s="27">
        <v>45342.983272247569</v>
      </c>
      <c r="L773" s="27">
        <v>109862.32969985125</v>
      </c>
      <c r="M773" s="27">
        <v>219322.43274151444</v>
      </c>
    </row>
    <row r="774" spans="1:13" x14ac:dyDescent="0.75">
      <c r="A774" s="40">
        <v>772</v>
      </c>
      <c r="B774" s="27">
        <v>633.72785448424111</v>
      </c>
      <c r="C774" s="27">
        <v>1022.8843682871811</v>
      </c>
      <c r="D774" s="27">
        <v>1889.8653984257107</v>
      </c>
      <c r="E774" s="27">
        <v>2919.5184024841583</v>
      </c>
      <c r="F774" s="27">
        <v>4938.3842904228804</v>
      </c>
      <c r="G774" s="27">
        <v>7496.6046865122335</v>
      </c>
      <c r="H774" s="27">
        <v>10212.752865700488</v>
      </c>
      <c r="I774" s="27">
        <v>14829.137484117644</v>
      </c>
      <c r="J774" s="27">
        <v>23636.457857703441</v>
      </c>
      <c r="K774" s="27">
        <v>45477.801427793791</v>
      </c>
      <c r="L774" s="27">
        <v>117782.22534874099</v>
      </c>
      <c r="M774" s="27">
        <v>230839.35998467274</v>
      </c>
    </row>
    <row r="775" spans="1:13" x14ac:dyDescent="0.75">
      <c r="A775" s="40">
        <v>773</v>
      </c>
      <c r="B775" s="27">
        <v>1051.6668874260504</v>
      </c>
      <c r="C775" s="27">
        <v>1528.7678915869183</v>
      </c>
      <c r="D775" s="27">
        <v>2722.2280521061766</v>
      </c>
      <c r="E775" s="27">
        <v>3794.5665322774439</v>
      </c>
      <c r="F775" s="27">
        <v>5287.4672921883612</v>
      </c>
      <c r="G775" s="27">
        <v>8139.9290068322734</v>
      </c>
      <c r="H775" s="27">
        <v>11341.035224731924</v>
      </c>
      <c r="I775" s="27">
        <v>14939.40723885152</v>
      </c>
      <c r="J775" s="27">
        <v>24381.869015990087</v>
      </c>
      <c r="K775" s="27">
        <v>48008.734155432147</v>
      </c>
      <c r="L775" s="27">
        <v>110161.6661058953</v>
      </c>
      <c r="M775" s="27">
        <v>231357.3374033182</v>
      </c>
    </row>
    <row r="776" spans="1:13" x14ac:dyDescent="0.75">
      <c r="A776" s="40">
        <v>774</v>
      </c>
      <c r="B776" s="27">
        <v>1050.9342210678005</v>
      </c>
      <c r="C776" s="27">
        <v>1460.931033195433</v>
      </c>
      <c r="D776" s="27">
        <v>2469.3124024363351</v>
      </c>
      <c r="E776" s="27">
        <v>3743.4362992485258</v>
      </c>
      <c r="F776" s="27">
        <v>5450.4760162956518</v>
      </c>
      <c r="G776" s="27">
        <v>7586.5972133275645</v>
      </c>
      <c r="H776" s="27">
        <v>10315.448029863517</v>
      </c>
      <c r="I776" s="27">
        <v>14973.096327565188</v>
      </c>
      <c r="J776" s="27">
        <v>23408.332335398954</v>
      </c>
      <c r="K776" s="27">
        <v>46462.514907573495</v>
      </c>
      <c r="L776" s="27">
        <v>112049.72363204299</v>
      </c>
      <c r="M776" s="27">
        <v>228970.80241801546</v>
      </c>
    </row>
    <row r="777" spans="1:13" x14ac:dyDescent="0.75">
      <c r="A777" s="40">
        <v>775</v>
      </c>
      <c r="B777" s="27">
        <v>836.1026636067254</v>
      </c>
      <c r="C777" s="27">
        <v>1453.2612072400225</v>
      </c>
      <c r="D777" s="27">
        <v>2137.0412043133547</v>
      </c>
      <c r="E777" s="27">
        <v>3395.7633257769921</v>
      </c>
      <c r="F777" s="27">
        <v>5212.9464719766547</v>
      </c>
      <c r="G777" s="27">
        <v>7495.3359713390237</v>
      </c>
      <c r="H777" s="27">
        <v>10567.290333006153</v>
      </c>
      <c r="I777" s="27">
        <v>14824.227674454698</v>
      </c>
      <c r="J777" s="27">
        <v>24011.623079728786</v>
      </c>
      <c r="K777" s="27">
        <v>44199.508701480707</v>
      </c>
      <c r="L777" s="27">
        <v>118006.53164344357</v>
      </c>
      <c r="M777" s="27">
        <v>232139.6322763667</v>
      </c>
    </row>
    <row r="778" spans="1:13" x14ac:dyDescent="0.75">
      <c r="A778" s="40">
        <v>776</v>
      </c>
      <c r="B778" s="27">
        <v>1356.1161858834093</v>
      </c>
      <c r="C778" s="27">
        <v>1770.3666417474451</v>
      </c>
      <c r="D778" s="27">
        <v>2575.8840422258654</v>
      </c>
      <c r="E778" s="27">
        <v>3457.3784523521026</v>
      </c>
      <c r="F778" s="27">
        <v>5170.81547961451</v>
      </c>
      <c r="G778" s="27">
        <v>7313.6217649535101</v>
      </c>
      <c r="H778" s="27">
        <v>10410.79991812259</v>
      </c>
      <c r="I778" s="27">
        <v>13106.488826853529</v>
      </c>
      <c r="J778" s="27">
        <v>21914.015859367064</v>
      </c>
      <c r="K778" s="27">
        <v>47706.223584555686</v>
      </c>
      <c r="L778" s="27">
        <v>103221.16151681324</v>
      </c>
      <c r="M778" s="27">
        <v>218002.87227248895</v>
      </c>
    </row>
    <row r="779" spans="1:13" x14ac:dyDescent="0.75">
      <c r="A779" s="40">
        <v>777</v>
      </c>
      <c r="B779" s="27">
        <v>954.63389300982817</v>
      </c>
      <c r="C779" s="27">
        <v>1454.0389532612753</v>
      </c>
      <c r="D779" s="27">
        <v>2356.6730853592744</v>
      </c>
      <c r="E779" s="27">
        <v>3341.0961524170561</v>
      </c>
      <c r="F779" s="27">
        <v>5198.0280689018837</v>
      </c>
      <c r="G779" s="27">
        <v>7587.1565406655427</v>
      </c>
      <c r="H779" s="27">
        <v>10308.877723794663</v>
      </c>
      <c r="I779" s="27">
        <v>14074.078267518169</v>
      </c>
      <c r="J779" s="27">
        <v>24284.448301969809</v>
      </c>
      <c r="K779" s="27">
        <v>45824.506140199446</v>
      </c>
      <c r="L779" s="27">
        <v>111998.83172148676</v>
      </c>
      <c r="M779" s="27">
        <v>227382.36884858372</v>
      </c>
    </row>
    <row r="780" spans="1:13" x14ac:dyDescent="0.75">
      <c r="A780" s="40">
        <v>778</v>
      </c>
      <c r="B780" s="27">
        <v>644.81308306401479</v>
      </c>
      <c r="C780" s="27">
        <v>888.3468426225154</v>
      </c>
      <c r="D780" s="27">
        <v>1462.9327424330841</v>
      </c>
      <c r="E780" s="27">
        <v>2633.2226669463853</v>
      </c>
      <c r="F780" s="27">
        <v>4955.0258528507838</v>
      </c>
      <c r="G780" s="27">
        <v>6909.479645126703</v>
      </c>
      <c r="H780" s="27">
        <v>9992.8613972923631</v>
      </c>
      <c r="I780" s="27">
        <v>14705.934212961773</v>
      </c>
      <c r="J780" s="27">
        <v>23587.36147721851</v>
      </c>
      <c r="K780" s="27">
        <v>45118.410426955874</v>
      </c>
      <c r="L780" s="27">
        <v>116628.44199108504</v>
      </c>
      <c r="M780" s="27">
        <v>227526.83033855705</v>
      </c>
    </row>
    <row r="781" spans="1:13" x14ac:dyDescent="0.75">
      <c r="A781" s="40">
        <v>779</v>
      </c>
      <c r="B781" s="27">
        <v>1056.10502028052</v>
      </c>
      <c r="C781" s="27">
        <v>1521.4903741264134</v>
      </c>
      <c r="D781" s="27">
        <v>2297.526712077597</v>
      </c>
      <c r="E781" s="27">
        <v>3144.5965301005781</v>
      </c>
      <c r="F781" s="27">
        <v>5418.7474909753655</v>
      </c>
      <c r="G781" s="27">
        <v>7500.3669280663889</v>
      </c>
      <c r="H781" s="27">
        <v>10746.18345501888</v>
      </c>
      <c r="I781" s="27">
        <v>14291.036879678417</v>
      </c>
      <c r="J781" s="27">
        <v>23342.802144763817</v>
      </c>
      <c r="K781" s="27">
        <v>43298.887349153869</v>
      </c>
      <c r="L781" s="27">
        <v>111400.39912601348</v>
      </c>
      <c r="M781" s="27">
        <v>224018.14201025531</v>
      </c>
    </row>
    <row r="782" spans="1:13" x14ac:dyDescent="0.75">
      <c r="A782" s="40">
        <v>780</v>
      </c>
      <c r="B782" s="27">
        <v>1072.532839023479</v>
      </c>
      <c r="C782" s="27">
        <v>1609.7730255950009</v>
      </c>
      <c r="D782" s="27">
        <v>2551.5164054457273</v>
      </c>
      <c r="E782" s="27">
        <v>3932.2255521133338</v>
      </c>
      <c r="F782" s="27">
        <v>5370.3708609250607</v>
      </c>
      <c r="G782" s="27">
        <v>7937.6614785970305</v>
      </c>
      <c r="H782" s="27">
        <v>10444.547407071703</v>
      </c>
      <c r="I782" s="27">
        <v>15495.420778117346</v>
      </c>
      <c r="J782" s="27">
        <v>23770.785696784878</v>
      </c>
      <c r="K782" s="27">
        <v>45715.409955819487</v>
      </c>
      <c r="L782" s="27">
        <v>119469.03718505695</v>
      </c>
      <c r="M782" s="27">
        <v>237369.28118455</v>
      </c>
    </row>
    <row r="783" spans="1:13" x14ac:dyDescent="0.75">
      <c r="A783" s="40">
        <v>781</v>
      </c>
      <c r="B783" s="27">
        <v>1178.5066623462626</v>
      </c>
      <c r="C783" s="27">
        <v>1617.3161485547607</v>
      </c>
      <c r="D783" s="27">
        <v>2633.6829884121398</v>
      </c>
      <c r="E783" s="27">
        <v>3955.2582582484029</v>
      </c>
      <c r="F783" s="27">
        <v>5704.4125237907574</v>
      </c>
      <c r="G783" s="27">
        <v>7872.8701271914179</v>
      </c>
      <c r="H783" s="27">
        <v>10921.430514570704</v>
      </c>
      <c r="I783" s="27">
        <v>13937.996100086631</v>
      </c>
      <c r="J783" s="27">
        <v>22823.464271734556</v>
      </c>
      <c r="K783" s="27">
        <v>44449.507163374976</v>
      </c>
      <c r="L783" s="27">
        <v>108222.05070964101</v>
      </c>
      <c r="M783" s="27">
        <v>223316.49546795164</v>
      </c>
    </row>
    <row r="784" spans="1:13" x14ac:dyDescent="0.75">
      <c r="A784" s="40">
        <v>782</v>
      </c>
      <c r="B784" s="27">
        <v>956.90564794868988</v>
      </c>
      <c r="C784" s="27">
        <v>1616.7959196492739</v>
      </c>
      <c r="D784" s="27">
        <v>2804.8184361300082</v>
      </c>
      <c r="E784" s="27">
        <v>3958.2472229966079</v>
      </c>
      <c r="F784" s="27">
        <v>6116.6288334429264</v>
      </c>
      <c r="G784" s="27">
        <v>8295.2399572144204</v>
      </c>
      <c r="H784" s="27">
        <v>11466.666095668596</v>
      </c>
      <c r="I784" s="27">
        <v>16519.05627750585</v>
      </c>
      <c r="J784" s="27">
        <v>24544.355011035877</v>
      </c>
      <c r="K784" s="27">
        <v>46266.804045690951</v>
      </c>
      <c r="L784" s="27">
        <v>112119.99070662251</v>
      </c>
      <c r="M784" s="27">
        <v>234665.50815390571</v>
      </c>
    </row>
    <row r="785" spans="1:13" x14ac:dyDescent="0.75">
      <c r="A785" s="40">
        <v>783</v>
      </c>
      <c r="B785" s="27">
        <v>1252.4969490101357</v>
      </c>
      <c r="C785" s="27">
        <v>1777.498485623626</v>
      </c>
      <c r="D785" s="27">
        <v>3023.3038966695603</v>
      </c>
      <c r="E785" s="27">
        <v>4298.3422760785033</v>
      </c>
      <c r="F785" s="27">
        <v>6338.1271909841016</v>
      </c>
      <c r="G785" s="27">
        <v>8472.8718287821102</v>
      </c>
      <c r="H785" s="27">
        <v>10991.509627521082</v>
      </c>
      <c r="I785" s="27">
        <v>16159.180194818007</v>
      </c>
      <c r="J785" s="27">
        <v>25403.782823853122</v>
      </c>
      <c r="K785" s="27">
        <v>48893.072351681927</v>
      </c>
      <c r="L785" s="27">
        <v>116451.70014825142</v>
      </c>
      <c r="M785" s="27">
        <v>243061.88577327359</v>
      </c>
    </row>
    <row r="786" spans="1:13" x14ac:dyDescent="0.75">
      <c r="A786" s="40">
        <v>784</v>
      </c>
      <c r="B786" s="27">
        <v>1259.3718055859208</v>
      </c>
      <c r="C786" s="27">
        <v>1724.1488422244875</v>
      </c>
      <c r="D786" s="27">
        <v>2296.6483596423059</v>
      </c>
      <c r="E786" s="27">
        <v>3499.5789089610626</v>
      </c>
      <c r="F786" s="27">
        <v>5004.624257106072</v>
      </c>
      <c r="G786" s="27">
        <v>7237.1607601882715</v>
      </c>
      <c r="H786" s="27">
        <v>9851.8703288813849</v>
      </c>
      <c r="I786" s="27">
        <v>13615.355175290693</v>
      </c>
      <c r="J786" s="27">
        <v>21368.020095095926</v>
      </c>
      <c r="K786" s="27">
        <v>46265.255681093491</v>
      </c>
      <c r="L786" s="27">
        <v>105019.29075078182</v>
      </c>
      <c r="M786" s="27">
        <v>217141.32496485143</v>
      </c>
    </row>
    <row r="787" spans="1:13" x14ac:dyDescent="0.75">
      <c r="A787" s="40">
        <v>785</v>
      </c>
      <c r="B787" s="27">
        <v>635.9167141814105</v>
      </c>
      <c r="C787" s="27">
        <v>1127.0417712494091</v>
      </c>
      <c r="D787" s="27">
        <v>2364.1970292194601</v>
      </c>
      <c r="E787" s="27">
        <v>3773.753782071406</v>
      </c>
      <c r="F787" s="27">
        <v>5424.1144348529342</v>
      </c>
      <c r="G787" s="27">
        <v>8051.2810225127323</v>
      </c>
      <c r="H787" s="27">
        <v>10603.205890636091</v>
      </c>
      <c r="I787" s="27">
        <v>13884.166971448969</v>
      </c>
      <c r="J787" s="27">
        <v>22368.027016050764</v>
      </c>
      <c r="K787" s="27">
        <v>46693.937028307846</v>
      </c>
      <c r="L787" s="27">
        <v>115290.4493413193</v>
      </c>
      <c r="M787" s="27">
        <v>230216.09100185032</v>
      </c>
    </row>
    <row r="788" spans="1:13" x14ac:dyDescent="0.75">
      <c r="A788" s="40">
        <v>786</v>
      </c>
      <c r="B788" s="27">
        <v>1143.3816742463241</v>
      </c>
      <c r="C788" s="27">
        <v>1812.6383699314174</v>
      </c>
      <c r="D788" s="27">
        <v>2611.5258008937672</v>
      </c>
      <c r="E788" s="27">
        <v>3470.8135669499316</v>
      </c>
      <c r="F788" s="27">
        <v>5440.6577950697683</v>
      </c>
      <c r="G788" s="27">
        <v>8145.5724892439903</v>
      </c>
      <c r="H788" s="27">
        <v>10647.184464041624</v>
      </c>
      <c r="I788" s="27">
        <v>14573.394003628462</v>
      </c>
      <c r="J788" s="27">
        <v>23438.720974261829</v>
      </c>
      <c r="K788" s="27">
        <v>44535.324734872731</v>
      </c>
      <c r="L788" s="27">
        <v>110724.73412257589</v>
      </c>
      <c r="M788" s="27">
        <v>226543.94799571572</v>
      </c>
    </row>
    <row r="789" spans="1:13" x14ac:dyDescent="0.75">
      <c r="A789" s="40">
        <v>787</v>
      </c>
      <c r="B789" s="27">
        <v>1146.5563509966014</v>
      </c>
      <c r="C789" s="27">
        <v>1713.5487596548046</v>
      </c>
      <c r="D789" s="27">
        <v>2403.3386210840399</v>
      </c>
      <c r="E789" s="27">
        <v>3424.0750960319274</v>
      </c>
      <c r="F789" s="27">
        <v>5514.0793397367524</v>
      </c>
      <c r="G789" s="27">
        <v>7944.1807215482404</v>
      </c>
      <c r="H789" s="27">
        <v>10090.61328416277</v>
      </c>
      <c r="I789" s="27">
        <v>14667.113583559592</v>
      </c>
      <c r="J789" s="27">
        <v>22426.489789135725</v>
      </c>
      <c r="K789" s="27">
        <v>46551.592678649395</v>
      </c>
      <c r="L789" s="27">
        <v>102654.16382582579</v>
      </c>
      <c r="M789" s="27">
        <v>218535.75205038564</v>
      </c>
    </row>
    <row r="790" spans="1:13" x14ac:dyDescent="0.75">
      <c r="A790" s="40">
        <v>788</v>
      </c>
      <c r="B790" s="27">
        <v>201.40781752576004</v>
      </c>
      <c r="C790" s="27">
        <v>283.42040097051358</v>
      </c>
      <c r="D790" s="27">
        <v>1233.7630941983516</v>
      </c>
      <c r="E790" s="27">
        <v>2238.3157864669047</v>
      </c>
      <c r="F790" s="27">
        <v>3834.5703166646854</v>
      </c>
      <c r="G790" s="27">
        <v>6095.4343918469094</v>
      </c>
      <c r="H790" s="27">
        <v>8387.1902695658209</v>
      </c>
      <c r="I790" s="27">
        <v>12699.4280935758</v>
      </c>
      <c r="J790" s="27">
        <v>21724.832964609916</v>
      </c>
      <c r="K790" s="27">
        <v>47382.503109688871</v>
      </c>
      <c r="L790" s="27">
        <v>104660.81918679865</v>
      </c>
      <c r="M790" s="27">
        <v>208741.68543191219</v>
      </c>
    </row>
    <row r="791" spans="1:13" x14ac:dyDescent="0.75">
      <c r="A791" s="40">
        <v>789</v>
      </c>
      <c r="B791" s="27">
        <v>1082.1075432476937</v>
      </c>
      <c r="C791" s="27">
        <v>1415.7084517396579</v>
      </c>
      <c r="D791" s="27">
        <v>2389.0701466188184</v>
      </c>
      <c r="E791" s="27">
        <v>3509.5169329610653</v>
      </c>
      <c r="F791" s="27">
        <v>5429.6467486806796</v>
      </c>
      <c r="G791" s="27">
        <v>7648.2749136014318</v>
      </c>
      <c r="H791" s="27">
        <v>10957.990223065281</v>
      </c>
      <c r="I791" s="27">
        <v>15314.824198215138</v>
      </c>
      <c r="J791" s="27">
        <v>23478.281020170005</v>
      </c>
      <c r="K791" s="27">
        <v>48084.286640985956</v>
      </c>
      <c r="L791" s="27">
        <v>112443.27800056984</v>
      </c>
      <c r="M791" s="27">
        <v>231752.98481985557</v>
      </c>
    </row>
    <row r="792" spans="1:13" x14ac:dyDescent="0.75">
      <c r="A792" s="40">
        <v>790</v>
      </c>
      <c r="B792" s="27">
        <v>714.67455381627951</v>
      </c>
      <c r="C792" s="27">
        <v>1025.7587371150148</v>
      </c>
      <c r="D792" s="27">
        <v>1944.1520563262893</v>
      </c>
      <c r="E792" s="27">
        <v>2789.9395167481853</v>
      </c>
      <c r="F792" s="27">
        <v>4534.30781149822</v>
      </c>
      <c r="G792" s="27">
        <v>7617.8138456541928</v>
      </c>
      <c r="H792" s="27">
        <v>9770.8434011031641</v>
      </c>
      <c r="I792" s="27">
        <v>13664.241199310112</v>
      </c>
      <c r="J792" s="27">
        <v>21605.389815383227</v>
      </c>
      <c r="K792" s="27">
        <v>44792.147083678748</v>
      </c>
      <c r="L792" s="27">
        <v>108966.35764884812</v>
      </c>
      <c r="M792" s="27">
        <v>217425.62566948155</v>
      </c>
    </row>
    <row r="793" spans="1:13" x14ac:dyDescent="0.75">
      <c r="A793" s="40">
        <v>791</v>
      </c>
      <c r="B793" s="27">
        <v>1483.118741910861</v>
      </c>
      <c r="C793" s="27">
        <v>2312.6077470527671</v>
      </c>
      <c r="D793" s="27">
        <v>3000.9010790305474</v>
      </c>
      <c r="E793" s="27">
        <v>4257.8705614116479</v>
      </c>
      <c r="F793" s="27">
        <v>6123.5805571217206</v>
      </c>
      <c r="G793" s="27">
        <v>8905.8861829436792</v>
      </c>
      <c r="H793" s="27">
        <v>11126.201837203582</v>
      </c>
      <c r="I793" s="27">
        <v>15933.728499621328</v>
      </c>
      <c r="J793" s="27">
        <v>23939.8955788311</v>
      </c>
      <c r="K793" s="27">
        <v>49724.29527139297</v>
      </c>
      <c r="L793" s="27">
        <v>113865.30603046699</v>
      </c>
      <c r="M793" s="27">
        <v>240673.39208698721</v>
      </c>
    </row>
    <row r="794" spans="1:13" x14ac:dyDescent="0.75">
      <c r="A794" s="40">
        <v>792</v>
      </c>
      <c r="B794" s="27">
        <v>206.01079034617578</v>
      </c>
      <c r="C794" s="27">
        <v>717.50337608286645</v>
      </c>
      <c r="D794" s="27">
        <v>1400.0745100464555</v>
      </c>
      <c r="E794" s="27">
        <v>2450.2680171109241</v>
      </c>
      <c r="F794" s="27">
        <v>4019.4098398733768</v>
      </c>
      <c r="G794" s="27">
        <v>6328.402647237468</v>
      </c>
      <c r="H794" s="27">
        <v>9313.3202290228073</v>
      </c>
      <c r="I794" s="27">
        <v>13140.429867034691</v>
      </c>
      <c r="J794" s="27">
        <v>22690.95639212364</v>
      </c>
      <c r="K794" s="27">
        <v>46209.299304046435</v>
      </c>
      <c r="L794" s="27">
        <v>111950.19260684555</v>
      </c>
      <c r="M794" s="27">
        <v>218425.86757977039</v>
      </c>
    </row>
    <row r="795" spans="1:13" x14ac:dyDescent="0.75">
      <c r="A795" s="40">
        <v>793</v>
      </c>
      <c r="B795" s="27">
        <v>1039.8130134842067</v>
      </c>
      <c r="C795" s="27">
        <v>1510.6708119303657</v>
      </c>
      <c r="D795" s="27">
        <v>2605.9288657370635</v>
      </c>
      <c r="E795" s="27">
        <v>3657.8227153352345</v>
      </c>
      <c r="F795" s="27">
        <v>5621.4379245201417</v>
      </c>
      <c r="G795" s="27">
        <v>8066.2202731523139</v>
      </c>
      <c r="H795" s="27">
        <v>10412.344998315733</v>
      </c>
      <c r="I795" s="27">
        <v>13917.105881815703</v>
      </c>
      <c r="J795" s="27">
        <v>24075.717001477169</v>
      </c>
      <c r="K795" s="27">
        <v>46785.461012954838</v>
      </c>
      <c r="L795" s="27">
        <v>109838.87174593398</v>
      </c>
      <c r="M795" s="27">
        <v>227531.39424465675</v>
      </c>
    </row>
    <row r="796" spans="1:13" x14ac:dyDescent="0.75">
      <c r="A796" s="40">
        <v>794</v>
      </c>
      <c r="B796" s="27">
        <v>557.49018766674271</v>
      </c>
      <c r="C796" s="27">
        <v>1309.6645548849774</v>
      </c>
      <c r="D796" s="27">
        <v>2632.0445588112343</v>
      </c>
      <c r="E796" s="27">
        <v>3524.2604843432782</v>
      </c>
      <c r="F796" s="27">
        <v>5658.9669241262309</v>
      </c>
      <c r="G796" s="27">
        <v>7472.9755969919206</v>
      </c>
      <c r="H796" s="27">
        <v>9893.9092051189655</v>
      </c>
      <c r="I796" s="27">
        <v>14016.851558010327</v>
      </c>
      <c r="J796" s="27">
        <v>24259.201223178636</v>
      </c>
      <c r="K796" s="27">
        <v>46278.318764592608</v>
      </c>
      <c r="L796" s="27">
        <v>114504.34576492607</v>
      </c>
      <c r="M796" s="27">
        <v>230108.02882265099</v>
      </c>
    </row>
    <row r="797" spans="1:13" x14ac:dyDescent="0.75">
      <c r="A797" s="40">
        <v>795</v>
      </c>
      <c r="B797" s="27">
        <v>804.54710714099929</v>
      </c>
      <c r="C797" s="27">
        <v>1486.5540652069758</v>
      </c>
      <c r="D797" s="27">
        <v>2163.9426330713759</v>
      </c>
      <c r="E797" s="27">
        <v>3248.4956616060081</v>
      </c>
      <c r="F797" s="27">
        <v>4999.3594915318972</v>
      </c>
      <c r="G797" s="27">
        <v>8149.0627838091459</v>
      </c>
      <c r="H797" s="27">
        <v>10755.016131370838</v>
      </c>
      <c r="I797" s="27">
        <v>15009.25126129773</v>
      </c>
      <c r="J797" s="27">
        <v>23187.495818169133</v>
      </c>
      <c r="K797" s="27">
        <v>48750.475471086218</v>
      </c>
      <c r="L797" s="27">
        <v>121329.01860444213</v>
      </c>
      <c r="M797" s="27">
        <v>239883.21902873245</v>
      </c>
    </row>
    <row r="798" spans="1:13" x14ac:dyDescent="0.75">
      <c r="A798" s="40">
        <v>796</v>
      </c>
      <c r="B798" s="27">
        <v>401.61970841544098</v>
      </c>
      <c r="C798" s="27">
        <v>771.25658094821847</v>
      </c>
      <c r="D798" s="27">
        <v>1770.0332251896762</v>
      </c>
      <c r="E798" s="27">
        <v>2614.0142234182713</v>
      </c>
      <c r="F798" s="27">
        <v>4432.2529059691151</v>
      </c>
      <c r="G798" s="27">
        <v>7069.9305898810271</v>
      </c>
      <c r="H798" s="27">
        <v>9402.4422536136844</v>
      </c>
      <c r="I798" s="27">
        <v>13720.727041830527</v>
      </c>
      <c r="J798" s="27">
        <v>21884.66648468496</v>
      </c>
      <c r="K798" s="27">
        <v>44402.701472777335</v>
      </c>
      <c r="L798" s="27">
        <v>115752.69556767355</v>
      </c>
      <c r="M798" s="27">
        <v>222222.34005440181</v>
      </c>
    </row>
    <row r="799" spans="1:13" x14ac:dyDescent="0.75">
      <c r="A799" s="40">
        <v>797</v>
      </c>
      <c r="B799" s="27">
        <v>667.809817525791</v>
      </c>
      <c r="C799" s="27">
        <v>1073.3296708185517</v>
      </c>
      <c r="D799" s="27">
        <v>1577.8089033676224</v>
      </c>
      <c r="E799" s="27">
        <v>2569.3084818498319</v>
      </c>
      <c r="F799" s="27">
        <v>4175.2887027928955</v>
      </c>
      <c r="G799" s="27">
        <v>6537.4221551521041</v>
      </c>
      <c r="H799" s="27">
        <v>9380.5611226091569</v>
      </c>
      <c r="I799" s="27">
        <v>12639.094298769895</v>
      </c>
      <c r="J799" s="27">
        <v>22179.253623000754</v>
      </c>
      <c r="K799" s="27">
        <v>44334.573176372549</v>
      </c>
      <c r="L799" s="27">
        <v>104458.06880882732</v>
      </c>
      <c r="M799" s="27">
        <v>209592.51876108645</v>
      </c>
    </row>
    <row r="800" spans="1:13" x14ac:dyDescent="0.75">
      <c r="A800" s="40">
        <v>798</v>
      </c>
      <c r="B800" s="27">
        <v>1051.6189265278226</v>
      </c>
      <c r="C800" s="27">
        <v>1491.4673124691762</v>
      </c>
      <c r="D800" s="27">
        <v>2426.6506634521938</v>
      </c>
      <c r="E800" s="27">
        <v>3732.8390361247293</v>
      </c>
      <c r="F800" s="27">
        <v>6094.4275475541654</v>
      </c>
      <c r="G800" s="27">
        <v>8676.1385335011</v>
      </c>
      <c r="H800" s="27">
        <v>10982.735145819563</v>
      </c>
      <c r="I800" s="27">
        <v>14823.779433384974</v>
      </c>
      <c r="J800" s="27">
        <v>23102.295767559641</v>
      </c>
      <c r="K800" s="27">
        <v>48749.955577849483</v>
      </c>
      <c r="L800" s="27">
        <v>119048.49775561015</v>
      </c>
      <c r="M800" s="27">
        <v>240180.405699853</v>
      </c>
    </row>
    <row r="801" spans="1:13" x14ac:dyDescent="0.75">
      <c r="A801" s="40">
        <v>799</v>
      </c>
      <c r="B801" s="27">
        <v>862.01711291517131</v>
      </c>
      <c r="C801" s="27">
        <v>1341.6196026295802</v>
      </c>
      <c r="D801" s="27">
        <v>2169.9632081460149</v>
      </c>
      <c r="E801" s="27">
        <v>3186.6355375988933</v>
      </c>
      <c r="F801" s="27">
        <v>5075.4368211611582</v>
      </c>
      <c r="G801" s="27">
        <v>7076.5144531215192</v>
      </c>
      <c r="H801" s="27">
        <v>9923.9814683752338</v>
      </c>
      <c r="I801" s="27">
        <v>13030.157674636066</v>
      </c>
      <c r="J801" s="27">
        <v>22933.433257594239</v>
      </c>
      <c r="K801" s="27">
        <v>46594.438191165114</v>
      </c>
      <c r="L801" s="27">
        <v>113298.29152869165</v>
      </c>
      <c r="M801" s="27">
        <v>225492.48885603464</v>
      </c>
    </row>
    <row r="802" spans="1:13" x14ac:dyDescent="0.75">
      <c r="A802" s="40">
        <v>800</v>
      </c>
      <c r="B802" s="27">
        <v>822.11642267716525</v>
      </c>
      <c r="C802" s="27">
        <v>1300.9137694956298</v>
      </c>
      <c r="D802" s="27">
        <v>2643.0829469958699</v>
      </c>
      <c r="E802" s="27">
        <v>3985.5266855594236</v>
      </c>
      <c r="F802" s="27">
        <v>5786.0030422493001</v>
      </c>
      <c r="G802" s="27">
        <v>7758.6431755714002</v>
      </c>
      <c r="H802" s="27">
        <v>10147.260685169356</v>
      </c>
      <c r="I802" s="27">
        <v>14160.867024922874</v>
      </c>
      <c r="J802" s="27">
        <v>23399.050148706388</v>
      </c>
      <c r="K802" s="27">
        <v>46426.166945099219</v>
      </c>
      <c r="L802" s="27">
        <v>107942.89705988663</v>
      </c>
      <c r="M802" s="27">
        <v>224372.52790633327</v>
      </c>
    </row>
    <row r="803" spans="1:13" x14ac:dyDescent="0.75">
      <c r="A803" s="40">
        <v>801</v>
      </c>
      <c r="B803" s="27">
        <v>1051.430752654298</v>
      </c>
      <c r="C803" s="27">
        <v>1652.4811094683973</v>
      </c>
      <c r="D803" s="27">
        <v>2408.3294599211804</v>
      </c>
      <c r="E803" s="27">
        <v>3202.2465240392485</v>
      </c>
      <c r="F803" s="27">
        <v>4955.5869967607287</v>
      </c>
      <c r="G803" s="27">
        <v>7841.4492695077206</v>
      </c>
      <c r="H803" s="27">
        <v>10722.182040311018</v>
      </c>
      <c r="I803" s="27">
        <v>14125.7785440523</v>
      </c>
      <c r="J803" s="27">
        <v>23052.572358129313</v>
      </c>
      <c r="K803" s="27">
        <v>44552.134901371144</v>
      </c>
      <c r="L803" s="27">
        <v>109091.21308650431</v>
      </c>
      <c r="M803" s="27">
        <v>222655.40504271968</v>
      </c>
    </row>
    <row r="804" spans="1:13" x14ac:dyDescent="0.75">
      <c r="A804" s="40">
        <v>802</v>
      </c>
      <c r="B804" s="27">
        <v>931.91530438813788</v>
      </c>
      <c r="C804" s="27">
        <v>1727.0171447308676</v>
      </c>
      <c r="D804" s="27">
        <v>2610.7612740454206</v>
      </c>
      <c r="E804" s="27">
        <v>3731.5430446330429</v>
      </c>
      <c r="F804" s="27">
        <v>6143.1771866633499</v>
      </c>
      <c r="G804" s="27">
        <v>7997.0405751552898</v>
      </c>
      <c r="H804" s="27">
        <v>10427.193701044525</v>
      </c>
      <c r="I804" s="27">
        <v>14793.207391239659</v>
      </c>
      <c r="J804" s="27">
        <v>23303.14238411859</v>
      </c>
      <c r="K804" s="27">
        <v>47297.581624897139</v>
      </c>
      <c r="L804" s="27">
        <v>115735.09317272616</v>
      </c>
      <c r="M804" s="27">
        <v>234697.67280364217</v>
      </c>
    </row>
    <row r="805" spans="1:13" x14ac:dyDescent="0.75">
      <c r="A805" s="40">
        <v>803</v>
      </c>
      <c r="B805" s="27">
        <v>1250.4092371294537</v>
      </c>
      <c r="C805" s="27">
        <v>1909.2973530171148</v>
      </c>
      <c r="D805" s="27">
        <v>2873.6229037555604</v>
      </c>
      <c r="E805" s="27">
        <v>3951.540200604868</v>
      </c>
      <c r="F805" s="27">
        <v>6099.4231638585916</v>
      </c>
      <c r="G805" s="27">
        <v>8304.9976948739495</v>
      </c>
      <c r="H805" s="27">
        <v>11323.335292931035</v>
      </c>
      <c r="I805" s="27">
        <v>14824.250751036379</v>
      </c>
      <c r="J805" s="27">
        <v>24647.212192068982</v>
      </c>
      <c r="K805" s="27">
        <v>48714.633545839766</v>
      </c>
      <c r="L805" s="27">
        <v>104426.98234842849</v>
      </c>
      <c r="M805" s="27">
        <v>228325.70468354417</v>
      </c>
    </row>
    <row r="806" spans="1:13" x14ac:dyDescent="0.75">
      <c r="A806" s="40">
        <v>804</v>
      </c>
      <c r="B806" s="27">
        <v>814.18717180205567</v>
      </c>
      <c r="C806" s="27">
        <v>1328.311100636507</v>
      </c>
      <c r="D806" s="27">
        <v>2017.0446269141976</v>
      </c>
      <c r="E806" s="27">
        <v>3248.1111100442067</v>
      </c>
      <c r="F806" s="27">
        <v>4767.8895241273276</v>
      </c>
      <c r="G806" s="27">
        <v>6800.0648974628712</v>
      </c>
      <c r="H806" s="27">
        <v>9569.0304188735317</v>
      </c>
      <c r="I806" s="27">
        <v>13185.670035750547</v>
      </c>
      <c r="J806" s="27">
        <v>21608.823081726063</v>
      </c>
      <c r="K806" s="27">
        <v>44703.673572683299</v>
      </c>
      <c r="L806" s="27">
        <v>108582.5355353443</v>
      </c>
      <c r="M806" s="27">
        <v>216625.34107536491</v>
      </c>
    </row>
    <row r="807" spans="1:13" x14ac:dyDescent="0.75">
      <c r="A807" s="40">
        <v>805</v>
      </c>
      <c r="B807" s="27">
        <v>486.12496239846223</v>
      </c>
      <c r="C807" s="27">
        <v>753.14534694531176</v>
      </c>
      <c r="D807" s="27">
        <v>1621.409201568953</v>
      </c>
      <c r="E807" s="27">
        <v>2879.535847319421</v>
      </c>
      <c r="F807" s="27">
        <v>4517.5389826463361</v>
      </c>
      <c r="G807" s="27">
        <v>6634.8442341402988</v>
      </c>
      <c r="H807" s="27">
        <v>9840.2361177692364</v>
      </c>
      <c r="I807" s="27">
        <v>13860.192826046798</v>
      </c>
      <c r="J807" s="27">
        <v>21964.329375509144</v>
      </c>
      <c r="K807" s="27">
        <v>46180.994446463999</v>
      </c>
      <c r="L807" s="27">
        <v>108127.33516793369</v>
      </c>
      <c r="M807" s="27">
        <v>216865.68650874164</v>
      </c>
    </row>
    <row r="808" spans="1:13" x14ac:dyDescent="0.75">
      <c r="A808" s="40">
        <v>806</v>
      </c>
      <c r="B808" s="27">
        <v>1070.9111311305169</v>
      </c>
      <c r="C808" s="27">
        <v>1671.7642887834227</v>
      </c>
      <c r="D808" s="27">
        <v>2771.0844780295447</v>
      </c>
      <c r="E808" s="27">
        <v>3839.2203056840372</v>
      </c>
      <c r="F808" s="27">
        <v>5642.299960326025</v>
      </c>
      <c r="G808" s="27">
        <v>8727.8632634016976</v>
      </c>
      <c r="H808" s="27">
        <v>11407.122795131043</v>
      </c>
      <c r="I808" s="27">
        <v>15958.974664790308</v>
      </c>
      <c r="J808" s="27">
        <v>25612.355872996282</v>
      </c>
      <c r="K808" s="27">
        <v>49327.590061055933</v>
      </c>
      <c r="L808" s="27">
        <v>114712.14792701439</v>
      </c>
      <c r="M808" s="27">
        <v>240741.33474834322</v>
      </c>
    </row>
    <row r="809" spans="1:13" x14ac:dyDescent="0.75">
      <c r="A809" s="40">
        <v>807</v>
      </c>
      <c r="B809" s="27">
        <v>699.37901625293307</v>
      </c>
      <c r="C809" s="27">
        <v>1053.7335222124966</v>
      </c>
      <c r="D809" s="27">
        <v>1815.0010756170814</v>
      </c>
      <c r="E809" s="27">
        <v>3124.0337043421023</v>
      </c>
      <c r="F809" s="27">
        <v>4609.7688592316263</v>
      </c>
      <c r="G809" s="27">
        <v>7119.0010468175169</v>
      </c>
      <c r="H809" s="27">
        <v>10198.066119848372</v>
      </c>
      <c r="I809" s="27">
        <v>13566.377750641463</v>
      </c>
      <c r="J809" s="27">
        <v>22285.50225775312</v>
      </c>
      <c r="K809" s="27">
        <v>46406.921063845977</v>
      </c>
      <c r="L809" s="27">
        <v>102532.47711981917</v>
      </c>
      <c r="M809" s="27">
        <v>213410.26153638185</v>
      </c>
    </row>
    <row r="810" spans="1:13" x14ac:dyDescent="0.75">
      <c r="A810" s="40">
        <v>808</v>
      </c>
      <c r="B810" s="27">
        <v>760.12979778928275</v>
      </c>
      <c r="C810" s="27">
        <v>1117.3348571787792</v>
      </c>
      <c r="D810" s="27">
        <v>1933.2441388603766</v>
      </c>
      <c r="E810" s="27">
        <v>3353.6921029769728</v>
      </c>
      <c r="F810" s="27">
        <v>5090.848455216299</v>
      </c>
      <c r="G810" s="27">
        <v>7035.7732532832888</v>
      </c>
      <c r="H810" s="27">
        <v>9453.2695146980404</v>
      </c>
      <c r="I810" s="27">
        <v>13517.468478775278</v>
      </c>
      <c r="J810" s="27">
        <v>23198.116303281975</v>
      </c>
      <c r="K810" s="27">
        <v>48595.706272095413</v>
      </c>
      <c r="L810" s="27">
        <v>114301.90294449771</v>
      </c>
      <c r="M810" s="27">
        <v>228357.48611865341</v>
      </c>
    </row>
    <row r="811" spans="1:13" x14ac:dyDescent="0.75">
      <c r="A811" s="40">
        <v>809</v>
      </c>
      <c r="B811" s="27">
        <v>835.22821593009576</v>
      </c>
      <c r="C811" s="27">
        <v>1454.1779672261764</v>
      </c>
      <c r="D811" s="27">
        <v>2381.7921030652942</v>
      </c>
      <c r="E811" s="27">
        <v>3378.4872762624582</v>
      </c>
      <c r="F811" s="27">
        <v>5412.3895713120874</v>
      </c>
      <c r="G811" s="27">
        <v>7875.2650212640001</v>
      </c>
      <c r="H811" s="27">
        <v>9694.6102883803396</v>
      </c>
      <c r="I811" s="27">
        <v>14678.97056903872</v>
      </c>
      <c r="J811" s="27">
        <v>22296.429546519212</v>
      </c>
      <c r="K811" s="27">
        <v>44564.029622240909</v>
      </c>
      <c r="L811" s="27">
        <v>112155.00372804736</v>
      </c>
      <c r="M811" s="27">
        <v>224726.38390928664</v>
      </c>
    </row>
    <row r="812" spans="1:13" x14ac:dyDescent="0.75">
      <c r="A812" s="40">
        <v>810</v>
      </c>
      <c r="B812" s="27">
        <v>752.58559635037091</v>
      </c>
      <c r="C812" s="27">
        <v>1347.1752888228075</v>
      </c>
      <c r="D812" s="27">
        <v>2403.0023705057392</v>
      </c>
      <c r="E812" s="27">
        <v>3158.3282130149164</v>
      </c>
      <c r="F812" s="27">
        <v>5582.6412445365568</v>
      </c>
      <c r="G812" s="27">
        <v>7133.9406527850078</v>
      </c>
      <c r="H812" s="27">
        <v>10492.184883848153</v>
      </c>
      <c r="I812" s="27">
        <v>14178.371056605916</v>
      </c>
      <c r="J812" s="27">
        <v>23424.07324889327</v>
      </c>
      <c r="K812" s="27">
        <v>47163.292757117146</v>
      </c>
      <c r="L812" s="27">
        <v>111575.84904019434</v>
      </c>
      <c r="M812" s="27">
        <v>227211.44435267424</v>
      </c>
    </row>
    <row r="813" spans="1:13" x14ac:dyDescent="0.75">
      <c r="A813" s="40">
        <v>811</v>
      </c>
      <c r="B813" s="27">
        <v>743.75213733043347</v>
      </c>
      <c r="C813" s="27">
        <v>1276.3435134292231</v>
      </c>
      <c r="D813" s="27">
        <v>2278.501296010174</v>
      </c>
      <c r="E813" s="27">
        <v>3348.363071740212</v>
      </c>
      <c r="F813" s="27">
        <v>5606.515357073833</v>
      </c>
      <c r="G813" s="27">
        <v>7568.9827705113858</v>
      </c>
      <c r="H813" s="27">
        <v>10259.761175881198</v>
      </c>
      <c r="I813" s="27">
        <v>13702.903087829269</v>
      </c>
      <c r="J813" s="27">
        <v>22431.103081237481</v>
      </c>
      <c r="K813" s="27">
        <v>46083.226484724175</v>
      </c>
      <c r="L813" s="27">
        <v>104985.97355131924</v>
      </c>
      <c r="M813" s="27">
        <v>218285.42552708663</v>
      </c>
    </row>
    <row r="814" spans="1:13" x14ac:dyDescent="0.75">
      <c r="A814" s="40">
        <v>812</v>
      </c>
      <c r="B814" s="27">
        <v>916.41183815755358</v>
      </c>
      <c r="C814" s="27">
        <v>1550.6385966994712</v>
      </c>
      <c r="D814" s="27">
        <v>2724.4882287234504</v>
      </c>
      <c r="E814" s="27">
        <v>3896.284899118662</v>
      </c>
      <c r="F814" s="27">
        <v>5872.4243108675291</v>
      </c>
      <c r="G814" s="27">
        <v>8230.4666779253748</v>
      </c>
      <c r="H814" s="27">
        <v>10735.819604360819</v>
      </c>
      <c r="I814" s="27">
        <v>14461.308441652844</v>
      </c>
      <c r="J814" s="27">
        <v>23240.736517228797</v>
      </c>
      <c r="K814" s="27">
        <v>47640.495901765884</v>
      </c>
      <c r="L814" s="27">
        <v>113948.15270119102</v>
      </c>
      <c r="M814" s="27">
        <v>233217.22771769139</v>
      </c>
    </row>
    <row r="815" spans="1:13" x14ac:dyDescent="0.75">
      <c r="A815" s="40">
        <v>813</v>
      </c>
      <c r="B815" s="27">
        <v>435.68033916891727</v>
      </c>
      <c r="C815" s="27">
        <v>924.52335216946085</v>
      </c>
      <c r="D815" s="27">
        <v>1941.4266570617328</v>
      </c>
      <c r="E815" s="27">
        <v>3196.3043682778516</v>
      </c>
      <c r="F815" s="27">
        <v>4825.2756147796172</v>
      </c>
      <c r="G815" s="27">
        <v>7314.7424593130127</v>
      </c>
      <c r="H815" s="27">
        <v>9658.8751763187611</v>
      </c>
      <c r="I815" s="27">
        <v>13531.213606405916</v>
      </c>
      <c r="J815" s="27">
        <v>24213.121615940778</v>
      </c>
      <c r="K815" s="27">
        <v>48772.673090324883</v>
      </c>
      <c r="L815" s="27">
        <v>113423.39457707765</v>
      </c>
      <c r="M815" s="27">
        <v>228237.23085683858</v>
      </c>
    </row>
    <row r="816" spans="1:13" x14ac:dyDescent="0.75">
      <c r="A816" s="40">
        <v>814</v>
      </c>
      <c r="B816" s="27">
        <v>1032.3179362770461</v>
      </c>
      <c r="C816" s="27">
        <v>1661.7077200190106</v>
      </c>
      <c r="D816" s="27">
        <v>2313.3336535496783</v>
      </c>
      <c r="E816" s="27">
        <v>3600.8569077578722</v>
      </c>
      <c r="F816" s="27">
        <v>5720.6885402907501</v>
      </c>
      <c r="G816" s="27">
        <v>8273.9657374232193</v>
      </c>
      <c r="H816" s="27">
        <v>10942.855181597901</v>
      </c>
      <c r="I816" s="27">
        <v>14624.808533930453</v>
      </c>
      <c r="J816" s="27">
        <v>22900.190047977871</v>
      </c>
      <c r="K816" s="27">
        <v>47959.717025071557</v>
      </c>
      <c r="L816" s="27">
        <v>111591.82906583339</v>
      </c>
      <c r="M816" s="27">
        <v>230622.27034972876</v>
      </c>
    </row>
    <row r="817" spans="1:13" x14ac:dyDescent="0.75">
      <c r="A817" s="40">
        <v>815</v>
      </c>
      <c r="B817" s="27">
        <v>952.44020512375573</v>
      </c>
      <c r="C817" s="27">
        <v>1100.5459025916934</v>
      </c>
      <c r="D817" s="27">
        <v>2154.1411154066591</v>
      </c>
      <c r="E817" s="27">
        <v>2942.6083148975304</v>
      </c>
      <c r="F817" s="27">
        <v>4979.6577150379017</v>
      </c>
      <c r="G817" s="27">
        <v>7225.6277392877091</v>
      </c>
      <c r="H817" s="27">
        <v>10318.755083008233</v>
      </c>
      <c r="I817" s="27">
        <v>14332.84974688357</v>
      </c>
      <c r="J817" s="27">
        <v>23204.498276751008</v>
      </c>
      <c r="K817" s="27">
        <v>44581.890232052465</v>
      </c>
      <c r="L817" s="27">
        <v>108222.49841421368</v>
      </c>
      <c r="M817" s="27">
        <v>220015.51274525421</v>
      </c>
    </row>
    <row r="818" spans="1:13" x14ac:dyDescent="0.75">
      <c r="A818" s="40">
        <v>816</v>
      </c>
      <c r="B818" s="27">
        <v>680.37263695418369</v>
      </c>
      <c r="C818" s="27">
        <v>1506.7840919506707</v>
      </c>
      <c r="D818" s="27">
        <v>2726.0486971163482</v>
      </c>
      <c r="E818" s="27">
        <v>4123.0006334098725</v>
      </c>
      <c r="F818" s="27">
        <v>6106.9493510675384</v>
      </c>
      <c r="G818" s="27">
        <v>8516.4031366014387</v>
      </c>
      <c r="H818" s="27">
        <v>11345.548155364726</v>
      </c>
      <c r="I818" s="27">
        <v>14899.179891110543</v>
      </c>
      <c r="J818" s="27">
        <v>23740.327104706608</v>
      </c>
      <c r="K818" s="27">
        <v>49021.931981053116</v>
      </c>
      <c r="L818" s="27">
        <v>112792.15063239005</v>
      </c>
      <c r="M818" s="27">
        <v>235458.6963117251</v>
      </c>
    </row>
    <row r="819" spans="1:13" x14ac:dyDescent="0.75">
      <c r="A819" s="40">
        <v>817</v>
      </c>
      <c r="B819" s="27">
        <v>1297.7618594617088</v>
      </c>
      <c r="C819" s="27">
        <v>1903.9245450681483</v>
      </c>
      <c r="D819" s="27">
        <v>2823.0699681045371</v>
      </c>
      <c r="E819" s="27">
        <v>4246.1073310912325</v>
      </c>
      <c r="F819" s="27">
        <v>6229.936082778775</v>
      </c>
      <c r="G819" s="27">
        <v>8739.788458745461</v>
      </c>
      <c r="H819" s="27">
        <v>11095.766529715198</v>
      </c>
      <c r="I819" s="27">
        <v>15363.269131462934</v>
      </c>
      <c r="J819" s="27">
        <v>24966.411674248855</v>
      </c>
      <c r="K819" s="27">
        <v>48442.279746730695</v>
      </c>
      <c r="L819" s="27">
        <v>112624.32744906891</v>
      </c>
      <c r="M819" s="27">
        <v>237732.64277647645</v>
      </c>
    </row>
    <row r="820" spans="1:13" x14ac:dyDescent="0.75">
      <c r="A820" s="40">
        <v>818</v>
      </c>
      <c r="B820" s="27">
        <v>625.88544987449131</v>
      </c>
      <c r="C820" s="27">
        <v>1181.856912054267</v>
      </c>
      <c r="D820" s="27">
        <v>2063.0075191815995</v>
      </c>
      <c r="E820" s="27">
        <v>2996.7209413515229</v>
      </c>
      <c r="F820" s="27">
        <v>4898.3278750358149</v>
      </c>
      <c r="G820" s="27">
        <v>7033.7496874858625</v>
      </c>
      <c r="H820" s="27">
        <v>9369.160054136737</v>
      </c>
      <c r="I820" s="27">
        <v>13635.2046865304</v>
      </c>
      <c r="J820" s="27">
        <v>21720.503612253873</v>
      </c>
      <c r="K820" s="27">
        <v>42055.343210412248</v>
      </c>
      <c r="L820" s="27">
        <v>106695.68889888105</v>
      </c>
      <c r="M820" s="27">
        <v>212275.44884719787</v>
      </c>
    </row>
    <row r="821" spans="1:13" x14ac:dyDescent="0.75">
      <c r="A821" s="40">
        <v>819</v>
      </c>
      <c r="B821" s="27">
        <v>1267.5488722449663</v>
      </c>
      <c r="C821" s="27">
        <v>1834.0075720285531</v>
      </c>
      <c r="D821" s="27">
        <v>2991.9547088332038</v>
      </c>
      <c r="E821" s="27">
        <v>4079.3002023077715</v>
      </c>
      <c r="F821" s="27">
        <v>6077.8482276987779</v>
      </c>
      <c r="G821" s="27">
        <v>8212.203085749672</v>
      </c>
      <c r="H821" s="27">
        <v>11743.410862844932</v>
      </c>
      <c r="I821" s="27">
        <v>16523.751277645162</v>
      </c>
      <c r="J821" s="27">
        <v>24547.448185844769</v>
      </c>
      <c r="K821" s="27">
        <v>46403.905260018568</v>
      </c>
      <c r="L821" s="27">
        <v>112027.25157716498</v>
      </c>
      <c r="M821" s="27">
        <v>235708.62983238135</v>
      </c>
    </row>
    <row r="822" spans="1:13" x14ac:dyDescent="0.75">
      <c r="A822" s="40">
        <v>820</v>
      </c>
      <c r="B822" s="27">
        <v>693.56567080595414</v>
      </c>
      <c r="C822" s="27">
        <v>1405.162175290694</v>
      </c>
      <c r="D822" s="27">
        <v>2180.3587057309196</v>
      </c>
      <c r="E822" s="27">
        <v>3123.8197893915058</v>
      </c>
      <c r="F822" s="27">
        <v>5284.7561974301934</v>
      </c>
      <c r="G822" s="27">
        <v>7364.6278617280477</v>
      </c>
      <c r="H822" s="27">
        <v>10638.891778082441</v>
      </c>
      <c r="I822" s="27">
        <v>14543.351220366749</v>
      </c>
      <c r="J822" s="27">
        <v>22169.670424584256</v>
      </c>
      <c r="K822" s="27">
        <v>45142.404449070076</v>
      </c>
      <c r="L822" s="27">
        <v>108648.66336982505</v>
      </c>
      <c r="M822" s="27">
        <v>221195.27164230589</v>
      </c>
    </row>
    <row r="823" spans="1:13" x14ac:dyDescent="0.75">
      <c r="A823" s="40">
        <v>821</v>
      </c>
      <c r="B823" s="27">
        <v>1034.3201634803991</v>
      </c>
      <c r="C823" s="27">
        <v>1660.8559733965812</v>
      </c>
      <c r="D823" s="27">
        <v>2548.913435238268</v>
      </c>
      <c r="E823" s="27">
        <v>3666.7480849279236</v>
      </c>
      <c r="F823" s="27">
        <v>5596.0841453604808</v>
      </c>
      <c r="G823" s="27">
        <v>7631.2410810205038</v>
      </c>
      <c r="H823" s="27">
        <v>10111.604539313252</v>
      </c>
      <c r="I823" s="27">
        <v>14259.044610194978</v>
      </c>
      <c r="J823" s="27">
        <v>22927.13610556905</v>
      </c>
      <c r="K823" s="27">
        <v>45977.257774067722</v>
      </c>
      <c r="L823" s="27">
        <v>115736.85660459574</v>
      </c>
      <c r="M823" s="27">
        <v>231150.06251716492</v>
      </c>
    </row>
    <row r="824" spans="1:13" x14ac:dyDescent="0.75">
      <c r="A824" s="40">
        <v>822</v>
      </c>
      <c r="B824" s="27">
        <v>735.91601066672592</v>
      </c>
      <c r="C824" s="27">
        <v>1539.8027519610332</v>
      </c>
      <c r="D824" s="27">
        <v>2401.1375200544862</v>
      </c>
      <c r="E824" s="27">
        <v>3306.1574043008877</v>
      </c>
      <c r="F824" s="27">
        <v>5113.4792941852938</v>
      </c>
      <c r="G824" s="27">
        <v>7360.1118709168804</v>
      </c>
      <c r="H824" s="27">
        <v>10512.198755468387</v>
      </c>
      <c r="I824" s="27">
        <v>13952.25488320936</v>
      </c>
      <c r="J824" s="27">
        <v>23484.698317008253</v>
      </c>
      <c r="K824" s="27">
        <v>48469.244762123417</v>
      </c>
      <c r="L824" s="27">
        <v>111970.49371619115</v>
      </c>
      <c r="M824" s="27">
        <v>228845.49528608588</v>
      </c>
    </row>
    <row r="825" spans="1:13" x14ac:dyDescent="0.75">
      <c r="A825" s="40">
        <v>823</v>
      </c>
      <c r="B825" s="27">
        <v>684.98101927073731</v>
      </c>
      <c r="C825" s="27">
        <v>953.8358333746728</v>
      </c>
      <c r="D825" s="27">
        <v>1954.8561712119263</v>
      </c>
      <c r="E825" s="27">
        <v>2714.8614145940228</v>
      </c>
      <c r="F825" s="27">
        <v>4564.8533637023938</v>
      </c>
      <c r="G825" s="27">
        <v>6530.5546274031803</v>
      </c>
      <c r="H825" s="27">
        <v>8939.3255874777824</v>
      </c>
      <c r="I825" s="27">
        <v>13543.214084260471</v>
      </c>
      <c r="J825" s="27">
        <v>21807.778145704302</v>
      </c>
      <c r="K825" s="27">
        <v>43174.2061203349</v>
      </c>
      <c r="L825" s="27">
        <v>116448.64149440693</v>
      </c>
      <c r="M825" s="27">
        <v>221317.10786174133</v>
      </c>
    </row>
    <row r="826" spans="1:13" x14ac:dyDescent="0.75">
      <c r="A826" s="40">
        <v>824</v>
      </c>
      <c r="B826" s="27">
        <v>1008.1106048905931</v>
      </c>
      <c r="C826" s="27">
        <v>1717.7086408462637</v>
      </c>
      <c r="D826" s="27">
        <v>2710.5721736472333</v>
      </c>
      <c r="E826" s="27">
        <v>4392.4040572317317</v>
      </c>
      <c r="F826" s="27">
        <v>6080.3122494396375</v>
      </c>
      <c r="G826" s="27">
        <v>9111.3949486755591</v>
      </c>
      <c r="H826" s="27">
        <v>11334.984321157972</v>
      </c>
      <c r="I826" s="27">
        <v>15598.078461675352</v>
      </c>
      <c r="J826" s="27">
        <v>25512.643594522742</v>
      </c>
      <c r="K826" s="27">
        <v>47898.17585970246</v>
      </c>
      <c r="L826" s="27">
        <v>114714.37258213939</v>
      </c>
      <c r="M826" s="27">
        <v>240078.75749392895</v>
      </c>
    </row>
    <row r="827" spans="1:13" x14ac:dyDescent="0.75">
      <c r="A827" s="40">
        <v>825</v>
      </c>
      <c r="B827" s="27">
        <v>1162.4858051036863</v>
      </c>
      <c r="C827" s="27">
        <v>1682.612380741979</v>
      </c>
      <c r="D827" s="27">
        <v>2722.6570697905408</v>
      </c>
      <c r="E827" s="27">
        <v>3995.7909792764694</v>
      </c>
      <c r="F827" s="27">
        <v>5851.4402536122943</v>
      </c>
      <c r="G827" s="27">
        <v>7795.0369569862669</v>
      </c>
      <c r="H827" s="27">
        <v>9986.1065027680888</v>
      </c>
      <c r="I827" s="27">
        <v>14110.154332114966</v>
      </c>
      <c r="J827" s="27">
        <v>22215.518355606764</v>
      </c>
      <c r="K827" s="27">
        <v>44961.791877968994</v>
      </c>
      <c r="L827" s="27">
        <v>111951.28222317077</v>
      </c>
      <c r="M827" s="27">
        <v>226434.87673714082</v>
      </c>
    </row>
    <row r="828" spans="1:13" x14ac:dyDescent="0.75">
      <c r="A828" s="40">
        <v>826</v>
      </c>
      <c r="B828" s="27">
        <v>1641.8604772192339</v>
      </c>
      <c r="C828" s="27">
        <v>2011.0039539362479</v>
      </c>
      <c r="D828" s="27">
        <v>2910.0523541222065</v>
      </c>
      <c r="E828" s="27">
        <v>3999.2521503231692</v>
      </c>
      <c r="F828" s="27">
        <v>5947.7558551464172</v>
      </c>
      <c r="G828" s="27">
        <v>8456.4162002496014</v>
      </c>
      <c r="H828" s="27">
        <v>10577.766546351573</v>
      </c>
      <c r="I828" s="27">
        <v>14877.690069961827</v>
      </c>
      <c r="J828" s="27">
        <v>24727.577211201438</v>
      </c>
      <c r="K828" s="27">
        <v>48771.132983648044</v>
      </c>
      <c r="L828" s="27">
        <v>113987.27387430856</v>
      </c>
      <c r="M828" s="27">
        <v>237907.78167646832</v>
      </c>
    </row>
    <row r="829" spans="1:13" x14ac:dyDescent="0.75">
      <c r="A829" s="40">
        <v>827</v>
      </c>
      <c r="B829" s="27">
        <v>687.65048710037081</v>
      </c>
      <c r="C829" s="27">
        <v>1149.0568631133938</v>
      </c>
      <c r="D829" s="27">
        <v>2313.5576912798715</v>
      </c>
      <c r="E829" s="27">
        <v>3458.002067505382</v>
      </c>
      <c r="F829" s="27">
        <v>5246.2459366898402</v>
      </c>
      <c r="G829" s="27">
        <v>7161.407773330895</v>
      </c>
      <c r="H829" s="27">
        <v>9716.9602283881977</v>
      </c>
      <c r="I829" s="27">
        <v>14663.668237561302</v>
      </c>
      <c r="J829" s="27">
        <v>21964.467347005761</v>
      </c>
      <c r="K829" s="27">
        <v>43776.801278824787</v>
      </c>
      <c r="L829" s="27">
        <v>110283.835543414</v>
      </c>
      <c r="M829" s="27">
        <v>220421.65345421381</v>
      </c>
    </row>
    <row r="830" spans="1:13" x14ac:dyDescent="0.75">
      <c r="A830" s="40">
        <v>828</v>
      </c>
      <c r="B830" s="27">
        <v>659.71062614409311</v>
      </c>
      <c r="C830" s="27">
        <v>1014.0133636183018</v>
      </c>
      <c r="D830" s="27">
        <v>1650.5596998623951</v>
      </c>
      <c r="E830" s="27">
        <v>2812.8167530139763</v>
      </c>
      <c r="F830" s="27">
        <v>4504.2576895054954</v>
      </c>
      <c r="G830" s="27">
        <v>6523.4235350678209</v>
      </c>
      <c r="H830" s="27">
        <v>9271.3851880028815</v>
      </c>
      <c r="I830" s="27">
        <v>13265.326971502654</v>
      </c>
      <c r="J830" s="27">
        <v>23518.352988337399</v>
      </c>
      <c r="K830" s="27">
        <v>44781.337746772246</v>
      </c>
      <c r="L830" s="27">
        <v>116673.81814509442</v>
      </c>
      <c r="M830" s="27">
        <v>224675.00270692169</v>
      </c>
    </row>
    <row r="831" spans="1:13" x14ac:dyDescent="0.75">
      <c r="A831" s="40">
        <v>829</v>
      </c>
      <c r="B831" s="27">
        <v>761.62186653497338</v>
      </c>
      <c r="C831" s="27">
        <v>1319.1473104110046</v>
      </c>
      <c r="D831" s="27">
        <v>1953.6145607266808</v>
      </c>
      <c r="E831" s="27">
        <v>2955.0241412124305</v>
      </c>
      <c r="F831" s="27">
        <v>5265.7990688677819</v>
      </c>
      <c r="G831" s="27">
        <v>7283.1229036318837</v>
      </c>
      <c r="H831" s="27">
        <v>9878.4632349016028</v>
      </c>
      <c r="I831" s="27">
        <v>13925.678573476063</v>
      </c>
      <c r="J831" s="27">
        <v>22211.689142662013</v>
      </c>
      <c r="K831" s="27">
        <v>45976.862641024039</v>
      </c>
      <c r="L831" s="27">
        <v>107535.65783874174</v>
      </c>
      <c r="M831" s="27">
        <v>219066.6812821902</v>
      </c>
    </row>
    <row r="832" spans="1:13" x14ac:dyDescent="0.75">
      <c r="A832" s="40">
        <v>830</v>
      </c>
      <c r="B832" s="27">
        <v>725.59384763422713</v>
      </c>
      <c r="C832" s="27">
        <v>1266.7367896863871</v>
      </c>
      <c r="D832" s="27">
        <v>2053.6056358801579</v>
      </c>
      <c r="E832" s="27">
        <v>3013.0880826510984</v>
      </c>
      <c r="F832" s="27">
        <v>4854.1434228577709</v>
      </c>
      <c r="G832" s="27">
        <v>7050.9567400367814</v>
      </c>
      <c r="H832" s="27">
        <v>9538.3924482199509</v>
      </c>
      <c r="I832" s="27">
        <v>13365.433508044211</v>
      </c>
      <c r="J832" s="27">
        <v>21708.199187187303</v>
      </c>
      <c r="K832" s="27">
        <v>46543.375528856413</v>
      </c>
      <c r="L832" s="27">
        <v>113689.9998320677</v>
      </c>
      <c r="M832" s="27">
        <v>223809.525023122</v>
      </c>
    </row>
    <row r="833" spans="1:13" x14ac:dyDescent="0.75">
      <c r="A833" s="40">
        <v>831</v>
      </c>
      <c r="B833" s="27">
        <v>682.19930074921285</v>
      </c>
      <c r="C833" s="27">
        <v>949.99870558384282</v>
      </c>
      <c r="D833" s="27">
        <v>1541.8596803842956</v>
      </c>
      <c r="E833" s="27">
        <v>2625.3656644202711</v>
      </c>
      <c r="F833" s="27">
        <v>4572.8002793136548</v>
      </c>
      <c r="G833" s="27">
        <v>7043.3117761815956</v>
      </c>
      <c r="H833" s="27">
        <v>10431.450618142408</v>
      </c>
      <c r="I833" s="27">
        <v>13157.160312797554</v>
      </c>
      <c r="J833" s="27">
        <v>21407.925762680941</v>
      </c>
      <c r="K833" s="27">
        <v>43605.3690732049</v>
      </c>
      <c r="L833" s="27">
        <v>116196.18359321813</v>
      </c>
      <c r="M833" s="27">
        <v>222213.6247666768</v>
      </c>
    </row>
    <row r="834" spans="1:13" x14ac:dyDescent="0.75">
      <c r="A834" s="40">
        <v>832</v>
      </c>
      <c r="B834" s="27">
        <v>941.51346632535569</v>
      </c>
      <c r="C834" s="27">
        <v>1542.211931803904</v>
      </c>
      <c r="D834" s="27">
        <v>2212.4851943789545</v>
      </c>
      <c r="E834" s="27">
        <v>3233.4045096631889</v>
      </c>
      <c r="F834" s="27">
        <v>5084.7925784479303</v>
      </c>
      <c r="G834" s="27">
        <v>7710.5376527430199</v>
      </c>
      <c r="H834" s="27">
        <v>10253.378837508353</v>
      </c>
      <c r="I834" s="27">
        <v>13919.659316914796</v>
      </c>
      <c r="J834" s="27">
        <v>22754.470225019366</v>
      </c>
      <c r="K834" s="27">
        <v>45921.112156177522</v>
      </c>
      <c r="L834" s="27">
        <v>114194.56807457647</v>
      </c>
      <c r="M834" s="27">
        <v>227768.13394355885</v>
      </c>
    </row>
    <row r="835" spans="1:13" x14ac:dyDescent="0.75">
      <c r="A835" s="40">
        <v>833</v>
      </c>
      <c r="B835" s="27">
        <v>461.7713826418767</v>
      </c>
      <c r="C835" s="27">
        <v>785.24271910144307</v>
      </c>
      <c r="D835" s="27">
        <v>1329.6302825063613</v>
      </c>
      <c r="E835" s="27">
        <v>2499.898316307721</v>
      </c>
      <c r="F835" s="27">
        <v>4278.3103507624764</v>
      </c>
      <c r="G835" s="27">
        <v>6738.6208258198749</v>
      </c>
      <c r="H835" s="27">
        <v>9693.6322005114926</v>
      </c>
      <c r="I835" s="27">
        <v>13455.067425239016</v>
      </c>
      <c r="J835" s="27">
        <v>21260.23385695208</v>
      </c>
      <c r="K835" s="27">
        <v>43182.54001278244</v>
      </c>
      <c r="L835" s="27">
        <v>109390.28891836657</v>
      </c>
      <c r="M835" s="27">
        <v>213075.23629099136</v>
      </c>
    </row>
    <row r="836" spans="1:13" x14ac:dyDescent="0.75">
      <c r="A836" s="40">
        <v>834</v>
      </c>
      <c r="B836" s="27">
        <v>876.23717241357372</v>
      </c>
      <c r="C836" s="27">
        <v>1226.0690457504534</v>
      </c>
      <c r="D836" s="27">
        <v>2153.706134193053</v>
      </c>
      <c r="E836" s="27">
        <v>3621.9377439677482</v>
      </c>
      <c r="F836" s="27">
        <v>5615.4079356277653</v>
      </c>
      <c r="G836" s="27">
        <v>7874.4306907445134</v>
      </c>
      <c r="H836" s="27">
        <v>10002.273803134594</v>
      </c>
      <c r="I836" s="27">
        <v>14637.005786697919</v>
      </c>
      <c r="J836" s="27">
        <v>23452.751439970962</v>
      </c>
      <c r="K836" s="27">
        <v>48703.264639861736</v>
      </c>
      <c r="L836" s="27">
        <v>109202.64130898583</v>
      </c>
      <c r="M836" s="27">
        <v>227365.72570134816</v>
      </c>
    </row>
    <row r="837" spans="1:13" x14ac:dyDescent="0.75">
      <c r="A837" s="40">
        <v>835</v>
      </c>
      <c r="B837" s="27">
        <v>1244.4255538837024</v>
      </c>
      <c r="C837" s="27">
        <v>1823.1066623520019</v>
      </c>
      <c r="D837" s="27">
        <v>2530.3340775945544</v>
      </c>
      <c r="E837" s="27">
        <v>3867.0780415722256</v>
      </c>
      <c r="F837" s="27">
        <v>5900.1818365637737</v>
      </c>
      <c r="G837" s="27">
        <v>8536.6767418943346</v>
      </c>
      <c r="H837" s="27">
        <v>11267.599587713601</v>
      </c>
      <c r="I837" s="27">
        <v>15676.559095589284</v>
      </c>
      <c r="J837" s="27">
        <v>25839.335721322728</v>
      </c>
      <c r="K837" s="27">
        <v>46347.708288881448</v>
      </c>
      <c r="L837" s="27">
        <v>106108.08859152891</v>
      </c>
      <c r="M837" s="27">
        <v>229141.09419889655</v>
      </c>
    </row>
    <row r="838" spans="1:13" x14ac:dyDescent="0.75">
      <c r="A838" s="40">
        <v>836</v>
      </c>
      <c r="B838" s="27">
        <v>548.66824724146863</v>
      </c>
      <c r="C838" s="27">
        <v>828.03608169760264</v>
      </c>
      <c r="D838" s="27">
        <v>1568.5114592714526</v>
      </c>
      <c r="E838" s="27">
        <v>2591.2825639907387</v>
      </c>
      <c r="F838" s="27">
        <v>4090.8943031926319</v>
      </c>
      <c r="G838" s="27">
        <v>6346.6784756119014</v>
      </c>
      <c r="H838" s="27">
        <v>8787.1897359583672</v>
      </c>
      <c r="I838" s="27">
        <v>13097.789094604101</v>
      </c>
      <c r="J838" s="27">
        <v>21211.268150275297</v>
      </c>
      <c r="K838" s="27">
        <v>42320.912694171042</v>
      </c>
      <c r="L838" s="27">
        <v>110263.13324863877</v>
      </c>
      <c r="M838" s="27">
        <v>211654.36405465339</v>
      </c>
    </row>
    <row r="839" spans="1:13" x14ac:dyDescent="0.75">
      <c r="A839" s="40">
        <v>837</v>
      </c>
      <c r="B839" s="27">
        <v>1090.3524660143594</v>
      </c>
      <c r="C839" s="27">
        <v>1669.0351188871136</v>
      </c>
      <c r="D839" s="27">
        <v>2288.8898508363491</v>
      </c>
      <c r="E839" s="27">
        <v>3211.8761603907187</v>
      </c>
      <c r="F839" s="27">
        <v>4951.6329217336897</v>
      </c>
      <c r="G839" s="27">
        <v>7063.843430826033</v>
      </c>
      <c r="H839" s="27">
        <v>9684.9427426364564</v>
      </c>
      <c r="I839" s="27">
        <v>13725.515459569287</v>
      </c>
      <c r="J839" s="27">
        <v>23171.003010312372</v>
      </c>
      <c r="K839" s="27">
        <v>45836.199490036786</v>
      </c>
      <c r="L839" s="27">
        <v>107697.34193147252</v>
      </c>
      <c r="M839" s="27">
        <v>220390.63258271568</v>
      </c>
    </row>
    <row r="840" spans="1:13" x14ac:dyDescent="0.75">
      <c r="A840" s="40">
        <v>838</v>
      </c>
      <c r="B840" s="27">
        <v>557.12671216105809</v>
      </c>
      <c r="C840" s="27">
        <v>1014.2908534550224</v>
      </c>
      <c r="D840" s="27">
        <v>1855.5977748730656</v>
      </c>
      <c r="E840" s="27">
        <v>3128.7345009556157</v>
      </c>
      <c r="F840" s="27">
        <v>4785.1773312406585</v>
      </c>
      <c r="G840" s="27">
        <v>7394.1539345544006</v>
      </c>
      <c r="H840" s="27">
        <v>10781.956902366801</v>
      </c>
      <c r="I840" s="27">
        <v>14332.742309171575</v>
      </c>
      <c r="J840" s="27">
        <v>23590.693752746025</v>
      </c>
      <c r="K840" s="27">
        <v>46356.626324160432</v>
      </c>
      <c r="L840" s="27">
        <v>108035.5985067708</v>
      </c>
      <c r="M840" s="27">
        <v>221832.69890245545</v>
      </c>
    </row>
    <row r="841" spans="1:13" x14ac:dyDescent="0.75">
      <c r="A841" s="40">
        <v>839</v>
      </c>
      <c r="B841" s="27">
        <v>769.27597675056313</v>
      </c>
      <c r="C841" s="27">
        <v>1417.8650371358235</v>
      </c>
      <c r="D841" s="27">
        <v>2374.7706055133749</v>
      </c>
      <c r="E841" s="27">
        <v>3505.872129721829</v>
      </c>
      <c r="F841" s="27">
        <v>5254.6901408319245</v>
      </c>
      <c r="G841" s="27">
        <v>7754.1084887320467</v>
      </c>
      <c r="H841" s="27">
        <v>10247.083528148069</v>
      </c>
      <c r="I841" s="27">
        <v>14686.696150339543</v>
      </c>
      <c r="J841" s="27">
        <v>24202.834453849864</v>
      </c>
      <c r="K841" s="27">
        <v>45770.208356112795</v>
      </c>
      <c r="L841" s="27">
        <v>103873.49152376142</v>
      </c>
      <c r="M841" s="27">
        <v>219856.89639089725</v>
      </c>
    </row>
    <row r="842" spans="1:13" x14ac:dyDescent="0.75">
      <c r="A842" s="40">
        <v>840</v>
      </c>
      <c r="B842" s="27">
        <v>710.52180492390471</v>
      </c>
      <c r="C842" s="27">
        <v>1230.0102858105383</v>
      </c>
      <c r="D842" s="27">
        <v>1809.6439868262241</v>
      </c>
      <c r="E842" s="27">
        <v>3056.3902220110904</v>
      </c>
      <c r="F842" s="27">
        <v>4534.2701606883347</v>
      </c>
      <c r="G842" s="27">
        <v>6932.0401923940808</v>
      </c>
      <c r="H842" s="27">
        <v>9751.5242443546304</v>
      </c>
      <c r="I842" s="27">
        <v>13228.712783304625</v>
      </c>
      <c r="J842" s="27">
        <v>21931.108772367734</v>
      </c>
      <c r="K842" s="27">
        <v>46357.788681475809</v>
      </c>
      <c r="L842" s="27">
        <v>117572.78377826502</v>
      </c>
      <c r="M842" s="27">
        <v>227114.79491242199</v>
      </c>
    </row>
    <row r="843" spans="1:13" x14ac:dyDescent="0.75">
      <c r="A843" s="40">
        <v>841</v>
      </c>
      <c r="B843" s="27">
        <v>777.69610888765601</v>
      </c>
      <c r="C843" s="27">
        <v>1375.7030433583277</v>
      </c>
      <c r="D843" s="27">
        <v>2180.0325536111341</v>
      </c>
      <c r="E843" s="27">
        <v>3054.6648844836309</v>
      </c>
      <c r="F843" s="27">
        <v>5288.4767502205796</v>
      </c>
      <c r="G843" s="27">
        <v>7251.2117443915631</v>
      </c>
      <c r="H843" s="27">
        <v>10429.123170754407</v>
      </c>
      <c r="I843" s="27">
        <v>14357.906009982165</v>
      </c>
      <c r="J843" s="27">
        <v>22177.294868043464</v>
      </c>
      <c r="K843" s="27">
        <v>43996.089218823094</v>
      </c>
      <c r="L843" s="27">
        <v>109483.13603556619</v>
      </c>
      <c r="M843" s="27">
        <v>220371.3343881222</v>
      </c>
    </row>
    <row r="844" spans="1:13" x14ac:dyDescent="0.75">
      <c r="A844" s="40">
        <v>842</v>
      </c>
      <c r="B844" s="27">
        <v>707.46566818363499</v>
      </c>
      <c r="C844" s="27">
        <v>1053.2291189821408</v>
      </c>
      <c r="D844" s="27">
        <v>1924.542008126009</v>
      </c>
      <c r="E844" s="27">
        <v>3234.7687151551072</v>
      </c>
      <c r="F844" s="27">
        <v>4984.6762819493888</v>
      </c>
      <c r="G844" s="27">
        <v>7737.474538328679</v>
      </c>
      <c r="H844" s="27">
        <v>10077.414344196935</v>
      </c>
      <c r="I844" s="27">
        <v>14018.740692342544</v>
      </c>
      <c r="J844" s="27">
        <v>23654.65710416653</v>
      </c>
      <c r="K844" s="27">
        <v>46450.563688599315</v>
      </c>
      <c r="L844" s="27">
        <v>112023.99143191046</v>
      </c>
      <c r="M844" s="27">
        <v>225867.52359194076</v>
      </c>
    </row>
    <row r="845" spans="1:13" x14ac:dyDescent="0.75">
      <c r="A845" s="40">
        <v>843</v>
      </c>
      <c r="B845" s="27">
        <v>837.52471422021335</v>
      </c>
      <c r="C845" s="27">
        <v>1281.8037426015653</v>
      </c>
      <c r="D845" s="27">
        <v>2139.3834329181991</v>
      </c>
      <c r="E845" s="27">
        <v>3499.2941859973362</v>
      </c>
      <c r="F845" s="27">
        <v>5432.8881191021355</v>
      </c>
      <c r="G845" s="27">
        <v>7919.7867865209701</v>
      </c>
      <c r="H845" s="27">
        <v>10716.864846525335</v>
      </c>
      <c r="I845" s="27">
        <v>14255.842818786492</v>
      </c>
      <c r="J845" s="27">
        <v>24281.397208371374</v>
      </c>
      <c r="K845" s="27">
        <v>46121.086636550201</v>
      </c>
      <c r="L845" s="27">
        <v>112717.08501030448</v>
      </c>
      <c r="M845" s="27">
        <v>229202.95750189829</v>
      </c>
    </row>
    <row r="846" spans="1:13" x14ac:dyDescent="0.75">
      <c r="A846" s="40">
        <v>844</v>
      </c>
      <c r="B846" s="27">
        <v>1062.5145500363578</v>
      </c>
      <c r="C846" s="27">
        <v>1622.8740719941707</v>
      </c>
      <c r="D846" s="27">
        <v>2637.5991807293321</v>
      </c>
      <c r="E846" s="27">
        <v>3737.3803185876313</v>
      </c>
      <c r="F846" s="27">
        <v>5750.9201035214064</v>
      </c>
      <c r="G846" s="27">
        <v>7776.5526988014462</v>
      </c>
      <c r="H846" s="27">
        <v>10347.164526542649</v>
      </c>
      <c r="I846" s="27">
        <v>14147.318416697788</v>
      </c>
      <c r="J846" s="27">
        <v>23097.860260661575</v>
      </c>
      <c r="K846" s="27">
        <v>44016.298834539542</v>
      </c>
      <c r="L846" s="27">
        <v>115996.73949773388</v>
      </c>
      <c r="M846" s="27">
        <v>230193.22245984577</v>
      </c>
    </row>
    <row r="847" spans="1:13" x14ac:dyDescent="0.75">
      <c r="A847" s="40">
        <v>845</v>
      </c>
      <c r="B847" s="27">
        <v>614.21771058838931</v>
      </c>
      <c r="C847" s="27">
        <v>1124.5132846926572</v>
      </c>
      <c r="D847" s="27">
        <v>1865.4893049088423</v>
      </c>
      <c r="E847" s="27">
        <v>3148.930463154451</v>
      </c>
      <c r="F847" s="27">
        <v>4786.644632372685</v>
      </c>
      <c r="G847" s="27">
        <v>7418.9979349336354</v>
      </c>
      <c r="H847" s="27">
        <v>9516.2132772880868</v>
      </c>
      <c r="I847" s="27">
        <v>12690.344713731436</v>
      </c>
      <c r="J847" s="27">
        <v>21194.365324281054</v>
      </c>
      <c r="K847" s="27">
        <v>44117.5034637629</v>
      </c>
      <c r="L847" s="27">
        <v>108575.34528600218</v>
      </c>
      <c r="M847" s="27">
        <v>215052.56539571632</v>
      </c>
    </row>
    <row r="848" spans="1:13" x14ac:dyDescent="0.75">
      <c r="A848" s="40">
        <v>846</v>
      </c>
      <c r="B848" s="27">
        <v>965.93795263585343</v>
      </c>
      <c r="C848" s="27">
        <v>1215.8771634776786</v>
      </c>
      <c r="D848" s="27">
        <v>2098.775305660587</v>
      </c>
      <c r="E848" s="27">
        <v>3031.0263785455027</v>
      </c>
      <c r="F848" s="27">
        <v>4870.792599589302</v>
      </c>
      <c r="G848" s="27">
        <v>7260.4695705426857</v>
      </c>
      <c r="H848" s="27">
        <v>10074.450006725121</v>
      </c>
      <c r="I848" s="27">
        <v>14141.904219016229</v>
      </c>
      <c r="J848" s="27">
        <v>21744.637516112198</v>
      </c>
      <c r="K848" s="27">
        <v>46545.062945926649</v>
      </c>
      <c r="L848" s="27">
        <v>111320.46395393016</v>
      </c>
      <c r="M848" s="27">
        <v>223269.39761216196</v>
      </c>
    </row>
    <row r="849" spans="1:13" x14ac:dyDescent="0.75">
      <c r="A849" s="40">
        <v>847</v>
      </c>
      <c r="B849" s="27">
        <v>800.85473522418761</v>
      </c>
      <c r="C849" s="27">
        <v>1336.9417861708062</v>
      </c>
      <c r="D849" s="27">
        <v>2444.7039134460065</v>
      </c>
      <c r="E849" s="27">
        <v>3564.5688689285744</v>
      </c>
      <c r="F849" s="27">
        <v>5296.0150013393286</v>
      </c>
      <c r="G849" s="27">
        <v>7770.4900996083161</v>
      </c>
      <c r="H849" s="27">
        <v>10355.306295288261</v>
      </c>
      <c r="I849" s="27">
        <v>14670.341733374051</v>
      </c>
      <c r="J849" s="27">
        <v>24967.168570219117</v>
      </c>
      <c r="K849" s="27">
        <v>47196.474020810972</v>
      </c>
      <c r="L849" s="27">
        <v>113391.81000720209</v>
      </c>
      <c r="M849" s="27">
        <v>231794.6750316117</v>
      </c>
    </row>
    <row r="850" spans="1:13" x14ac:dyDescent="0.75">
      <c r="A850" s="40">
        <v>848</v>
      </c>
      <c r="B850" s="27">
        <v>763.63559442610131</v>
      </c>
      <c r="C850" s="27">
        <v>1222.4509987605561</v>
      </c>
      <c r="D850" s="27">
        <v>2114.0788001829787</v>
      </c>
      <c r="E850" s="27">
        <v>3136.4943165006698</v>
      </c>
      <c r="F850" s="27">
        <v>4992.9319649134413</v>
      </c>
      <c r="G850" s="27">
        <v>7305.4313161832397</v>
      </c>
      <c r="H850" s="27">
        <v>10092.421360725886</v>
      </c>
      <c r="I850" s="27">
        <v>14408.470623714675</v>
      </c>
      <c r="J850" s="27">
        <v>23439.493764932296</v>
      </c>
      <c r="K850" s="27">
        <v>47144.55344494796</v>
      </c>
      <c r="L850" s="27">
        <v>109280.99235290923</v>
      </c>
      <c r="M850" s="27">
        <v>223900.95453819702</v>
      </c>
    </row>
    <row r="851" spans="1:13" x14ac:dyDescent="0.75">
      <c r="A851" s="40">
        <v>849</v>
      </c>
      <c r="B851" s="27">
        <v>697.81164892742527</v>
      </c>
      <c r="C851" s="27">
        <v>1205.3099946674629</v>
      </c>
      <c r="D851" s="27">
        <v>1887.496679159769</v>
      </c>
      <c r="E851" s="27">
        <v>2993.3519825166295</v>
      </c>
      <c r="F851" s="27">
        <v>5048.3672922075493</v>
      </c>
      <c r="G851" s="27">
        <v>6985.8333545254427</v>
      </c>
      <c r="H851" s="27">
        <v>10121.370928903634</v>
      </c>
      <c r="I851" s="27">
        <v>13798.410597382768</v>
      </c>
      <c r="J851" s="27">
        <v>22116.460705346297</v>
      </c>
      <c r="K851" s="27">
        <v>48114.182491140265</v>
      </c>
      <c r="L851" s="27">
        <v>113573.67977104965</v>
      </c>
      <c r="M851" s="27">
        <v>226542.27544582688</v>
      </c>
    </row>
    <row r="852" spans="1:13" x14ac:dyDescent="0.75">
      <c r="A852" s="40">
        <v>850</v>
      </c>
      <c r="B852" s="27">
        <v>280.81541345761798</v>
      </c>
      <c r="C852" s="27">
        <v>786.68201394188509</v>
      </c>
      <c r="D852" s="27">
        <v>1439.7716281861212</v>
      </c>
      <c r="E852" s="27">
        <v>2617.9010941813904</v>
      </c>
      <c r="F852" s="27">
        <v>4335.1182705953252</v>
      </c>
      <c r="G852" s="27">
        <v>6424.7863779921609</v>
      </c>
      <c r="H852" s="27">
        <v>8999.1701864442293</v>
      </c>
      <c r="I852" s="27">
        <v>12945.076108567111</v>
      </c>
      <c r="J852" s="27">
        <v>22210.092707053642</v>
      </c>
      <c r="K852" s="27">
        <v>48435.516291936481</v>
      </c>
      <c r="L852" s="27">
        <v>111716.08601256198</v>
      </c>
      <c r="M852" s="27">
        <v>220191.01610491794</v>
      </c>
    </row>
    <row r="853" spans="1:13" x14ac:dyDescent="0.75">
      <c r="A853" s="40">
        <v>851</v>
      </c>
      <c r="B853" s="27">
        <v>731.771833768129</v>
      </c>
      <c r="C853" s="27">
        <v>1174.6486422807357</v>
      </c>
      <c r="D853" s="27">
        <v>1723.9539430645236</v>
      </c>
      <c r="E853" s="27">
        <v>2593.0253855599876</v>
      </c>
      <c r="F853" s="27">
        <v>4264.9361146695883</v>
      </c>
      <c r="G853" s="27">
        <v>6410.6182709578425</v>
      </c>
      <c r="H853" s="27">
        <v>9393.7609470723401</v>
      </c>
      <c r="I853" s="27">
        <v>13635.940631425226</v>
      </c>
      <c r="J853" s="27">
        <v>21813.931091338018</v>
      </c>
      <c r="K853" s="27">
        <v>46153.812067690364</v>
      </c>
      <c r="L853" s="27">
        <v>116172.25979045466</v>
      </c>
      <c r="M853" s="27">
        <v>224068.65871828143</v>
      </c>
    </row>
    <row r="854" spans="1:13" x14ac:dyDescent="0.75">
      <c r="A854" s="40">
        <v>852</v>
      </c>
      <c r="B854" s="27">
        <v>702.9346408881247</v>
      </c>
      <c r="C854" s="27">
        <v>1455.8926091073226</v>
      </c>
      <c r="D854" s="27">
        <v>2488.6064515552134</v>
      </c>
      <c r="E854" s="27">
        <v>3437.7545114232053</v>
      </c>
      <c r="F854" s="27">
        <v>5176.2877633824246</v>
      </c>
      <c r="G854" s="27">
        <v>8319.9230247006053</v>
      </c>
      <c r="H854" s="27">
        <v>10506.983568725613</v>
      </c>
      <c r="I854" s="27">
        <v>14548.687429323676</v>
      </c>
      <c r="J854" s="27">
        <v>24203.947665160667</v>
      </c>
      <c r="K854" s="27">
        <v>46361.60121697672</v>
      </c>
      <c r="L854" s="27">
        <v>104172.72442533827</v>
      </c>
      <c r="M854" s="27">
        <v>221375.34330658184</v>
      </c>
    </row>
    <row r="855" spans="1:13" x14ac:dyDescent="0.75">
      <c r="A855" s="40">
        <v>853</v>
      </c>
      <c r="B855" s="27">
        <v>637.89007828199829</v>
      </c>
      <c r="C855" s="27">
        <v>1097.8860621261847</v>
      </c>
      <c r="D855" s="27">
        <v>2009.121178214773</v>
      </c>
      <c r="E855" s="27">
        <v>3169.1621847748174</v>
      </c>
      <c r="F855" s="27">
        <v>5325.357398944936</v>
      </c>
      <c r="G855" s="27">
        <v>7124.1507409790356</v>
      </c>
      <c r="H855" s="27">
        <v>9909.222930805714</v>
      </c>
      <c r="I855" s="27">
        <v>15113.92070545032</v>
      </c>
      <c r="J855" s="27">
        <v>22802.34405666792</v>
      </c>
      <c r="K855" s="27">
        <v>43499.25210964281</v>
      </c>
      <c r="L855" s="27">
        <v>116058.9581816515</v>
      </c>
      <c r="M855" s="27">
        <v>226747.26562754001</v>
      </c>
    </row>
    <row r="856" spans="1:13" x14ac:dyDescent="0.75">
      <c r="A856" s="40">
        <v>854</v>
      </c>
      <c r="B856" s="27">
        <v>1075.1592036108341</v>
      </c>
      <c r="C856" s="27">
        <v>1564.4123796866043</v>
      </c>
      <c r="D856" s="27">
        <v>2628.944036075467</v>
      </c>
      <c r="E856" s="27">
        <v>4128.9732215957338</v>
      </c>
      <c r="F856" s="27">
        <v>5978.8678633461241</v>
      </c>
      <c r="G856" s="27">
        <v>8752.3813435073826</v>
      </c>
      <c r="H856" s="27">
        <v>10930.085555905258</v>
      </c>
      <c r="I856" s="27">
        <v>15575.301601375395</v>
      </c>
      <c r="J856" s="27">
        <v>24218.033061167778</v>
      </c>
      <c r="K856" s="27">
        <v>45570.52265183712</v>
      </c>
      <c r="L856" s="27">
        <v>110233.26029946809</v>
      </c>
      <c r="M856" s="27">
        <v>230655.9412175758</v>
      </c>
    </row>
    <row r="857" spans="1:13" x14ac:dyDescent="0.75">
      <c r="A857" s="40">
        <v>855</v>
      </c>
      <c r="B857" s="27">
        <v>844.16367895453004</v>
      </c>
      <c r="C857" s="27">
        <v>1263.2310433419771</v>
      </c>
      <c r="D857" s="27">
        <v>2119.7020012926805</v>
      </c>
      <c r="E857" s="27">
        <v>3596.9622819279903</v>
      </c>
      <c r="F857" s="27">
        <v>5241.6069064788026</v>
      </c>
      <c r="G857" s="27">
        <v>7890.9267046301393</v>
      </c>
      <c r="H857" s="27">
        <v>10261.957115867845</v>
      </c>
      <c r="I857" s="27">
        <v>14556.077148982062</v>
      </c>
      <c r="J857" s="27">
        <v>24023.152901201276</v>
      </c>
      <c r="K857" s="27">
        <v>49299.958725689678</v>
      </c>
      <c r="L857" s="27">
        <v>113499.7417632585</v>
      </c>
      <c r="M857" s="27">
        <v>232597.48027162548</v>
      </c>
    </row>
    <row r="858" spans="1:13" x14ac:dyDescent="0.75">
      <c r="A858" s="40">
        <v>856</v>
      </c>
      <c r="B858" s="27">
        <v>994.83824850425299</v>
      </c>
      <c r="C858" s="27">
        <v>1505.9545086355793</v>
      </c>
      <c r="D858" s="27">
        <v>2143.1949435502465</v>
      </c>
      <c r="E858" s="27">
        <v>3520.9478810816654</v>
      </c>
      <c r="F858" s="27">
        <v>5476.3565455501375</v>
      </c>
      <c r="G858" s="27">
        <v>7820.8402140637627</v>
      </c>
      <c r="H858" s="27">
        <v>10505.175157567253</v>
      </c>
      <c r="I858" s="27">
        <v>14449.196675427243</v>
      </c>
      <c r="J858" s="27">
        <v>24214.778795991966</v>
      </c>
      <c r="K858" s="27">
        <v>46985.846196299128</v>
      </c>
      <c r="L858" s="27">
        <v>115492.20169560215</v>
      </c>
      <c r="M858" s="27">
        <v>233109.3308622734</v>
      </c>
    </row>
    <row r="859" spans="1:13" x14ac:dyDescent="0.75">
      <c r="A859" s="40">
        <v>857</v>
      </c>
      <c r="B859" s="27">
        <v>646.4975829502655</v>
      </c>
      <c r="C859" s="27">
        <v>1151.5904276462388</v>
      </c>
      <c r="D859" s="27">
        <v>1931.0065591067687</v>
      </c>
      <c r="E859" s="27">
        <v>2975.5405393280234</v>
      </c>
      <c r="F859" s="27">
        <v>5226.4431271803624</v>
      </c>
      <c r="G859" s="27">
        <v>7690.414275630581</v>
      </c>
      <c r="H859" s="27">
        <v>10394.176651713351</v>
      </c>
      <c r="I859" s="27">
        <v>13799.419235927868</v>
      </c>
      <c r="J859" s="27">
        <v>22405.825249954898</v>
      </c>
      <c r="K859" s="27">
        <v>48117.827704549622</v>
      </c>
      <c r="L859" s="27">
        <v>103700.9347051802</v>
      </c>
      <c r="M859" s="27">
        <v>218039.67605916818</v>
      </c>
    </row>
    <row r="860" spans="1:13" x14ac:dyDescent="0.75">
      <c r="A860" s="40">
        <v>858</v>
      </c>
      <c r="B860" s="27">
        <v>722.82923496309377</v>
      </c>
      <c r="C860" s="27">
        <v>1078.0455580332346</v>
      </c>
      <c r="D860" s="27">
        <v>1679.7557061543048</v>
      </c>
      <c r="E860" s="27">
        <v>2971.770661793169</v>
      </c>
      <c r="F860" s="27">
        <v>4808.2295464466151</v>
      </c>
      <c r="G860" s="27">
        <v>6871.0154798828298</v>
      </c>
      <c r="H860" s="27">
        <v>9807.1257028170512</v>
      </c>
      <c r="I860" s="27">
        <v>13446.484266737461</v>
      </c>
      <c r="J860" s="27">
        <v>21844.706937619019</v>
      </c>
      <c r="K860" s="27">
        <v>45448.581073430134</v>
      </c>
      <c r="L860" s="27">
        <v>109653.55163035195</v>
      </c>
      <c r="M860" s="27">
        <v>218332.09579822887</v>
      </c>
    </row>
    <row r="861" spans="1:13" x14ac:dyDescent="0.75">
      <c r="A861" s="40">
        <v>859</v>
      </c>
      <c r="B861" s="27">
        <v>562.75891997342114</v>
      </c>
      <c r="C861" s="27">
        <v>975.98167553773965</v>
      </c>
      <c r="D861" s="27">
        <v>1907.2940353167796</v>
      </c>
      <c r="E861" s="27">
        <v>3069.8652473567781</v>
      </c>
      <c r="F861" s="27">
        <v>4708.1773226070218</v>
      </c>
      <c r="G861" s="27">
        <v>7375.0908007333346</v>
      </c>
      <c r="H861" s="27">
        <v>9492.8495433904318</v>
      </c>
      <c r="I861" s="27">
        <v>14108.644010846881</v>
      </c>
      <c r="J861" s="27">
        <v>22163.723339582764</v>
      </c>
      <c r="K861" s="27">
        <v>45548.088661194604</v>
      </c>
      <c r="L861" s="27">
        <v>109056.50470409798</v>
      </c>
      <c r="M861" s="27">
        <v>218968.97826063773</v>
      </c>
    </row>
    <row r="862" spans="1:13" x14ac:dyDescent="0.75">
      <c r="A862" s="40">
        <v>860</v>
      </c>
      <c r="B862" s="27">
        <v>1210.212489055295</v>
      </c>
      <c r="C862" s="27">
        <v>2208.7601450882066</v>
      </c>
      <c r="D862" s="27">
        <v>3165.3461257196905</v>
      </c>
      <c r="E862" s="27">
        <v>4106.7034231640137</v>
      </c>
      <c r="F862" s="27">
        <v>5760.1808506354282</v>
      </c>
      <c r="G862" s="27">
        <v>8227.4512840225652</v>
      </c>
      <c r="H862" s="27">
        <v>10511.992299373363</v>
      </c>
      <c r="I862" s="27">
        <v>15177.41317509285</v>
      </c>
      <c r="J862" s="27">
        <v>24498.015391249326</v>
      </c>
      <c r="K862" s="27">
        <v>48263.92448026895</v>
      </c>
      <c r="L862" s="27">
        <v>104938.2059974163</v>
      </c>
      <c r="M862" s="27">
        <v>228068.20566108599</v>
      </c>
    </row>
    <row r="863" spans="1:13" x14ac:dyDescent="0.75">
      <c r="A863" s="40">
        <v>861</v>
      </c>
      <c r="B863" s="27">
        <v>937.29407923520193</v>
      </c>
      <c r="C863" s="27">
        <v>1322.5479997233488</v>
      </c>
      <c r="D863" s="27">
        <v>2263.3233469756233</v>
      </c>
      <c r="E863" s="27">
        <v>3154.9248019557272</v>
      </c>
      <c r="F863" s="27">
        <v>5195.4098130889179</v>
      </c>
      <c r="G863" s="27">
        <v>7652.2398751084402</v>
      </c>
      <c r="H863" s="27">
        <v>10201.076037178369</v>
      </c>
      <c r="I863" s="27">
        <v>14135.55648005323</v>
      </c>
      <c r="J863" s="27">
        <v>22543.352467777833</v>
      </c>
      <c r="K863" s="27">
        <v>44278.413639090169</v>
      </c>
      <c r="L863" s="27">
        <v>115046.4425367598</v>
      </c>
      <c r="M863" s="27">
        <v>226730.58107694666</v>
      </c>
    </row>
    <row r="864" spans="1:13" x14ac:dyDescent="0.75">
      <c r="A864" s="40">
        <v>862</v>
      </c>
      <c r="B864" s="27">
        <v>1318.351257071743</v>
      </c>
      <c r="C864" s="27">
        <v>2072.3393998735119</v>
      </c>
      <c r="D864" s="27">
        <v>2925.5318964600592</v>
      </c>
      <c r="E864" s="27">
        <v>3931.5195990196517</v>
      </c>
      <c r="F864" s="27">
        <v>6204.7114179632918</v>
      </c>
      <c r="G864" s="27">
        <v>8341.4651906068611</v>
      </c>
      <c r="H864" s="27">
        <v>10490.646675186785</v>
      </c>
      <c r="I864" s="27">
        <v>14603.704536148827</v>
      </c>
      <c r="J864" s="27">
        <v>23748.03893510616</v>
      </c>
      <c r="K864" s="27">
        <v>46020.911436096139</v>
      </c>
      <c r="L864" s="27">
        <v>112661.20603333329</v>
      </c>
      <c r="M864" s="27">
        <v>232318.42637686632</v>
      </c>
    </row>
    <row r="865" spans="1:13" x14ac:dyDescent="0.75">
      <c r="A865" s="40">
        <v>863</v>
      </c>
      <c r="B865" s="27">
        <v>883.33171801558638</v>
      </c>
      <c r="C865" s="27">
        <v>1351.6940807383653</v>
      </c>
      <c r="D865" s="27">
        <v>2668.5574008305994</v>
      </c>
      <c r="E865" s="27">
        <v>3876.8746795943443</v>
      </c>
      <c r="F865" s="27">
        <v>6170.891364150797</v>
      </c>
      <c r="G865" s="27">
        <v>8349.0212262651767</v>
      </c>
      <c r="H865" s="27">
        <v>10545.075371883693</v>
      </c>
      <c r="I865" s="27">
        <v>14640.487264285883</v>
      </c>
      <c r="J865" s="27">
        <v>23348.768296135357</v>
      </c>
      <c r="K865" s="27">
        <v>46319.990276680677</v>
      </c>
      <c r="L865" s="27">
        <v>113815.61607530055</v>
      </c>
      <c r="M865" s="27">
        <v>231970.30775388103</v>
      </c>
    </row>
    <row r="866" spans="1:13" x14ac:dyDescent="0.75">
      <c r="A866" s="40">
        <v>864</v>
      </c>
      <c r="B866" s="27">
        <v>937.73473044105049</v>
      </c>
      <c r="C866" s="27">
        <v>1723.6266766358749</v>
      </c>
      <c r="D866" s="27">
        <v>2469.1184363391221</v>
      </c>
      <c r="E866" s="27">
        <v>3941.0728795925388</v>
      </c>
      <c r="F866" s="27">
        <v>5900.2141802028636</v>
      </c>
      <c r="G866" s="27">
        <v>7626.258736339194</v>
      </c>
      <c r="H866" s="27">
        <v>10906.882955840265</v>
      </c>
      <c r="I866" s="27">
        <v>15189.618400755426</v>
      </c>
      <c r="J866" s="27">
        <v>24065.245723669534</v>
      </c>
      <c r="K866" s="27">
        <v>48349.279256005015</v>
      </c>
      <c r="L866" s="27">
        <v>113165.08822604679</v>
      </c>
      <c r="M866" s="27">
        <v>234274.14020186767</v>
      </c>
    </row>
    <row r="867" spans="1:13" x14ac:dyDescent="0.75">
      <c r="A867" s="40">
        <v>865</v>
      </c>
      <c r="B867" s="27">
        <v>969.56034695275594</v>
      </c>
      <c r="C867" s="27">
        <v>1373.9515253156424</v>
      </c>
      <c r="D867" s="27">
        <v>2278.1700077542482</v>
      </c>
      <c r="E867" s="27">
        <v>3299.9960965260398</v>
      </c>
      <c r="F867" s="27">
        <v>5484.3444727884489</v>
      </c>
      <c r="G867" s="27">
        <v>7791.9918434892315</v>
      </c>
      <c r="H867" s="27">
        <v>10633.810592657799</v>
      </c>
      <c r="I867" s="27">
        <v>15230.528474208259</v>
      </c>
      <c r="J867" s="27">
        <v>23135.279828298386</v>
      </c>
      <c r="K867" s="27">
        <v>45540.465163490808</v>
      </c>
      <c r="L867" s="27">
        <v>116777.04311868366</v>
      </c>
      <c r="M867" s="27">
        <v>232515.14147016528</v>
      </c>
    </row>
    <row r="868" spans="1:13" x14ac:dyDescent="0.75">
      <c r="A868" s="40">
        <v>866</v>
      </c>
      <c r="B868" s="27">
        <v>1115.8246150153136</v>
      </c>
      <c r="C868" s="27">
        <v>1858.7473594725889</v>
      </c>
      <c r="D868" s="27">
        <v>2825.1250543139759</v>
      </c>
      <c r="E868" s="27">
        <v>3660.3138288480695</v>
      </c>
      <c r="F868" s="27">
        <v>5670.0858039277664</v>
      </c>
      <c r="G868" s="27">
        <v>7992.2549045355699</v>
      </c>
      <c r="H868" s="27">
        <v>10481.402480039949</v>
      </c>
      <c r="I868" s="27">
        <v>14779.270243301798</v>
      </c>
      <c r="J868" s="27">
        <v>22473.730643102695</v>
      </c>
      <c r="K868" s="27">
        <v>46376.121661624522</v>
      </c>
      <c r="L868" s="27">
        <v>119102.88463671174</v>
      </c>
      <c r="M868" s="27">
        <v>236335.76123089399</v>
      </c>
    </row>
    <row r="869" spans="1:13" x14ac:dyDescent="0.75">
      <c r="A869" s="40">
        <v>867</v>
      </c>
      <c r="B869" s="27">
        <v>547.34114136958669</v>
      </c>
      <c r="C869" s="27">
        <v>1033.3487561856164</v>
      </c>
      <c r="D869" s="27">
        <v>1742.1422266200243</v>
      </c>
      <c r="E869" s="27">
        <v>3066.5908424071094</v>
      </c>
      <c r="F869" s="27">
        <v>5195.3853572238586</v>
      </c>
      <c r="G869" s="27">
        <v>7559.6879039522901</v>
      </c>
      <c r="H869" s="27">
        <v>10020.019749716579</v>
      </c>
      <c r="I869" s="27">
        <v>14478.141746928173</v>
      </c>
      <c r="J869" s="27">
        <v>22916.050623473915</v>
      </c>
      <c r="K869" s="27">
        <v>49062.233941402927</v>
      </c>
      <c r="L869" s="27">
        <v>106524.16828395371</v>
      </c>
      <c r="M869" s="27">
        <v>222145.1105732338</v>
      </c>
    </row>
    <row r="870" spans="1:13" x14ac:dyDescent="0.75">
      <c r="A870" s="40">
        <v>868</v>
      </c>
      <c r="B870" s="27">
        <v>488.92026245585294</v>
      </c>
      <c r="C870" s="27">
        <v>1066.3454060130025</v>
      </c>
      <c r="D870" s="27">
        <v>2034.0277229712956</v>
      </c>
      <c r="E870" s="27">
        <v>2643.6628033498564</v>
      </c>
      <c r="F870" s="27">
        <v>4326.7653821337735</v>
      </c>
      <c r="G870" s="27">
        <v>6484.1700913904933</v>
      </c>
      <c r="H870" s="27">
        <v>8918.963969222852</v>
      </c>
      <c r="I870" s="27">
        <v>12442.027668449446</v>
      </c>
      <c r="J870" s="27">
        <v>21679.20161582694</v>
      </c>
      <c r="K870" s="27">
        <v>44543.820862120658</v>
      </c>
      <c r="L870" s="27">
        <v>108749.6134826254</v>
      </c>
      <c r="M870" s="27">
        <v>213377.51926655957</v>
      </c>
    </row>
    <row r="871" spans="1:13" x14ac:dyDescent="0.75">
      <c r="A871" s="40">
        <v>869</v>
      </c>
      <c r="B871" s="27">
        <v>397.94036808544479</v>
      </c>
      <c r="C871" s="27">
        <v>683.75468296036706</v>
      </c>
      <c r="D871" s="27">
        <v>1525.3270656145905</v>
      </c>
      <c r="E871" s="27">
        <v>2969.4545660316944</v>
      </c>
      <c r="F871" s="27">
        <v>5156.4693396392395</v>
      </c>
      <c r="G871" s="27">
        <v>8002.7444465279405</v>
      </c>
      <c r="H871" s="27">
        <v>10695.113170096942</v>
      </c>
      <c r="I871" s="27">
        <v>14527.436151557224</v>
      </c>
      <c r="J871" s="27">
        <v>24532.318821355933</v>
      </c>
      <c r="K871" s="27">
        <v>45511.451315195067</v>
      </c>
      <c r="L871" s="27">
        <v>109618.36887261333</v>
      </c>
      <c r="M871" s="27">
        <v>223620.37879967777</v>
      </c>
    </row>
    <row r="872" spans="1:13" x14ac:dyDescent="0.75">
      <c r="A872" s="40">
        <v>870</v>
      </c>
      <c r="B872" s="27">
        <v>465.40882630714623</v>
      </c>
      <c r="C872" s="27">
        <v>1017.6971574655472</v>
      </c>
      <c r="D872" s="27">
        <v>1846.1761619281751</v>
      </c>
      <c r="E872" s="27">
        <v>2744.7293817524915</v>
      </c>
      <c r="F872" s="27">
        <v>4639.3351753131137</v>
      </c>
      <c r="G872" s="27">
        <v>7000.1963999028667</v>
      </c>
      <c r="H872" s="27">
        <v>9697.9831857200188</v>
      </c>
      <c r="I872" s="27">
        <v>12807.264852448716</v>
      </c>
      <c r="J872" s="27">
        <v>22495.376463308203</v>
      </c>
      <c r="K872" s="27">
        <v>47221.542833992498</v>
      </c>
      <c r="L872" s="27">
        <v>111166.71717277329</v>
      </c>
      <c r="M872" s="27">
        <v>221102.42761091207</v>
      </c>
    </row>
    <row r="873" spans="1:13" x14ac:dyDescent="0.75">
      <c r="A873" s="40">
        <v>871</v>
      </c>
      <c r="B873" s="27">
        <v>673.63672601779399</v>
      </c>
      <c r="C873" s="27">
        <v>1388.0724012133433</v>
      </c>
      <c r="D873" s="27">
        <v>2479.953514517576</v>
      </c>
      <c r="E873" s="27">
        <v>3809.8037334372057</v>
      </c>
      <c r="F873" s="27">
        <v>5729.6357442706067</v>
      </c>
      <c r="G873" s="27">
        <v>8085.8820120295859</v>
      </c>
      <c r="H873" s="27">
        <v>10785.155321709695</v>
      </c>
      <c r="I873" s="27">
        <v>15748.306960302332</v>
      </c>
      <c r="J873" s="27">
        <v>25128.181881119745</v>
      </c>
      <c r="K873" s="27">
        <v>50585.998414852307</v>
      </c>
      <c r="L873" s="27">
        <v>109141.23606147117</v>
      </c>
      <c r="M873" s="27">
        <v>233555.86277094134</v>
      </c>
    </row>
    <row r="874" spans="1:13" x14ac:dyDescent="0.75">
      <c r="A874" s="40">
        <v>872</v>
      </c>
      <c r="B874" s="27">
        <v>485.98763657505333</v>
      </c>
      <c r="C874" s="27">
        <v>845.16623381193494</v>
      </c>
      <c r="D874" s="27">
        <v>1650.5775507344661</v>
      </c>
      <c r="E874" s="27">
        <v>2958.4750819359178</v>
      </c>
      <c r="F874" s="27">
        <v>4898.6218946237059</v>
      </c>
      <c r="G874" s="27">
        <v>7650.318210489495</v>
      </c>
      <c r="H874" s="27">
        <v>10069.731333535674</v>
      </c>
      <c r="I874" s="27">
        <v>14027.30995789716</v>
      </c>
      <c r="J874" s="27">
        <v>24729.237625519861</v>
      </c>
      <c r="K874" s="27">
        <v>44240.757239185987</v>
      </c>
      <c r="L874" s="27">
        <v>114119.12753815853</v>
      </c>
      <c r="M874" s="27">
        <v>225675.31030246778</v>
      </c>
    </row>
    <row r="875" spans="1:13" x14ac:dyDescent="0.75">
      <c r="A875" s="40">
        <v>873</v>
      </c>
      <c r="B875" s="27">
        <v>677.18340795277618</v>
      </c>
      <c r="C875" s="27">
        <v>1312.813851382758</v>
      </c>
      <c r="D875" s="27">
        <v>2062.1935542995634</v>
      </c>
      <c r="E875" s="27">
        <v>2896.189286856752</v>
      </c>
      <c r="F875" s="27">
        <v>4810.0952601451136</v>
      </c>
      <c r="G875" s="27">
        <v>6755.8467520311242</v>
      </c>
      <c r="H875" s="27">
        <v>9129.0024120373128</v>
      </c>
      <c r="I875" s="27">
        <v>13380.208144302087</v>
      </c>
      <c r="J875" s="27">
        <v>22927.493388636591</v>
      </c>
      <c r="K875" s="27">
        <v>47990.529365425551</v>
      </c>
      <c r="L875" s="27">
        <v>116301.77208490696</v>
      </c>
      <c r="M875" s="27">
        <v>228243.32750797659</v>
      </c>
    </row>
    <row r="876" spans="1:13" x14ac:dyDescent="0.75">
      <c r="A876" s="40">
        <v>874</v>
      </c>
      <c r="B876" s="27">
        <v>294.93901963805547</v>
      </c>
      <c r="C876" s="27">
        <v>951.46403427216865</v>
      </c>
      <c r="D876" s="27">
        <v>1911.4095312759164</v>
      </c>
      <c r="E876" s="27">
        <v>3153.2387128635746</v>
      </c>
      <c r="F876" s="27">
        <v>5013.9698226120381</v>
      </c>
      <c r="G876" s="27">
        <v>7266.4788595686841</v>
      </c>
      <c r="H876" s="27">
        <v>10465.125126516796</v>
      </c>
      <c r="I876" s="27">
        <v>13493.164442401801</v>
      </c>
      <c r="J876" s="27">
        <v>23087.296653826459</v>
      </c>
      <c r="K876" s="27">
        <v>49046.245251753498</v>
      </c>
      <c r="L876" s="27">
        <v>109136.37981085975</v>
      </c>
      <c r="M876" s="27">
        <v>223819.71126558876</v>
      </c>
    </row>
    <row r="877" spans="1:13" x14ac:dyDescent="0.75">
      <c r="A877" s="40">
        <v>875</v>
      </c>
      <c r="B877" s="27">
        <v>1105.9118991964642</v>
      </c>
      <c r="C877" s="27">
        <v>1668.1968493493041</v>
      </c>
      <c r="D877" s="27">
        <v>2958.1781119779771</v>
      </c>
      <c r="E877" s="27">
        <v>4306.5431927351747</v>
      </c>
      <c r="F877" s="27">
        <v>6427.521885780443</v>
      </c>
      <c r="G877" s="27">
        <v>8793.3368226718449</v>
      </c>
      <c r="H877" s="27">
        <v>11395.128349728853</v>
      </c>
      <c r="I877" s="27">
        <v>15364.278213784361</v>
      </c>
      <c r="J877" s="27">
        <v>24329.134139537797</v>
      </c>
      <c r="K877" s="27">
        <v>46810.137691334327</v>
      </c>
      <c r="L877" s="27">
        <v>109885.56145512301</v>
      </c>
      <c r="M877" s="27">
        <v>233043.92861121957</v>
      </c>
    </row>
    <row r="878" spans="1:13" x14ac:dyDescent="0.75">
      <c r="A878" s="40">
        <v>876</v>
      </c>
      <c r="B878" s="27">
        <v>1320.2524720883957</v>
      </c>
      <c r="C878" s="27">
        <v>2208.2053616578341</v>
      </c>
      <c r="D878" s="27">
        <v>2993.576641866166</v>
      </c>
      <c r="E878" s="27">
        <v>4081.082234481597</v>
      </c>
      <c r="F878" s="27">
        <v>6215.9470057009894</v>
      </c>
      <c r="G878" s="27">
        <v>8229.8887815464986</v>
      </c>
      <c r="H878" s="27">
        <v>11198.820243224312</v>
      </c>
      <c r="I878" s="27">
        <v>14843.484534306102</v>
      </c>
      <c r="J878" s="27">
        <v>24182.449698466837</v>
      </c>
      <c r="K878" s="27">
        <v>49902.714849857672</v>
      </c>
      <c r="L878" s="27">
        <v>112204.8978345354</v>
      </c>
      <c r="M878" s="27">
        <v>237381.3196577318</v>
      </c>
    </row>
    <row r="879" spans="1:13" x14ac:dyDescent="0.75">
      <c r="A879" s="40">
        <v>877</v>
      </c>
      <c r="B879" s="27">
        <v>1113.9871833074139</v>
      </c>
      <c r="C879" s="27">
        <v>1733.2385804126534</v>
      </c>
      <c r="D879" s="27">
        <v>3124.8884991855302</v>
      </c>
      <c r="E879" s="27">
        <v>4343.0266049639758</v>
      </c>
      <c r="F879" s="27">
        <v>6167.5878678114386</v>
      </c>
      <c r="G879" s="27">
        <v>8271.1601488393208</v>
      </c>
      <c r="H879" s="27">
        <v>10708.791978985158</v>
      </c>
      <c r="I879" s="27">
        <v>14724.449682514343</v>
      </c>
      <c r="J879" s="27">
        <v>23510.120559290575</v>
      </c>
      <c r="K879" s="27">
        <v>46855.980357550172</v>
      </c>
      <c r="L879" s="27">
        <v>113918.8090503962</v>
      </c>
      <c r="M879" s="27">
        <v>234472.0405132568</v>
      </c>
    </row>
    <row r="880" spans="1:13" x14ac:dyDescent="0.75">
      <c r="A880" s="40">
        <v>878</v>
      </c>
      <c r="B880" s="27">
        <v>1114.1178722539917</v>
      </c>
      <c r="C880" s="27">
        <v>1508.8305526145268</v>
      </c>
      <c r="D880" s="27">
        <v>2525.2197958864563</v>
      </c>
      <c r="E880" s="27">
        <v>3801.8723305125022</v>
      </c>
      <c r="F880" s="27">
        <v>5694.7241944223642</v>
      </c>
      <c r="G880" s="27">
        <v>8036.8860550781537</v>
      </c>
      <c r="H880" s="27">
        <v>10567.58013487127</v>
      </c>
      <c r="I880" s="27">
        <v>14554.370215335977</v>
      </c>
      <c r="J880" s="27">
        <v>23593.32400598361</v>
      </c>
      <c r="K880" s="27">
        <v>47479.835410076586</v>
      </c>
      <c r="L880" s="27">
        <v>118250.07835645726</v>
      </c>
      <c r="M880" s="27">
        <v>237126.8389234927</v>
      </c>
    </row>
    <row r="881" spans="1:13" x14ac:dyDescent="0.75">
      <c r="A881" s="40">
        <v>879</v>
      </c>
      <c r="B881" s="27">
        <v>704.22651185018185</v>
      </c>
      <c r="C881" s="27">
        <v>1088.8048524797341</v>
      </c>
      <c r="D881" s="27">
        <v>1988.6706396820082</v>
      </c>
      <c r="E881" s="27">
        <v>3101.0646216250607</v>
      </c>
      <c r="F881" s="27">
        <v>4987.7466064756882</v>
      </c>
      <c r="G881" s="27">
        <v>7079.6115437299595</v>
      </c>
      <c r="H881" s="27">
        <v>10101.487258870009</v>
      </c>
      <c r="I881" s="27">
        <v>13576.082971195458</v>
      </c>
      <c r="J881" s="27">
        <v>22785.926326209534</v>
      </c>
      <c r="K881" s="27">
        <v>45159.725558300284</v>
      </c>
      <c r="L881" s="27">
        <v>106097.20945370381</v>
      </c>
      <c r="M881" s="27">
        <v>216670.55634412172</v>
      </c>
    </row>
    <row r="882" spans="1:13" x14ac:dyDescent="0.75">
      <c r="A882" s="40">
        <v>880</v>
      </c>
      <c r="B882" s="27">
        <v>808.2289007610234</v>
      </c>
      <c r="C882" s="27">
        <v>1630.3135943643574</v>
      </c>
      <c r="D882" s="27">
        <v>2610.7252210204751</v>
      </c>
      <c r="E882" s="27">
        <v>3783.5626544027618</v>
      </c>
      <c r="F882" s="27">
        <v>5397.3204161722242</v>
      </c>
      <c r="G882" s="27">
        <v>8010.4491325725685</v>
      </c>
      <c r="H882" s="27">
        <v>10728.033941238667</v>
      </c>
      <c r="I882" s="27">
        <v>14657.314460331123</v>
      </c>
      <c r="J882" s="27">
        <v>24711.381123917963</v>
      </c>
      <c r="K882" s="27">
        <v>49444.443960082644</v>
      </c>
      <c r="L882" s="27">
        <v>110178.68325407433</v>
      </c>
      <c r="M882" s="27">
        <v>231960.45665893814</v>
      </c>
    </row>
    <row r="883" spans="1:13" x14ac:dyDescent="0.75">
      <c r="A883" s="40">
        <v>881</v>
      </c>
      <c r="B883" s="27">
        <v>213.09422091743909</v>
      </c>
      <c r="C883" s="27">
        <v>414.32931137469131</v>
      </c>
      <c r="D883" s="27">
        <v>1221.570256516934</v>
      </c>
      <c r="E883" s="27">
        <v>2139.1964602356165</v>
      </c>
      <c r="F883" s="27">
        <v>3893.597748465254</v>
      </c>
      <c r="G883" s="27">
        <v>6342.6274197514285</v>
      </c>
      <c r="H883" s="27">
        <v>8613.9764564514044</v>
      </c>
      <c r="I883" s="27">
        <v>13520.255848156579</v>
      </c>
      <c r="J883" s="27">
        <v>21953.422011842893</v>
      </c>
      <c r="K883" s="27">
        <v>44121.263742224895</v>
      </c>
      <c r="L883" s="27">
        <v>110143.62957871577</v>
      </c>
      <c r="M883" s="27">
        <v>212576.96305465291</v>
      </c>
    </row>
    <row r="884" spans="1:13" x14ac:dyDescent="0.75">
      <c r="A884" s="40">
        <v>882</v>
      </c>
      <c r="B884" s="27">
        <v>710.18039658783528</v>
      </c>
      <c r="C884" s="27">
        <v>1338.0855721611151</v>
      </c>
      <c r="D884" s="27">
        <v>2005.8572489098588</v>
      </c>
      <c r="E884" s="27">
        <v>3085.7855959272711</v>
      </c>
      <c r="F884" s="27">
        <v>5105.0652724228275</v>
      </c>
      <c r="G884" s="27">
        <v>7011.6919128237059</v>
      </c>
      <c r="H884" s="27">
        <v>10179.737384386186</v>
      </c>
      <c r="I884" s="27">
        <v>15043.635654317084</v>
      </c>
      <c r="J884" s="27">
        <v>22612.40912680926</v>
      </c>
      <c r="K884" s="27">
        <v>46369.025207100538</v>
      </c>
      <c r="L884" s="27">
        <v>114638.60673056447</v>
      </c>
      <c r="M884" s="27">
        <v>228100.08010201016</v>
      </c>
    </row>
    <row r="885" spans="1:13" x14ac:dyDescent="0.75">
      <c r="A885" s="40">
        <v>883</v>
      </c>
      <c r="B885" s="27">
        <v>1080.2987324956193</v>
      </c>
      <c r="C885" s="27">
        <v>1612.5169948815019</v>
      </c>
      <c r="D885" s="27">
        <v>2129.9551252208767</v>
      </c>
      <c r="E885" s="27">
        <v>3256.1234995024133</v>
      </c>
      <c r="F885" s="27">
        <v>4872.2903929088206</v>
      </c>
      <c r="G885" s="27">
        <v>7708.3234647744976</v>
      </c>
      <c r="H885" s="27">
        <v>10403.735648164962</v>
      </c>
      <c r="I885" s="27">
        <v>14140.063307674471</v>
      </c>
      <c r="J885" s="27">
        <v>23879.798429552407</v>
      </c>
      <c r="K885" s="27">
        <v>45021.960935180512</v>
      </c>
      <c r="L885" s="27">
        <v>113257.55689678201</v>
      </c>
      <c r="M885" s="27">
        <v>227362.62342713808</v>
      </c>
    </row>
    <row r="886" spans="1:13" x14ac:dyDescent="0.75">
      <c r="A886" s="40">
        <v>884</v>
      </c>
      <c r="B886" s="27">
        <v>636.06062649549858</v>
      </c>
      <c r="C886" s="27">
        <v>915.497919932488</v>
      </c>
      <c r="D886" s="27">
        <v>1695.3609725447459</v>
      </c>
      <c r="E886" s="27">
        <v>2679.8438826052588</v>
      </c>
      <c r="F886" s="27">
        <v>4475.2327571456699</v>
      </c>
      <c r="G886" s="27">
        <v>6975.0095581485948</v>
      </c>
      <c r="H886" s="27">
        <v>9673.5158893641346</v>
      </c>
      <c r="I886" s="27">
        <v>13847.037794455056</v>
      </c>
      <c r="J886" s="27">
        <v>22351.009849721799</v>
      </c>
      <c r="K886" s="27">
        <v>45678.507380547235</v>
      </c>
      <c r="L886" s="27">
        <v>118696.02948561872</v>
      </c>
      <c r="M886" s="27">
        <v>227623.10611657921</v>
      </c>
    </row>
    <row r="887" spans="1:13" x14ac:dyDescent="0.75">
      <c r="A887" s="40">
        <v>885</v>
      </c>
      <c r="B887" s="27">
        <v>583.60877762878954</v>
      </c>
      <c r="C887" s="27">
        <v>1038.4947480973642</v>
      </c>
      <c r="D887" s="27">
        <v>1732.4020046928053</v>
      </c>
      <c r="E887" s="27">
        <v>2483.3462280483218</v>
      </c>
      <c r="F887" s="27">
        <v>4323.8780495721148</v>
      </c>
      <c r="G887" s="27">
        <v>6483.6510923887254</v>
      </c>
      <c r="H887" s="27">
        <v>9319.6871988399653</v>
      </c>
      <c r="I887" s="27">
        <v>13317.445006495356</v>
      </c>
      <c r="J887" s="27">
        <v>22437.477240476772</v>
      </c>
      <c r="K887" s="27">
        <v>44841.443014230623</v>
      </c>
      <c r="L887" s="27">
        <v>102303.72104804192</v>
      </c>
      <c r="M887" s="27">
        <v>208865.15440851275</v>
      </c>
    </row>
    <row r="888" spans="1:13" x14ac:dyDescent="0.75">
      <c r="A888" s="40">
        <v>886</v>
      </c>
      <c r="B888" s="27">
        <v>857.11200322289369</v>
      </c>
      <c r="C888" s="27">
        <v>1302.5879106991779</v>
      </c>
      <c r="D888" s="27">
        <v>2348.4848095949856</v>
      </c>
      <c r="E888" s="27">
        <v>3363.8675404734677</v>
      </c>
      <c r="F888" s="27">
        <v>5247.131124772568</v>
      </c>
      <c r="G888" s="27">
        <v>7738.5273924802314</v>
      </c>
      <c r="H888" s="27">
        <v>10178.850894804957</v>
      </c>
      <c r="I888" s="27">
        <v>14681.500924029548</v>
      </c>
      <c r="J888" s="27">
        <v>24007.202589401466</v>
      </c>
      <c r="K888" s="27">
        <v>49083.031679132691</v>
      </c>
      <c r="L888" s="27">
        <v>119904.54983004204</v>
      </c>
      <c r="M888" s="27">
        <v>238712.84669865403</v>
      </c>
    </row>
    <row r="889" spans="1:13" x14ac:dyDescent="0.75">
      <c r="A889" s="40">
        <v>887</v>
      </c>
      <c r="B889" s="27">
        <v>1228.6462519291817</v>
      </c>
      <c r="C889" s="27">
        <v>1582.7261975398869</v>
      </c>
      <c r="D889" s="27">
        <v>2413.0999305909936</v>
      </c>
      <c r="E889" s="27">
        <v>3505.4339876071463</v>
      </c>
      <c r="F889" s="27">
        <v>5332.7253931072773</v>
      </c>
      <c r="G889" s="27">
        <v>7830.699604783993</v>
      </c>
      <c r="H889" s="27">
        <v>9841.9804991560231</v>
      </c>
      <c r="I889" s="27">
        <v>14445.126199215025</v>
      </c>
      <c r="J889" s="27">
        <v>23274.414208408634</v>
      </c>
      <c r="K889" s="27">
        <v>47706.579937265167</v>
      </c>
      <c r="L889" s="27">
        <v>116384.31470821003</v>
      </c>
      <c r="M889" s="27">
        <v>233545.74691781338</v>
      </c>
    </row>
    <row r="890" spans="1:13" x14ac:dyDescent="0.75">
      <c r="A890" s="40">
        <v>888</v>
      </c>
      <c r="B890" s="27">
        <v>1099.9998211506027</v>
      </c>
      <c r="C890" s="27">
        <v>1539.4202002214151</v>
      </c>
      <c r="D890" s="27">
        <v>2429.4455007785436</v>
      </c>
      <c r="E890" s="27">
        <v>3544.3682224199001</v>
      </c>
      <c r="F890" s="27">
        <v>5671.693067301152</v>
      </c>
      <c r="G890" s="27">
        <v>7780.4143898506882</v>
      </c>
      <c r="H890" s="27">
        <v>10444.207385806279</v>
      </c>
      <c r="I890" s="27">
        <v>14987.469078522772</v>
      </c>
      <c r="J890" s="27">
        <v>23527.338718192623</v>
      </c>
      <c r="K890" s="27">
        <v>47014.537283579586</v>
      </c>
      <c r="L890" s="27">
        <v>118345.10797627317</v>
      </c>
      <c r="M890" s="27">
        <v>236384.00164409674</v>
      </c>
    </row>
    <row r="891" spans="1:13" x14ac:dyDescent="0.75">
      <c r="A891" s="40">
        <v>889</v>
      </c>
      <c r="B891" s="27">
        <v>824.69641524848703</v>
      </c>
      <c r="C891" s="27">
        <v>1537.3664363629505</v>
      </c>
      <c r="D891" s="27">
        <v>2339.0642508366</v>
      </c>
      <c r="E891" s="27">
        <v>3573.3517975549767</v>
      </c>
      <c r="F891" s="27">
        <v>5494.9761596977478</v>
      </c>
      <c r="G891" s="27">
        <v>7849.8021864652401</v>
      </c>
      <c r="H891" s="27">
        <v>10478.429241935024</v>
      </c>
      <c r="I891" s="27">
        <v>14943.435330546054</v>
      </c>
      <c r="J891" s="27">
        <v>23247.174225991679</v>
      </c>
      <c r="K891" s="27">
        <v>46350.036418909818</v>
      </c>
      <c r="L891" s="27">
        <v>111396.24729991263</v>
      </c>
      <c r="M891" s="27">
        <v>228034.5797634612</v>
      </c>
    </row>
    <row r="892" spans="1:13" x14ac:dyDescent="0.75">
      <c r="A892" s="40">
        <v>890</v>
      </c>
      <c r="B892" s="27">
        <v>1012.0451267340832</v>
      </c>
      <c r="C892" s="27">
        <v>1473.3626344767399</v>
      </c>
      <c r="D892" s="27">
        <v>2504.6662222864106</v>
      </c>
      <c r="E892" s="27">
        <v>3615.7160578384792</v>
      </c>
      <c r="F892" s="27">
        <v>5447.460430332023</v>
      </c>
      <c r="G892" s="27">
        <v>8232.9646423426457</v>
      </c>
      <c r="H892" s="27">
        <v>11164.033888481383</v>
      </c>
      <c r="I892" s="27">
        <v>14845.176712412911</v>
      </c>
      <c r="J892" s="27">
        <v>22926.625741456373</v>
      </c>
      <c r="K892" s="27">
        <v>43230.958672538414</v>
      </c>
      <c r="L892" s="27">
        <v>112920.4100080599</v>
      </c>
      <c r="M892" s="27">
        <v>227373.42013695935</v>
      </c>
    </row>
    <row r="893" spans="1:13" x14ac:dyDescent="0.75">
      <c r="A893" s="40">
        <v>891</v>
      </c>
      <c r="B893" s="27">
        <v>1207.0011249614909</v>
      </c>
      <c r="C893" s="27">
        <v>1636.6737843491719</v>
      </c>
      <c r="D893" s="27">
        <v>2647.8858076064789</v>
      </c>
      <c r="E893" s="27">
        <v>3758.5688141856081</v>
      </c>
      <c r="F893" s="27">
        <v>5683.5662118167966</v>
      </c>
      <c r="G893" s="27">
        <v>8051.1455173218274</v>
      </c>
      <c r="H893" s="27">
        <v>10870.738210643685</v>
      </c>
      <c r="I893" s="27">
        <v>14910.287976514534</v>
      </c>
      <c r="J893" s="27">
        <v>22214.658383764036</v>
      </c>
      <c r="K893" s="27">
        <v>48784.423430548748</v>
      </c>
      <c r="L893" s="27">
        <v>114526.25892532026</v>
      </c>
      <c r="M893" s="27">
        <v>234291.20818703264</v>
      </c>
    </row>
    <row r="894" spans="1:13" x14ac:dyDescent="0.75">
      <c r="A894" s="40">
        <v>892</v>
      </c>
      <c r="B894" s="27">
        <v>836.72671409632312</v>
      </c>
      <c r="C894" s="27">
        <v>1492.8894671266025</v>
      </c>
      <c r="D894" s="27">
        <v>2310.1263610034221</v>
      </c>
      <c r="E894" s="27">
        <v>3378.4791851429181</v>
      </c>
      <c r="F894" s="27">
        <v>5165.8491884001705</v>
      </c>
      <c r="G894" s="27">
        <v>7438.7828800601419</v>
      </c>
      <c r="H894" s="27">
        <v>10187.469932668348</v>
      </c>
      <c r="I894" s="27">
        <v>14394.891593117005</v>
      </c>
      <c r="J894" s="27">
        <v>23249.484172513796</v>
      </c>
      <c r="K894" s="27">
        <v>47549.799527396186</v>
      </c>
      <c r="L894" s="27">
        <v>109887.23200428375</v>
      </c>
      <c r="M894" s="27">
        <v>225891.73102580867</v>
      </c>
    </row>
    <row r="895" spans="1:13" x14ac:dyDescent="0.75">
      <c r="A895" s="40">
        <v>893</v>
      </c>
      <c r="B895" s="27">
        <v>864.09017052479612</v>
      </c>
      <c r="C895" s="27">
        <v>1334.2974326436233</v>
      </c>
      <c r="D895" s="27">
        <v>2194.1095273255632</v>
      </c>
      <c r="E895" s="27">
        <v>3497.5712431526044</v>
      </c>
      <c r="F895" s="27">
        <v>5586.3196483475331</v>
      </c>
      <c r="G895" s="27">
        <v>8064.5508899925626</v>
      </c>
      <c r="H895" s="27">
        <v>10883.95812266678</v>
      </c>
      <c r="I895" s="27">
        <v>14795.736651799147</v>
      </c>
      <c r="J895" s="27">
        <v>23827.270015857473</v>
      </c>
      <c r="K895" s="27">
        <v>50522.614441184938</v>
      </c>
      <c r="L895" s="27">
        <v>114405.44245394546</v>
      </c>
      <c r="M895" s="27">
        <v>235975.96059744048</v>
      </c>
    </row>
    <row r="896" spans="1:13" x14ac:dyDescent="0.75">
      <c r="A896" s="40">
        <v>894</v>
      </c>
      <c r="B896" s="27">
        <v>1155.4482211245631</v>
      </c>
      <c r="C896" s="27">
        <v>1596.5272547555505</v>
      </c>
      <c r="D896" s="27">
        <v>2640.1890190300765</v>
      </c>
      <c r="E896" s="27">
        <v>4017.0428619727754</v>
      </c>
      <c r="F896" s="27">
        <v>5988.0778709836886</v>
      </c>
      <c r="G896" s="27">
        <v>8137.8157529981981</v>
      </c>
      <c r="H896" s="27">
        <v>10687.734666247183</v>
      </c>
      <c r="I896" s="27">
        <v>14007.362533949854</v>
      </c>
      <c r="J896" s="27">
        <v>24254.093005465053</v>
      </c>
      <c r="K896" s="27">
        <v>46524.887771658628</v>
      </c>
      <c r="L896" s="27">
        <v>117286.02151796386</v>
      </c>
      <c r="M896" s="27">
        <v>236295.20047614945</v>
      </c>
    </row>
    <row r="897" spans="1:13" x14ac:dyDescent="0.75">
      <c r="A897" s="40">
        <v>895</v>
      </c>
      <c r="B897" s="27">
        <v>1132.3495657447202</v>
      </c>
      <c r="C897" s="27">
        <v>1443.1344577479758</v>
      </c>
      <c r="D897" s="27">
        <v>2485.067928804594</v>
      </c>
      <c r="E897" s="27">
        <v>3434.336557930932</v>
      </c>
      <c r="F897" s="27">
        <v>5842.2495757360011</v>
      </c>
      <c r="G897" s="27">
        <v>8026.0728221620084</v>
      </c>
      <c r="H897" s="27">
        <v>10841.449731908127</v>
      </c>
      <c r="I897" s="27">
        <v>14565.037658137517</v>
      </c>
      <c r="J897" s="27">
        <v>23951.675422967091</v>
      </c>
      <c r="K897" s="27">
        <v>47748.407624179003</v>
      </c>
      <c r="L897" s="27">
        <v>120431.47941018861</v>
      </c>
      <c r="M897" s="27">
        <v>239901.26075550658</v>
      </c>
    </row>
    <row r="898" spans="1:13" x14ac:dyDescent="0.75">
      <c r="A898" s="40">
        <v>896</v>
      </c>
      <c r="B898" s="27">
        <v>685.97846022280282</v>
      </c>
      <c r="C898" s="27">
        <v>1132.3149081651645</v>
      </c>
      <c r="D898" s="27">
        <v>1854.404937563464</v>
      </c>
      <c r="E898" s="27">
        <v>2956.4850404765748</v>
      </c>
      <c r="F898" s="27">
        <v>4752.0852114979352</v>
      </c>
      <c r="G898" s="27">
        <v>7026.3416824481392</v>
      </c>
      <c r="H898" s="27">
        <v>9151.0392616029567</v>
      </c>
      <c r="I898" s="27">
        <v>13126.061283190909</v>
      </c>
      <c r="J898" s="27">
        <v>21970.247292977321</v>
      </c>
      <c r="K898" s="27">
        <v>44247.103834597699</v>
      </c>
      <c r="L898" s="27">
        <v>111279.95253776835</v>
      </c>
      <c r="M898" s="27">
        <v>218182.01445051131</v>
      </c>
    </row>
    <row r="899" spans="1:13" x14ac:dyDescent="0.75">
      <c r="A899" s="40">
        <v>897</v>
      </c>
      <c r="B899" s="27">
        <v>460.64317918007146</v>
      </c>
      <c r="C899" s="27">
        <v>787.38830323425645</v>
      </c>
      <c r="D899" s="27">
        <v>1557.1185726350523</v>
      </c>
      <c r="E899" s="27">
        <v>2681.3274554154632</v>
      </c>
      <c r="F899" s="27">
        <v>4386.8342400710098</v>
      </c>
      <c r="G899" s="27">
        <v>6766.2686538888374</v>
      </c>
      <c r="H899" s="27">
        <v>9581.7429926724726</v>
      </c>
      <c r="I899" s="27">
        <v>13929.392687346</v>
      </c>
      <c r="J899" s="27">
        <v>23275.879725401304</v>
      </c>
      <c r="K899" s="27">
        <v>47877.058547033637</v>
      </c>
      <c r="L899" s="27">
        <v>114363.88504340616</v>
      </c>
      <c r="M899" s="27">
        <v>225667.53940028427</v>
      </c>
    </row>
    <row r="900" spans="1:13" x14ac:dyDescent="0.75">
      <c r="A900" s="40">
        <v>898</v>
      </c>
      <c r="B900" s="27">
        <v>759.32161192310741</v>
      </c>
      <c r="C900" s="27">
        <v>1315.1826156109892</v>
      </c>
      <c r="D900" s="27">
        <v>2333.1917411021714</v>
      </c>
      <c r="E900" s="27">
        <v>3442.7850209452736</v>
      </c>
      <c r="F900" s="27">
        <v>5276.5813155609503</v>
      </c>
      <c r="G900" s="27">
        <v>7928.9433107695659</v>
      </c>
      <c r="H900" s="27">
        <v>9975.9121443927579</v>
      </c>
      <c r="I900" s="27">
        <v>14395.765849940464</v>
      </c>
      <c r="J900" s="27">
        <v>23404.238802565713</v>
      </c>
      <c r="K900" s="27">
        <v>47709.23638095535</v>
      </c>
      <c r="L900" s="27">
        <v>123036.65734761221</v>
      </c>
      <c r="M900" s="27">
        <v>239577.81614137854</v>
      </c>
    </row>
    <row r="901" spans="1:13" x14ac:dyDescent="0.75">
      <c r="A901" s="40">
        <v>899</v>
      </c>
      <c r="B901" s="27">
        <v>827.69762734688993</v>
      </c>
      <c r="C901" s="27">
        <v>1497.2642391811096</v>
      </c>
      <c r="D901" s="27">
        <v>2183.4613424480485</v>
      </c>
      <c r="E901" s="27">
        <v>3105.5916622101649</v>
      </c>
      <c r="F901" s="27">
        <v>5340.4966036266123</v>
      </c>
      <c r="G901" s="27">
        <v>7435.5154983965622</v>
      </c>
      <c r="H901" s="27">
        <v>10116.508955962141</v>
      </c>
      <c r="I901" s="27">
        <v>14376.154141622465</v>
      </c>
      <c r="J901" s="27">
        <v>23064.466062831241</v>
      </c>
      <c r="K901" s="27">
        <v>45199.185266915592</v>
      </c>
      <c r="L901" s="27">
        <v>111353.56778702201</v>
      </c>
      <c r="M901" s="27">
        <v>224499.90918756282</v>
      </c>
    </row>
    <row r="902" spans="1:13" x14ac:dyDescent="0.75">
      <c r="A902" s="40">
        <v>900</v>
      </c>
      <c r="B902" s="27">
        <v>721.35070585178619</v>
      </c>
      <c r="C902" s="27">
        <v>1166.3822853521706</v>
      </c>
      <c r="D902" s="27">
        <v>2241.125335195873</v>
      </c>
      <c r="E902" s="27">
        <v>3236.6227932608308</v>
      </c>
      <c r="F902" s="27">
        <v>5166.7737453203881</v>
      </c>
      <c r="G902" s="27">
        <v>7326.8223603826773</v>
      </c>
      <c r="H902" s="27">
        <v>10077.370131110307</v>
      </c>
      <c r="I902" s="27">
        <v>13237.127782787837</v>
      </c>
      <c r="J902" s="27">
        <v>23264.723149358862</v>
      </c>
      <c r="K902" s="27">
        <v>45904.212224106595</v>
      </c>
      <c r="L902" s="27">
        <v>105980.63575509057</v>
      </c>
      <c r="M902" s="27">
        <v>218323.14626781788</v>
      </c>
    </row>
    <row r="903" spans="1:13" x14ac:dyDescent="0.75">
      <c r="A903" s="40">
        <v>901</v>
      </c>
      <c r="B903" s="27">
        <v>773.82132743143302</v>
      </c>
      <c r="C903" s="27">
        <v>1373.5295516249753</v>
      </c>
      <c r="D903" s="27">
        <v>2064.152731167138</v>
      </c>
      <c r="E903" s="27">
        <v>3146.9699717258773</v>
      </c>
      <c r="F903" s="27">
        <v>4984.4047479119181</v>
      </c>
      <c r="G903" s="27">
        <v>7401.7044685218716</v>
      </c>
      <c r="H903" s="27">
        <v>9715.5868152332841</v>
      </c>
      <c r="I903" s="27">
        <v>14475.725471584999</v>
      </c>
      <c r="J903" s="27">
        <v>23165.658346676209</v>
      </c>
      <c r="K903" s="27">
        <v>46719.004397772747</v>
      </c>
      <c r="L903" s="27">
        <v>113241.44540272199</v>
      </c>
      <c r="M903" s="27">
        <v>227062.00323237246</v>
      </c>
    </row>
    <row r="904" spans="1:13" x14ac:dyDescent="0.75">
      <c r="A904" s="40">
        <v>902</v>
      </c>
      <c r="B904" s="27">
        <v>1097.495578480215</v>
      </c>
      <c r="C904" s="27">
        <v>1712.326975750897</v>
      </c>
      <c r="D904" s="27">
        <v>2498.8393568975152</v>
      </c>
      <c r="E904" s="27">
        <v>4029.9236358112103</v>
      </c>
      <c r="F904" s="27">
        <v>5902.3856058904639</v>
      </c>
      <c r="G904" s="27">
        <v>9001.5340726728609</v>
      </c>
      <c r="H904" s="27">
        <v>11060.583102240824</v>
      </c>
      <c r="I904" s="27">
        <v>15558.676484405994</v>
      </c>
      <c r="J904" s="27">
        <v>23589.059506479898</v>
      </c>
      <c r="K904" s="27">
        <v>48259.518192817268</v>
      </c>
      <c r="L904" s="27">
        <v>112007.7953864826</v>
      </c>
      <c r="M904" s="27">
        <v>234718.13789792976</v>
      </c>
    </row>
    <row r="905" spans="1:13" x14ac:dyDescent="0.75">
      <c r="A905" s="40">
        <v>903</v>
      </c>
      <c r="B905" s="27">
        <v>633.89817221132398</v>
      </c>
      <c r="C905" s="27">
        <v>1282.9687588916713</v>
      </c>
      <c r="D905" s="27">
        <v>2498.2225398429146</v>
      </c>
      <c r="E905" s="27">
        <v>3730.9083123238815</v>
      </c>
      <c r="F905" s="27">
        <v>5555.1285051821033</v>
      </c>
      <c r="G905" s="27">
        <v>8102.0603930249927</v>
      </c>
      <c r="H905" s="27">
        <v>11031.154892503168</v>
      </c>
      <c r="I905" s="27">
        <v>14780.346347769329</v>
      </c>
      <c r="J905" s="27">
        <v>24010.676198034722</v>
      </c>
      <c r="K905" s="27">
        <v>45512.758109108865</v>
      </c>
      <c r="L905" s="27">
        <v>111792.8089889166</v>
      </c>
      <c r="M905" s="27">
        <v>228930.93121780956</v>
      </c>
    </row>
    <row r="906" spans="1:13" x14ac:dyDescent="0.75">
      <c r="A906" s="40">
        <v>904</v>
      </c>
      <c r="B906" s="27">
        <v>800.6742232235265</v>
      </c>
      <c r="C906" s="27">
        <v>925.52596872021968</v>
      </c>
      <c r="D906" s="27">
        <v>1612.4864970683848</v>
      </c>
      <c r="E906" s="27">
        <v>2675.6463003340323</v>
      </c>
      <c r="F906" s="27">
        <v>4673.7160551038978</v>
      </c>
      <c r="G906" s="27">
        <v>6861.1621833585814</v>
      </c>
      <c r="H906" s="27">
        <v>9219.3976346104319</v>
      </c>
      <c r="I906" s="27">
        <v>13759.642836222163</v>
      </c>
      <c r="J906" s="27">
        <v>22944.620869855644</v>
      </c>
      <c r="K906" s="27">
        <v>47892.744159758135</v>
      </c>
      <c r="L906" s="27">
        <v>115203.33050200279</v>
      </c>
      <c r="M906" s="27">
        <v>226568.94723025779</v>
      </c>
    </row>
    <row r="907" spans="1:13" x14ac:dyDescent="0.75">
      <c r="A907" s="40">
        <v>905</v>
      </c>
      <c r="B907" s="27">
        <v>1097.8037628107704</v>
      </c>
      <c r="C907" s="27">
        <v>1449.8962787310302</v>
      </c>
      <c r="D907" s="27">
        <v>2464.5392377470271</v>
      </c>
      <c r="E907" s="27">
        <v>3837.2553514766623</v>
      </c>
      <c r="F907" s="27">
        <v>5714.9882322968479</v>
      </c>
      <c r="G907" s="27">
        <v>8195.470330598182</v>
      </c>
      <c r="H907" s="27">
        <v>10186.698746008318</v>
      </c>
      <c r="I907" s="27">
        <v>14612.06712572636</v>
      </c>
      <c r="J907" s="27">
        <v>24530.294852605424</v>
      </c>
      <c r="K907" s="27">
        <v>46740.008899140492</v>
      </c>
      <c r="L907" s="27">
        <v>115950.36033652729</v>
      </c>
      <c r="M907" s="27">
        <v>234779.3831536684</v>
      </c>
    </row>
    <row r="908" spans="1:13" x14ac:dyDescent="0.75">
      <c r="A908" s="40">
        <v>906</v>
      </c>
      <c r="B908" s="27">
        <v>731.78256810114544</v>
      </c>
      <c r="C908" s="27">
        <v>1191.2405259763036</v>
      </c>
      <c r="D908" s="27">
        <v>1802.3308709894045</v>
      </c>
      <c r="E908" s="27">
        <v>2897.901148328383</v>
      </c>
      <c r="F908" s="27">
        <v>4866.4176662596292</v>
      </c>
      <c r="G908" s="27">
        <v>7156.2226081141271</v>
      </c>
      <c r="H908" s="27">
        <v>9955.8420628497552</v>
      </c>
      <c r="I908" s="27">
        <v>13322.985645799752</v>
      </c>
      <c r="J908" s="27">
        <v>23049.738786596528</v>
      </c>
      <c r="K908" s="27">
        <v>47750.565444618638</v>
      </c>
      <c r="L908" s="27">
        <v>112583.44944712552</v>
      </c>
      <c r="M908" s="27">
        <v>225308.47677475918</v>
      </c>
    </row>
    <row r="909" spans="1:13" x14ac:dyDescent="0.75">
      <c r="A909" s="40">
        <v>907</v>
      </c>
      <c r="B909" s="27">
        <v>1097.3443792270118</v>
      </c>
      <c r="C909" s="27">
        <v>2053.7499533812515</v>
      </c>
      <c r="D909" s="27">
        <v>2881.260235033129</v>
      </c>
      <c r="E909" s="27">
        <v>4018.4550738034159</v>
      </c>
      <c r="F909" s="27">
        <v>6319.4176165408571</v>
      </c>
      <c r="G909" s="27">
        <v>8625.6720728265063</v>
      </c>
      <c r="H909" s="27">
        <v>11031.177933587358</v>
      </c>
      <c r="I909" s="27">
        <v>14706.938538232644</v>
      </c>
      <c r="J909" s="27">
        <v>23463.19155075599</v>
      </c>
      <c r="K909" s="27">
        <v>47616.240899510361</v>
      </c>
      <c r="L909" s="27">
        <v>117038.51990824859</v>
      </c>
      <c r="M909" s="27">
        <v>238851.96816114712</v>
      </c>
    </row>
    <row r="910" spans="1:13" x14ac:dyDescent="0.75">
      <c r="A910" s="40">
        <v>908</v>
      </c>
      <c r="B910" s="27">
        <v>1035.0133675215329</v>
      </c>
      <c r="C910" s="27">
        <v>1673.9564690133702</v>
      </c>
      <c r="D910" s="27">
        <v>2591.6411096744705</v>
      </c>
      <c r="E910" s="27">
        <v>3843.5124038212816</v>
      </c>
      <c r="F910" s="27">
        <v>5749.3449430290493</v>
      </c>
      <c r="G910" s="27">
        <v>8240.1219006336469</v>
      </c>
      <c r="H910" s="27">
        <v>11383.670161330316</v>
      </c>
      <c r="I910" s="27">
        <v>14951.741768833119</v>
      </c>
      <c r="J910" s="27">
        <v>24115.340136922663</v>
      </c>
      <c r="K910" s="27">
        <v>47738.315355073239</v>
      </c>
      <c r="L910" s="27">
        <v>117898.36082125254</v>
      </c>
      <c r="M910" s="27">
        <v>239221.01843710523</v>
      </c>
    </row>
    <row r="911" spans="1:13" x14ac:dyDescent="0.75">
      <c r="A911" s="40">
        <v>909</v>
      </c>
      <c r="B911" s="27">
        <v>721.35675729966897</v>
      </c>
      <c r="C911" s="27">
        <v>1148.352253414414</v>
      </c>
      <c r="D911" s="27">
        <v>1855.7411724945414</v>
      </c>
      <c r="E911" s="27">
        <v>3104.0348217486317</v>
      </c>
      <c r="F911" s="27">
        <v>5328.910246723739</v>
      </c>
      <c r="G911" s="27">
        <v>7720.6772501044907</v>
      </c>
      <c r="H911" s="27">
        <v>10885.039129742567</v>
      </c>
      <c r="I911" s="27">
        <v>14445.829719587011</v>
      </c>
      <c r="J911" s="27">
        <v>23832.408288530016</v>
      </c>
      <c r="K911" s="27">
        <v>46094.414505280176</v>
      </c>
      <c r="L911" s="27">
        <v>109087.95513373615</v>
      </c>
      <c r="M911" s="27">
        <v>224224.71927866142</v>
      </c>
    </row>
    <row r="912" spans="1:13" x14ac:dyDescent="0.75">
      <c r="A912" s="40">
        <v>910</v>
      </c>
      <c r="B912" s="27">
        <v>666.59723226628557</v>
      </c>
      <c r="C912" s="27">
        <v>1392.8856956558448</v>
      </c>
      <c r="D912" s="27">
        <v>2143.4452732935315</v>
      </c>
      <c r="E912" s="27">
        <v>3239.5872152080265</v>
      </c>
      <c r="F912" s="27">
        <v>5139.3446906481404</v>
      </c>
      <c r="G912" s="27">
        <v>7367.4902365841845</v>
      </c>
      <c r="H912" s="27">
        <v>9895.7788693035545</v>
      </c>
      <c r="I912" s="27">
        <v>13849.04858524639</v>
      </c>
      <c r="J912" s="27">
        <v>22287.090257888805</v>
      </c>
      <c r="K912" s="27">
        <v>44032.505036675924</v>
      </c>
      <c r="L912" s="27">
        <v>104653.90383469222</v>
      </c>
      <c r="M912" s="27">
        <v>214667.67692746292</v>
      </c>
    </row>
    <row r="913" spans="1:13" x14ac:dyDescent="0.75">
      <c r="A913" s="40">
        <v>911</v>
      </c>
      <c r="B913" s="27">
        <v>806.82154632617312</v>
      </c>
      <c r="C913" s="27">
        <v>1567.3535336154455</v>
      </c>
      <c r="D913" s="27">
        <v>2351.9256697709934</v>
      </c>
      <c r="E913" s="27">
        <v>3487.3015631939779</v>
      </c>
      <c r="F913" s="27">
        <v>5252.0118636392872</v>
      </c>
      <c r="G913" s="27">
        <v>7744.4839838661428</v>
      </c>
      <c r="H913" s="27">
        <v>10263.917747891639</v>
      </c>
      <c r="I913" s="27">
        <v>14871.686411686445</v>
      </c>
      <c r="J913" s="27">
        <v>24184.266786881446</v>
      </c>
      <c r="K913" s="27">
        <v>46144.623713256457</v>
      </c>
      <c r="L913" s="27">
        <v>110748.16657717391</v>
      </c>
      <c r="M913" s="27">
        <v>227422.55939730193</v>
      </c>
    </row>
    <row r="914" spans="1:13" x14ac:dyDescent="0.75">
      <c r="A914" s="40">
        <v>912</v>
      </c>
      <c r="B914" s="27">
        <v>1201.6190886817494</v>
      </c>
      <c r="C914" s="27">
        <v>1971.9117399612878</v>
      </c>
      <c r="D914" s="27">
        <v>2669.9931195870158</v>
      </c>
      <c r="E914" s="27">
        <v>4041.5777972578944</v>
      </c>
      <c r="F914" s="27">
        <v>6572.2629025029892</v>
      </c>
      <c r="G914" s="27">
        <v>8502.4221478947147</v>
      </c>
      <c r="H914" s="27">
        <v>11700.93321947474</v>
      </c>
      <c r="I914" s="27">
        <v>15962.370206727704</v>
      </c>
      <c r="J914" s="27">
        <v>23873.402726490807</v>
      </c>
      <c r="K914" s="27">
        <v>46058.18404748771</v>
      </c>
      <c r="L914" s="27">
        <v>104969.2185692026</v>
      </c>
      <c r="M914" s="27">
        <v>227523.89556526922</v>
      </c>
    </row>
    <row r="915" spans="1:13" x14ac:dyDescent="0.75">
      <c r="A915" s="40">
        <v>913</v>
      </c>
      <c r="B915" s="27">
        <v>1128.9877590701217</v>
      </c>
      <c r="C915" s="27">
        <v>1498.4638763146941</v>
      </c>
      <c r="D915" s="27">
        <v>2511.6621674378403</v>
      </c>
      <c r="E915" s="27">
        <v>3726.2876319346542</v>
      </c>
      <c r="F915" s="27">
        <v>5693.4567325995886</v>
      </c>
      <c r="G915" s="27">
        <v>8504.7327960316325</v>
      </c>
      <c r="H915" s="27">
        <v>10849.099026043812</v>
      </c>
      <c r="I915" s="27">
        <v>15116.17753899208</v>
      </c>
      <c r="J915" s="27">
        <v>24806.43697315098</v>
      </c>
      <c r="K915" s="27">
        <v>47355.447418901385</v>
      </c>
      <c r="L915" s="27">
        <v>112418.54075810866</v>
      </c>
      <c r="M915" s="27">
        <v>233609.29267858545</v>
      </c>
    </row>
    <row r="916" spans="1:13" x14ac:dyDescent="0.75">
      <c r="A916" s="40">
        <v>914</v>
      </c>
      <c r="B916" s="27">
        <v>1269.6333152991283</v>
      </c>
      <c r="C916" s="27">
        <v>1978.6923394295591</v>
      </c>
      <c r="D916" s="27">
        <v>3020.7162752416043</v>
      </c>
      <c r="E916" s="27">
        <v>4235.41363286454</v>
      </c>
      <c r="F916" s="27">
        <v>6191.5220567433862</v>
      </c>
      <c r="G916" s="27">
        <v>8646.2149124965072</v>
      </c>
      <c r="H916" s="27">
        <v>11472.623337383979</v>
      </c>
      <c r="I916" s="27">
        <v>15852.042581642687</v>
      </c>
      <c r="J916" s="27">
        <v>24909.488844113599</v>
      </c>
      <c r="K916" s="27">
        <v>48860.156457608653</v>
      </c>
      <c r="L916" s="27">
        <v>112205.59865456875</v>
      </c>
      <c r="M916" s="27">
        <v>238642.10240739241</v>
      </c>
    </row>
    <row r="917" spans="1:13" x14ac:dyDescent="0.75">
      <c r="A917" s="40">
        <v>915</v>
      </c>
      <c r="B917" s="27">
        <v>729.52186608032207</v>
      </c>
      <c r="C917" s="27">
        <v>1085.4938557661226</v>
      </c>
      <c r="D917" s="27">
        <v>1845.1021569355507</v>
      </c>
      <c r="E917" s="27">
        <v>2659.730777801451</v>
      </c>
      <c r="F917" s="27">
        <v>4379.1138596053061</v>
      </c>
      <c r="G917" s="27">
        <v>6631.7871598969796</v>
      </c>
      <c r="H917" s="27">
        <v>9442.8936012062477</v>
      </c>
      <c r="I917" s="27">
        <v>13313.713379406181</v>
      </c>
      <c r="J917" s="27">
        <v>22896.602885808068</v>
      </c>
      <c r="K917" s="27">
        <v>46454.508725321182</v>
      </c>
      <c r="L917" s="27">
        <v>118289.19951468246</v>
      </c>
      <c r="M917" s="27">
        <v>227727.66778250987</v>
      </c>
    </row>
    <row r="918" spans="1:13" x14ac:dyDescent="0.75">
      <c r="A918" s="40">
        <v>916</v>
      </c>
      <c r="B918" s="27">
        <v>200.7663922439242</v>
      </c>
      <c r="C918" s="27">
        <v>654.83167702569335</v>
      </c>
      <c r="D918" s="27">
        <v>1556.9141821507073</v>
      </c>
      <c r="E918" s="27">
        <v>2817.2870835925278</v>
      </c>
      <c r="F918" s="27">
        <v>4288.5171192324779</v>
      </c>
      <c r="G918" s="27">
        <v>6248.8485714765848</v>
      </c>
      <c r="H918" s="27">
        <v>8772.0009489499353</v>
      </c>
      <c r="I918" s="27">
        <v>12960.726314927684</v>
      </c>
      <c r="J918" s="27">
        <v>21800.892337061203</v>
      </c>
      <c r="K918" s="27">
        <v>45437.681308206375</v>
      </c>
      <c r="L918" s="27">
        <v>102905.00357019034</v>
      </c>
      <c r="M918" s="27">
        <v>207643.46950505744</v>
      </c>
    </row>
    <row r="919" spans="1:13" x14ac:dyDescent="0.75">
      <c r="A919" s="40">
        <v>917</v>
      </c>
      <c r="B919" s="27">
        <v>695.60850179057161</v>
      </c>
      <c r="C919" s="27">
        <v>1417.5599377490144</v>
      </c>
      <c r="D919" s="27">
        <v>2173.0446613326203</v>
      </c>
      <c r="E919" s="27">
        <v>3242.1317845238809</v>
      </c>
      <c r="F919" s="27">
        <v>5076.7032272072101</v>
      </c>
      <c r="G919" s="27">
        <v>7535.974222600169</v>
      </c>
      <c r="H919" s="27">
        <v>10282.089213703526</v>
      </c>
      <c r="I919" s="27">
        <v>13665.285513478433</v>
      </c>
      <c r="J919" s="27">
        <v>23487.742198459178</v>
      </c>
      <c r="K919" s="27">
        <v>46661.009031623078</v>
      </c>
      <c r="L919" s="27">
        <v>107530.73516911184</v>
      </c>
      <c r="M919" s="27">
        <v>221767.88346157951</v>
      </c>
    </row>
    <row r="920" spans="1:13" x14ac:dyDescent="0.75">
      <c r="A920" s="40">
        <v>918</v>
      </c>
      <c r="B920" s="27">
        <v>752.9437913637521</v>
      </c>
      <c r="C920" s="27">
        <v>1209.9243487471249</v>
      </c>
      <c r="D920" s="27">
        <v>2151.5205971505347</v>
      </c>
      <c r="E920" s="27">
        <v>3163.1811385801993</v>
      </c>
      <c r="F920" s="27">
        <v>4911.3769414098351</v>
      </c>
      <c r="G920" s="27">
        <v>7166.487382109015</v>
      </c>
      <c r="H920" s="27">
        <v>9417.6092583198915</v>
      </c>
      <c r="I920" s="27">
        <v>14427.149587201944</v>
      </c>
      <c r="J920" s="27">
        <v>22562.54850244429</v>
      </c>
      <c r="K920" s="27">
        <v>46471.372074846746</v>
      </c>
      <c r="L920" s="27">
        <v>112974.91511151304</v>
      </c>
      <c r="M920" s="27">
        <v>225209.02873368637</v>
      </c>
    </row>
    <row r="921" spans="1:13" x14ac:dyDescent="0.75">
      <c r="A921" s="40">
        <v>919</v>
      </c>
      <c r="B921" s="27">
        <v>1576.1824368483212</v>
      </c>
      <c r="C921" s="27">
        <v>2222.4308705432777</v>
      </c>
      <c r="D921" s="27">
        <v>2898.3006439549354</v>
      </c>
      <c r="E921" s="27">
        <v>4173.1824147632287</v>
      </c>
      <c r="F921" s="27">
        <v>6514.1380801409832</v>
      </c>
      <c r="G921" s="27">
        <v>9310.9288923921122</v>
      </c>
      <c r="H921" s="27">
        <v>11749.814203083835</v>
      </c>
      <c r="I921" s="27">
        <v>15182.771254273306</v>
      </c>
      <c r="J921" s="27">
        <v>24641.137371224148</v>
      </c>
      <c r="K921" s="27">
        <v>49588.840874956353</v>
      </c>
      <c r="L921" s="27">
        <v>122201.74289656004</v>
      </c>
      <c r="M921" s="27">
        <v>250059.46993874054</v>
      </c>
    </row>
    <row r="922" spans="1:13" x14ac:dyDescent="0.75">
      <c r="A922" s="40">
        <v>920</v>
      </c>
      <c r="B922" s="27">
        <v>716.52898128346715</v>
      </c>
      <c r="C922" s="27">
        <v>1189.7803773291234</v>
      </c>
      <c r="D922" s="27">
        <v>1832.1942197655153</v>
      </c>
      <c r="E922" s="27">
        <v>3013.8904545026453</v>
      </c>
      <c r="F922" s="27">
        <v>4623.892022844957</v>
      </c>
      <c r="G922" s="27">
        <v>6897.3362295033585</v>
      </c>
      <c r="H922" s="27">
        <v>9721.7010103842476</v>
      </c>
      <c r="I922" s="27">
        <v>14057.251356893932</v>
      </c>
      <c r="J922" s="27">
        <v>23414.514344172247</v>
      </c>
      <c r="K922" s="27">
        <v>45910.916430596029</v>
      </c>
      <c r="L922" s="27">
        <v>108977.59061536606</v>
      </c>
      <c r="M922" s="27">
        <v>220355.59604264158</v>
      </c>
    </row>
    <row r="923" spans="1:13" x14ac:dyDescent="0.75">
      <c r="A923" s="40">
        <v>921</v>
      </c>
      <c r="B923" s="27">
        <v>1071.8043678065878</v>
      </c>
      <c r="C923" s="27">
        <v>1835.4409489164536</v>
      </c>
      <c r="D923" s="27">
        <v>2675.8512174773641</v>
      </c>
      <c r="E923" s="27">
        <v>4203.5418303650804</v>
      </c>
      <c r="F923" s="27">
        <v>5901.2695148014755</v>
      </c>
      <c r="G923" s="27">
        <v>8300.6294146344007</v>
      </c>
      <c r="H923" s="27">
        <v>10530.16762750363</v>
      </c>
      <c r="I923" s="27">
        <v>14596.749855643575</v>
      </c>
      <c r="J923" s="27">
        <v>22926.236419595545</v>
      </c>
      <c r="K923" s="27">
        <v>45963.550628962286</v>
      </c>
      <c r="L923" s="27">
        <v>117053.73995230073</v>
      </c>
      <c r="M923" s="27">
        <v>235058.98177800712</v>
      </c>
    </row>
    <row r="924" spans="1:13" x14ac:dyDescent="0.75">
      <c r="A924" s="40">
        <v>922</v>
      </c>
      <c r="B924" s="27">
        <v>845.50246084757964</v>
      </c>
      <c r="C924" s="27">
        <v>1394.6496287470509</v>
      </c>
      <c r="D924" s="27">
        <v>2230.8123933280731</v>
      </c>
      <c r="E924" s="27">
        <v>3444.1586472581839</v>
      </c>
      <c r="F924" s="27">
        <v>5305.0576391170325</v>
      </c>
      <c r="G924" s="27">
        <v>7605.9766064885189</v>
      </c>
      <c r="H924" s="27">
        <v>10230.374126252747</v>
      </c>
      <c r="I924" s="27">
        <v>14317.536398537559</v>
      </c>
      <c r="J924" s="27">
        <v>22980.247550910048</v>
      </c>
      <c r="K924" s="27">
        <v>48487.127102756087</v>
      </c>
      <c r="L924" s="27">
        <v>105260.55917963307</v>
      </c>
      <c r="M924" s="27">
        <v>222102.00173387595</v>
      </c>
    </row>
    <row r="925" spans="1:13" x14ac:dyDescent="0.75">
      <c r="A925" s="40">
        <v>923</v>
      </c>
      <c r="B925" s="27">
        <v>1093.1668605631858</v>
      </c>
      <c r="C925" s="27">
        <v>1768.3689408625942</v>
      </c>
      <c r="D925" s="27">
        <v>2906.4508798591414</v>
      </c>
      <c r="E925" s="27">
        <v>3998.019343986758</v>
      </c>
      <c r="F925" s="27">
        <v>5690.0268176553509</v>
      </c>
      <c r="G925" s="27">
        <v>8052.6324582965754</v>
      </c>
      <c r="H925" s="27">
        <v>10725.905251929129</v>
      </c>
      <c r="I925" s="27">
        <v>15511.248951864123</v>
      </c>
      <c r="J925" s="27">
        <v>23284.377687277447</v>
      </c>
      <c r="K925" s="27">
        <v>46005.938958346087</v>
      </c>
      <c r="L925" s="27">
        <v>114806.25942000226</v>
      </c>
      <c r="M925" s="27">
        <v>233842.39557064266</v>
      </c>
    </row>
    <row r="926" spans="1:13" x14ac:dyDescent="0.75">
      <c r="A926" s="40">
        <v>924</v>
      </c>
      <c r="B926" s="27">
        <v>843.22932863522146</v>
      </c>
      <c r="C926" s="27">
        <v>1249.8143484883185</v>
      </c>
      <c r="D926" s="27">
        <v>1995.7142090715788</v>
      </c>
      <c r="E926" s="27">
        <v>3174.8506555241911</v>
      </c>
      <c r="F926" s="27">
        <v>4836.3683304294827</v>
      </c>
      <c r="G926" s="27">
        <v>7115.8495426987938</v>
      </c>
      <c r="H926" s="27">
        <v>9892.2983727496758</v>
      </c>
      <c r="I926" s="27">
        <v>14332.513095003145</v>
      </c>
      <c r="J926" s="27">
        <v>23858.27940025671</v>
      </c>
      <c r="K926" s="27">
        <v>44118.325356078305</v>
      </c>
      <c r="L926" s="27">
        <v>104747.76101109514</v>
      </c>
      <c r="M926" s="27">
        <v>216165.00365003056</v>
      </c>
    </row>
    <row r="927" spans="1:13" x14ac:dyDescent="0.75">
      <c r="A927" s="40">
        <v>925</v>
      </c>
      <c r="B927" s="27">
        <v>1039.0459236813913</v>
      </c>
      <c r="C927" s="27">
        <v>1550.0277392508287</v>
      </c>
      <c r="D927" s="27">
        <v>2604.6597633326746</v>
      </c>
      <c r="E927" s="27">
        <v>3410.1749739088118</v>
      </c>
      <c r="F927" s="27">
        <v>5720.6621946575469</v>
      </c>
      <c r="G927" s="27">
        <v>7977.014620127622</v>
      </c>
      <c r="H927" s="27">
        <v>11003.417475179245</v>
      </c>
      <c r="I927" s="27">
        <v>14763.046732076589</v>
      </c>
      <c r="J927" s="27">
        <v>23296.807619724408</v>
      </c>
      <c r="K927" s="27">
        <v>49103.286020527652</v>
      </c>
      <c r="L927" s="27">
        <v>108891.08645143878</v>
      </c>
      <c r="M927" s="27">
        <v>229359.22951390553</v>
      </c>
    </row>
    <row r="928" spans="1:13" x14ac:dyDescent="0.75">
      <c r="A928" s="40">
        <v>926</v>
      </c>
      <c r="B928" s="27">
        <v>867.07059144055529</v>
      </c>
      <c r="C928" s="27">
        <v>1555.1343897158367</v>
      </c>
      <c r="D928" s="27">
        <v>2434.8346125255048</v>
      </c>
      <c r="E928" s="27">
        <v>3600.0853577199159</v>
      </c>
      <c r="F928" s="27">
        <v>5815.7520430880832</v>
      </c>
      <c r="G928" s="27">
        <v>8172.8621678692871</v>
      </c>
      <c r="H928" s="27">
        <v>10437.150256212524</v>
      </c>
      <c r="I928" s="27">
        <v>15313.485848488432</v>
      </c>
      <c r="J928" s="27">
        <v>23568.678757791684</v>
      </c>
      <c r="K928" s="27">
        <v>47902.661429347121</v>
      </c>
      <c r="L928" s="27">
        <v>111579.21123331315</v>
      </c>
      <c r="M928" s="27">
        <v>231246.92668751208</v>
      </c>
    </row>
    <row r="929" spans="1:13" x14ac:dyDescent="0.75">
      <c r="A929" s="40">
        <v>927</v>
      </c>
      <c r="B929" s="27">
        <v>371.3750379543344</v>
      </c>
      <c r="C929" s="27">
        <v>717.31451721276972</v>
      </c>
      <c r="D929" s="27">
        <v>1773.1981081450358</v>
      </c>
      <c r="E929" s="27">
        <v>2921.3690938561631</v>
      </c>
      <c r="F929" s="27">
        <v>4671.5963114389742</v>
      </c>
      <c r="G929" s="27">
        <v>7229.9333093067689</v>
      </c>
      <c r="H929" s="27">
        <v>9918.8508013689134</v>
      </c>
      <c r="I929" s="27">
        <v>14137.701532212697</v>
      </c>
      <c r="J929" s="27">
        <v>21741.577740694673</v>
      </c>
      <c r="K929" s="27">
        <v>44331.519187801052</v>
      </c>
      <c r="L929" s="27">
        <v>113551.3036231194</v>
      </c>
      <c r="M929" s="27">
        <v>221365.73926311079</v>
      </c>
    </row>
    <row r="930" spans="1:13" x14ac:dyDescent="0.75">
      <c r="A930" s="40">
        <v>928</v>
      </c>
      <c r="B930" s="27">
        <v>679.06321306500467</v>
      </c>
      <c r="C930" s="27">
        <v>1030.081402872398</v>
      </c>
      <c r="D930" s="27">
        <v>1636.2036852512974</v>
      </c>
      <c r="E930" s="27">
        <v>2855.591697857104</v>
      </c>
      <c r="F930" s="27">
        <v>4869.9801317282254</v>
      </c>
      <c r="G930" s="27">
        <v>7161.4334050404141</v>
      </c>
      <c r="H930" s="27">
        <v>9946.5037084228243</v>
      </c>
      <c r="I930" s="27">
        <v>14742.895968997676</v>
      </c>
      <c r="J930" s="27">
        <v>22483.186115903402</v>
      </c>
      <c r="K930" s="27">
        <v>46003.325464752575</v>
      </c>
      <c r="L930" s="27">
        <v>115226.57748819183</v>
      </c>
      <c r="M930" s="27">
        <v>226634.84228208277</v>
      </c>
    </row>
    <row r="931" spans="1:13" x14ac:dyDescent="0.75">
      <c r="A931" s="40">
        <v>929</v>
      </c>
      <c r="B931" s="27">
        <v>437.85178530374833</v>
      </c>
      <c r="C931" s="27">
        <v>789.85286426180392</v>
      </c>
      <c r="D931" s="27">
        <v>1905.6327592378802</v>
      </c>
      <c r="E931" s="27">
        <v>3180.8974282457348</v>
      </c>
      <c r="F931" s="27">
        <v>4957.7866852978914</v>
      </c>
      <c r="G931" s="27">
        <v>7331.3833487465745</v>
      </c>
      <c r="H931" s="27">
        <v>10123.099445617408</v>
      </c>
      <c r="I931" s="27">
        <v>13590.555313916513</v>
      </c>
      <c r="J931" s="27">
        <v>23069.52191465412</v>
      </c>
      <c r="K931" s="27">
        <v>45137.732705979681</v>
      </c>
      <c r="L931" s="27">
        <v>113406.37630446114</v>
      </c>
      <c r="M931" s="27">
        <v>223930.69055572251</v>
      </c>
    </row>
    <row r="932" spans="1:13" x14ac:dyDescent="0.75">
      <c r="A932" s="40">
        <v>930</v>
      </c>
      <c r="B932" s="27">
        <v>212.58556812437018</v>
      </c>
      <c r="C932" s="27">
        <v>500.58896460822143</v>
      </c>
      <c r="D932" s="27">
        <v>1177.724388464776</v>
      </c>
      <c r="E932" s="27">
        <v>2230.1830407889647</v>
      </c>
      <c r="F932" s="27">
        <v>4023.936728756802</v>
      </c>
      <c r="G932" s="27">
        <v>6160.9326235973567</v>
      </c>
      <c r="H932" s="27">
        <v>8769.3794716180419</v>
      </c>
      <c r="I932" s="27">
        <v>13103.140891673102</v>
      </c>
      <c r="J932" s="27">
        <v>22930.146746874496</v>
      </c>
      <c r="K932" s="27">
        <v>45696.90481875831</v>
      </c>
      <c r="L932" s="27">
        <v>113545.03077001142</v>
      </c>
      <c r="M932" s="27">
        <v>218350.55401327586</v>
      </c>
    </row>
    <row r="933" spans="1:13" x14ac:dyDescent="0.75">
      <c r="A933" s="40">
        <v>931</v>
      </c>
      <c r="B933" s="27">
        <v>1067.6900885454961</v>
      </c>
      <c r="C933" s="27">
        <v>1387.6998643828992</v>
      </c>
      <c r="D933" s="27">
        <v>2469.9843338904029</v>
      </c>
      <c r="E933" s="27">
        <v>3744.2339203758602</v>
      </c>
      <c r="F933" s="27">
        <v>5610.5948171620548</v>
      </c>
      <c r="G933" s="27">
        <v>8083.825739642285</v>
      </c>
      <c r="H933" s="27">
        <v>11096.172417111549</v>
      </c>
      <c r="I933" s="27">
        <v>14868.7610444647</v>
      </c>
      <c r="J933" s="27">
        <v>24050.109382218812</v>
      </c>
      <c r="K933" s="27">
        <v>45805.119747123681</v>
      </c>
      <c r="L933" s="27">
        <v>120682.21356231629</v>
      </c>
      <c r="M933" s="27">
        <v>238866.40491723403</v>
      </c>
    </row>
    <row r="934" spans="1:13" x14ac:dyDescent="0.75">
      <c r="A934" s="40">
        <v>932</v>
      </c>
      <c r="B934" s="27">
        <v>622.75735463276214</v>
      </c>
      <c r="C934" s="27">
        <v>1097.9954749414464</v>
      </c>
      <c r="D934" s="27">
        <v>1792.246387098945</v>
      </c>
      <c r="E934" s="27">
        <v>3441.3130505868321</v>
      </c>
      <c r="F934" s="27">
        <v>5381.7728030347789</v>
      </c>
      <c r="G934" s="27">
        <v>7833.2064967521292</v>
      </c>
      <c r="H934" s="27">
        <v>10303.932962757055</v>
      </c>
      <c r="I934" s="27">
        <v>14241.060907827967</v>
      </c>
      <c r="J934" s="27">
        <v>23268.476484536921</v>
      </c>
      <c r="K934" s="27">
        <v>46287.882637469738</v>
      </c>
      <c r="L934" s="27">
        <v>108335.00259215856</v>
      </c>
      <c r="M934" s="27">
        <v>222605.64715179714</v>
      </c>
    </row>
    <row r="935" spans="1:13" x14ac:dyDescent="0.75">
      <c r="A935" s="40">
        <v>933</v>
      </c>
      <c r="B935" s="27">
        <v>625.93175271022483</v>
      </c>
      <c r="C935" s="27">
        <v>1132.3846856204764</v>
      </c>
      <c r="D935" s="27">
        <v>2122.3468923951878</v>
      </c>
      <c r="E935" s="27">
        <v>3368.816167503217</v>
      </c>
      <c r="F935" s="27">
        <v>5055.8195082678576</v>
      </c>
      <c r="G935" s="27">
        <v>6880.3490104076336</v>
      </c>
      <c r="H935" s="27">
        <v>9422.9006157367985</v>
      </c>
      <c r="I935" s="27">
        <v>13471.567972880963</v>
      </c>
      <c r="J935" s="27">
        <v>21277.454395656474</v>
      </c>
      <c r="K935" s="27">
        <v>43289.548140924308</v>
      </c>
      <c r="L935" s="27">
        <v>110715.89055640131</v>
      </c>
      <c r="M935" s="27">
        <v>217363.00969850447</v>
      </c>
    </row>
    <row r="936" spans="1:13" x14ac:dyDescent="0.75">
      <c r="A936" s="40">
        <v>934</v>
      </c>
      <c r="B936" s="27">
        <v>526.83411904139211</v>
      </c>
      <c r="C936" s="27">
        <v>1172.5792137664394</v>
      </c>
      <c r="D936" s="27">
        <v>2200.6943273856741</v>
      </c>
      <c r="E936" s="27">
        <v>3473.9441029712907</v>
      </c>
      <c r="F936" s="27">
        <v>5647.1470704295207</v>
      </c>
      <c r="G936" s="27">
        <v>7833.8295967215381</v>
      </c>
      <c r="H936" s="27">
        <v>10732.675521206256</v>
      </c>
      <c r="I936" s="27">
        <v>15289.453777528091</v>
      </c>
      <c r="J936" s="27">
        <v>24504.029572725864</v>
      </c>
      <c r="K936" s="27">
        <v>47309.423504354199</v>
      </c>
      <c r="L936" s="27">
        <v>109655.19470073817</v>
      </c>
      <c r="M936" s="27">
        <v>228345.80550686843</v>
      </c>
    </row>
    <row r="937" spans="1:13" x14ac:dyDescent="0.75">
      <c r="A937" s="40">
        <v>935</v>
      </c>
      <c r="B937" s="27">
        <v>893.26420253700053</v>
      </c>
      <c r="C937" s="27">
        <v>1308.8995277684298</v>
      </c>
      <c r="D937" s="27">
        <v>2072.3664613438596</v>
      </c>
      <c r="E937" s="27">
        <v>3403.2794714555203</v>
      </c>
      <c r="F937" s="27">
        <v>4898.6527445313841</v>
      </c>
      <c r="G937" s="27">
        <v>7704.9335275817721</v>
      </c>
      <c r="H937" s="27">
        <v>9737.2754855545791</v>
      </c>
      <c r="I937" s="27">
        <v>14178.128175599821</v>
      </c>
      <c r="J937" s="27">
        <v>23411.304724037298</v>
      </c>
      <c r="K937" s="27">
        <v>46579.111541249556</v>
      </c>
      <c r="L937" s="27">
        <v>120672.40518867546</v>
      </c>
      <c r="M937" s="27">
        <v>234859.62105033468</v>
      </c>
    </row>
    <row r="938" spans="1:13" x14ac:dyDescent="0.75">
      <c r="A938" s="40">
        <v>936</v>
      </c>
      <c r="B938" s="27">
        <v>588.3588511843991</v>
      </c>
      <c r="C938" s="27">
        <v>982.47860580480483</v>
      </c>
      <c r="D938" s="27">
        <v>1917.3593685834203</v>
      </c>
      <c r="E938" s="27">
        <v>2981.8902685619687</v>
      </c>
      <c r="F938" s="27">
        <v>4387.2861592731933</v>
      </c>
      <c r="G938" s="27">
        <v>7428.4262521681667</v>
      </c>
      <c r="H938" s="27">
        <v>10237.79483624702</v>
      </c>
      <c r="I938" s="27">
        <v>13654.090103316063</v>
      </c>
      <c r="J938" s="27">
        <v>21994.131057092542</v>
      </c>
      <c r="K938" s="27">
        <v>44403.21296897807</v>
      </c>
      <c r="L938" s="27">
        <v>116180.59228202392</v>
      </c>
      <c r="M938" s="27">
        <v>224755.62075323355</v>
      </c>
    </row>
    <row r="939" spans="1:13" x14ac:dyDescent="0.75">
      <c r="A939" s="40">
        <v>937</v>
      </c>
      <c r="B939" s="27">
        <v>672.28851887561905</v>
      </c>
      <c r="C939" s="27">
        <v>1339.5967771096621</v>
      </c>
      <c r="D939" s="27">
        <v>2241.9535236547235</v>
      </c>
      <c r="E939" s="27">
        <v>3389.9660659381771</v>
      </c>
      <c r="F939" s="27">
        <v>4990.3803528258286</v>
      </c>
      <c r="G939" s="27">
        <v>6565.1855560586555</v>
      </c>
      <c r="H939" s="27">
        <v>9750.250931591203</v>
      </c>
      <c r="I939" s="27">
        <v>13214.927588151957</v>
      </c>
      <c r="J939" s="27">
        <v>21940.93355820376</v>
      </c>
      <c r="K939" s="27">
        <v>48500.551531848905</v>
      </c>
      <c r="L939" s="27">
        <v>103301.52260525679</v>
      </c>
      <c r="M939" s="27">
        <v>215907.55700951529</v>
      </c>
    </row>
    <row r="940" spans="1:13" x14ac:dyDescent="0.75">
      <c r="A940" s="40">
        <v>938</v>
      </c>
      <c r="B940" s="27">
        <v>545.38717777939746</v>
      </c>
      <c r="C940" s="27">
        <v>931.11377411313879</v>
      </c>
      <c r="D940" s="27">
        <v>1750.9669741813705</v>
      </c>
      <c r="E940" s="27">
        <v>2841.4782292566961</v>
      </c>
      <c r="F940" s="27">
        <v>4738.5749721525062</v>
      </c>
      <c r="G940" s="27">
        <v>6910.2106486881676</v>
      </c>
      <c r="H940" s="27">
        <v>9347.2671288995043</v>
      </c>
      <c r="I940" s="27">
        <v>13809.467740140783</v>
      </c>
      <c r="J940" s="27">
        <v>20580.789403589777</v>
      </c>
      <c r="K940" s="27">
        <v>43961.322023744055</v>
      </c>
      <c r="L940" s="27">
        <v>115526.81074181225</v>
      </c>
      <c r="M940" s="27">
        <v>220943.38881435763</v>
      </c>
    </row>
    <row r="941" spans="1:13" x14ac:dyDescent="0.75">
      <c r="A941" s="40">
        <v>939</v>
      </c>
      <c r="B941" s="27">
        <v>936.74920507954084</v>
      </c>
      <c r="C941" s="27">
        <v>1441.7833674652065</v>
      </c>
      <c r="D941" s="27">
        <v>2254.2353027660429</v>
      </c>
      <c r="E941" s="27">
        <v>3431.9909851212869</v>
      </c>
      <c r="F941" s="27">
        <v>5730.1325249656802</v>
      </c>
      <c r="G941" s="27">
        <v>8120.9523465303937</v>
      </c>
      <c r="H941" s="27">
        <v>11015.055788002646</v>
      </c>
      <c r="I941" s="27">
        <v>14879.361699226662</v>
      </c>
      <c r="J941" s="27">
        <v>22610.691069548251</v>
      </c>
      <c r="K941" s="27">
        <v>47804.488842302962</v>
      </c>
      <c r="L941" s="27">
        <v>111992.73334390123</v>
      </c>
      <c r="M941" s="27">
        <v>230218.1744749099</v>
      </c>
    </row>
    <row r="942" spans="1:13" x14ac:dyDescent="0.75">
      <c r="A942" s="40">
        <v>940</v>
      </c>
      <c r="B942" s="27">
        <v>563.65114047670795</v>
      </c>
      <c r="C942" s="27">
        <v>1169.9488546540379</v>
      </c>
      <c r="D942" s="27">
        <v>1947.1525684090011</v>
      </c>
      <c r="E942" s="27">
        <v>3019.2000099530123</v>
      </c>
      <c r="F942" s="27">
        <v>5053.2611688782636</v>
      </c>
      <c r="G942" s="27">
        <v>7588.7012111973891</v>
      </c>
      <c r="H942" s="27">
        <v>10754.98826362018</v>
      </c>
      <c r="I942" s="27">
        <v>14461.224197386706</v>
      </c>
      <c r="J942" s="27">
        <v>22890.829466139417</v>
      </c>
      <c r="K942" s="27">
        <v>46557.68589037616</v>
      </c>
      <c r="L942" s="27">
        <v>108633.98804805108</v>
      </c>
      <c r="M942" s="27">
        <v>222640.63081914195</v>
      </c>
    </row>
    <row r="943" spans="1:13" x14ac:dyDescent="0.75">
      <c r="A943" s="40">
        <v>941</v>
      </c>
      <c r="B943" s="27">
        <v>478.35408407844079</v>
      </c>
      <c r="C943" s="27">
        <v>903.91514361882582</v>
      </c>
      <c r="D943" s="27">
        <v>1825.5103351281723</v>
      </c>
      <c r="E943" s="27">
        <v>2848.4228116182348</v>
      </c>
      <c r="F943" s="27">
        <v>4388.2466426222818</v>
      </c>
      <c r="G943" s="27">
        <v>6597.2098128459766</v>
      </c>
      <c r="H943" s="27">
        <v>9531.8055900869222</v>
      </c>
      <c r="I943" s="27">
        <v>13865.551029536975</v>
      </c>
      <c r="J943" s="27">
        <v>21857.712046638029</v>
      </c>
      <c r="K943" s="27">
        <v>47854.80826090851</v>
      </c>
      <c r="L943" s="27">
        <v>118117.17316720428</v>
      </c>
      <c r="M943" s="27">
        <v>228268.70892428665</v>
      </c>
    </row>
    <row r="944" spans="1:13" x14ac:dyDescent="0.75">
      <c r="A944" s="40">
        <v>942</v>
      </c>
      <c r="B944" s="27">
        <v>1133.4516816941032</v>
      </c>
      <c r="C944" s="27">
        <v>1545.3802340454131</v>
      </c>
      <c r="D944" s="27">
        <v>2503.1242267563066</v>
      </c>
      <c r="E944" s="27">
        <v>3917.1094045332138</v>
      </c>
      <c r="F944" s="27">
        <v>6035.1983352048555</v>
      </c>
      <c r="G944" s="27">
        <v>7805.6825984974566</v>
      </c>
      <c r="H944" s="27">
        <v>10495.190143149492</v>
      </c>
      <c r="I944" s="27">
        <v>14675.994266094014</v>
      </c>
      <c r="J944" s="27">
        <v>24054.982477807818</v>
      </c>
      <c r="K944" s="27">
        <v>46423.411609719187</v>
      </c>
      <c r="L944" s="27">
        <v>107097.10821268175</v>
      </c>
      <c r="M944" s="27">
        <v>225686.63319018361</v>
      </c>
    </row>
    <row r="945" spans="1:13" x14ac:dyDescent="0.75">
      <c r="A945" s="40">
        <v>943</v>
      </c>
      <c r="B945" s="27">
        <v>827.66416135444888</v>
      </c>
      <c r="C945" s="27">
        <v>1164.247622380004</v>
      </c>
      <c r="D945" s="27">
        <v>2225.5524293751951</v>
      </c>
      <c r="E945" s="27">
        <v>3281.4049524311122</v>
      </c>
      <c r="F945" s="27">
        <v>5090.6658712162462</v>
      </c>
      <c r="G945" s="27">
        <v>7488.0617636417737</v>
      </c>
      <c r="H945" s="27">
        <v>9520.1289024681464</v>
      </c>
      <c r="I945" s="27">
        <v>14603.305586512855</v>
      </c>
      <c r="J945" s="27">
        <v>23523.613701089751</v>
      </c>
      <c r="K945" s="27">
        <v>47767.487540657399</v>
      </c>
      <c r="L945" s="27">
        <v>107253.54052694314</v>
      </c>
      <c r="M945" s="27">
        <v>222745.67305807007</v>
      </c>
    </row>
    <row r="946" spans="1:13" x14ac:dyDescent="0.75">
      <c r="A946" s="40">
        <v>944</v>
      </c>
      <c r="B946" s="27">
        <v>1208.7988666683377</v>
      </c>
      <c r="C946" s="27">
        <v>1838.2517834912287</v>
      </c>
      <c r="D946" s="27">
        <v>2884.1093941896106</v>
      </c>
      <c r="E946" s="27">
        <v>4061.5688971971249</v>
      </c>
      <c r="F946" s="27">
        <v>6893.575596559007</v>
      </c>
      <c r="G946" s="27">
        <v>9062.3997937823588</v>
      </c>
      <c r="H946" s="27">
        <v>12314.062704039359</v>
      </c>
      <c r="I946" s="27">
        <v>15076.220545786404</v>
      </c>
      <c r="J946" s="27">
        <v>24859.120713014927</v>
      </c>
      <c r="K946" s="27">
        <v>48318.42211697952</v>
      </c>
      <c r="L946" s="27">
        <v>112390.98570158418</v>
      </c>
      <c r="M946" s="27">
        <v>238907.51611329208</v>
      </c>
    </row>
    <row r="947" spans="1:13" x14ac:dyDescent="0.75">
      <c r="A947" s="40">
        <v>945</v>
      </c>
      <c r="B947" s="27">
        <v>273.36285153779318</v>
      </c>
      <c r="C947" s="27">
        <v>712.67960120165662</v>
      </c>
      <c r="D947" s="27">
        <v>1617.0996102709178</v>
      </c>
      <c r="E947" s="27">
        <v>2555.0828058917687</v>
      </c>
      <c r="F947" s="27">
        <v>4476.5073762527318</v>
      </c>
      <c r="G947" s="27">
        <v>6913.938289165264</v>
      </c>
      <c r="H947" s="27">
        <v>9123.9351079227636</v>
      </c>
      <c r="I947" s="27">
        <v>13068.614768743981</v>
      </c>
      <c r="J947" s="27">
        <v>23034.598408936319</v>
      </c>
      <c r="K947" s="27">
        <v>46034.152352691453</v>
      </c>
      <c r="L947" s="27">
        <v>112841.43746638784</v>
      </c>
      <c r="M947" s="27">
        <v>220651.40863900247</v>
      </c>
    </row>
    <row r="948" spans="1:13" x14ac:dyDescent="0.75">
      <c r="A948" s="40">
        <v>946</v>
      </c>
      <c r="B948" s="27">
        <v>1055.3148493242043</v>
      </c>
      <c r="C948" s="27">
        <v>1591.5006285686104</v>
      </c>
      <c r="D948" s="27">
        <v>2458.0811270638078</v>
      </c>
      <c r="E948" s="27">
        <v>3428.6938059680833</v>
      </c>
      <c r="F948" s="27">
        <v>5563.4837997161958</v>
      </c>
      <c r="G948" s="27">
        <v>7904.9323883430625</v>
      </c>
      <c r="H948" s="27">
        <v>10211.162445557755</v>
      </c>
      <c r="I948" s="27">
        <v>14554.001256049552</v>
      </c>
      <c r="J948" s="27">
        <v>22799.267701011166</v>
      </c>
      <c r="K948" s="27">
        <v>45646.437903457292</v>
      </c>
      <c r="L948" s="27">
        <v>115462.87975406513</v>
      </c>
      <c r="M948" s="27">
        <v>230675.75565912487</v>
      </c>
    </row>
    <row r="949" spans="1:13" x14ac:dyDescent="0.75">
      <c r="A949" s="40">
        <v>947</v>
      </c>
      <c r="B949" s="27">
        <v>1020.4533479200327</v>
      </c>
      <c r="C949" s="27">
        <v>1647.9045124488766</v>
      </c>
      <c r="D949" s="27">
        <v>2733.9323611300206</v>
      </c>
      <c r="E949" s="27">
        <v>3698.7751685442781</v>
      </c>
      <c r="F949" s="27">
        <v>6088.825950283237</v>
      </c>
      <c r="G949" s="27">
        <v>8593.6785119638662</v>
      </c>
      <c r="H949" s="27">
        <v>11271.704939102201</v>
      </c>
      <c r="I949" s="27">
        <v>14431.263199438632</v>
      </c>
      <c r="J949" s="27">
        <v>24362.03712008649</v>
      </c>
      <c r="K949" s="27">
        <v>48360.893856735769</v>
      </c>
      <c r="L949" s="27">
        <v>120476.996466602</v>
      </c>
      <c r="M949" s="27">
        <v>242686.4654342554</v>
      </c>
    </row>
    <row r="950" spans="1:13" x14ac:dyDescent="0.75">
      <c r="A950" s="40">
        <v>948</v>
      </c>
      <c r="B950" s="27">
        <v>506.00906480533013</v>
      </c>
      <c r="C950" s="27">
        <v>878.43841726526443</v>
      </c>
      <c r="D950" s="27">
        <v>1729.1186257244117</v>
      </c>
      <c r="E950" s="27">
        <v>2943.83960709245</v>
      </c>
      <c r="F950" s="27">
        <v>4736.2404403269757</v>
      </c>
      <c r="G950" s="27">
        <v>7130.5471268060792</v>
      </c>
      <c r="H950" s="27">
        <v>9505.8203452431626</v>
      </c>
      <c r="I950" s="27">
        <v>14471.494668158659</v>
      </c>
      <c r="J950" s="27">
        <v>23113.133863637049</v>
      </c>
      <c r="K950" s="27">
        <v>44164.430756672053</v>
      </c>
      <c r="L950" s="27">
        <v>107684.6404932228</v>
      </c>
      <c r="M950" s="27">
        <v>216863.71340895424</v>
      </c>
    </row>
    <row r="951" spans="1:13" x14ac:dyDescent="0.75">
      <c r="A951" s="40">
        <v>949</v>
      </c>
      <c r="B951" s="27">
        <v>1157.3970292598387</v>
      </c>
      <c r="C951" s="27">
        <v>1871.2512469876528</v>
      </c>
      <c r="D951" s="27">
        <v>3102.2381597672211</v>
      </c>
      <c r="E951" s="27">
        <v>4323.6338107165939</v>
      </c>
      <c r="F951" s="27">
        <v>5964.6632588762586</v>
      </c>
      <c r="G951" s="27">
        <v>8620.0486275052535</v>
      </c>
      <c r="H951" s="27">
        <v>11095.614424412575</v>
      </c>
      <c r="I951" s="27">
        <v>15950.26551335644</v>
      </c>
      <c r="J951" s="27">
        <v>24876.956564102467</v>
      </c>
      <c r="K951" s="27">
        <v>48539.120019862283</v>
      </c>
      <c r="L951" s="27">
        <v>112967.80868470873</v>
      </c>
      <c r="M951" s="27">
        <v>238468.9973395553</v>
      </c>
    </row>
    <row r="952" spans="1:13" x14ac:dyDescent="0.75">
      <c r="A952" s="40">
        <v>950</v>
      </c>
      <c r="B952" s="27">
        <v>926.14934852339502</v>
      </c>
      <c r="C952" s="27">
        <v>1385.6060552075069</v>
      </c>
      <c r="D952" s="27">
        <v>2088.2126656450855</v>
      </c>
      <c r="E952" s="27">
        <v>3271.765074558949</v>
      </c>
      <c r="F952" s="27">
        <v>5146.8914292010595</v>
      </c>
      <c r="G952" s="27">
        <v>7676.8762818128453</v>
      </c>
      <c r="H952" s="27">
        <v>10393.677862004406</v>
      </c>
      <c r="I952" s="27">
        <v>14325.800940995512</v>
      </c>
      <c r="J952" s="27">
        <v>23371.386795598868</v>
      </c>
      <c r="K952" s="27">
        <v>46795.610204014549</v>
      </c>
      <c r="L952" s="27">
        <v>111914.3737492107</v>
      </c>
      <c r="M952" s="27">
        <v>227296.35040677286</v>
      </c>
    </row>
    <row r="953" spans="1:13" x14ac:dyDescent="0.75">
      <c r="A953" s="40">
        <v>951</v>
      </c>
      <c r="B953" s="27">
        <v>716.12780846010719</v>
      </c>
      <c r="C953" s="27">
        <v>1234.5997534074413</v>
      </c>
      <c r="D953" s="27">
        <v>1985.6056432632904</v>
      </c>
      <c r="E953" s="27">
        <v>3275.7251449478645</v>
      </c>
      <c r="F953" s="27">
        <v>4857.4309954308555</v>
      </c>
      <c r="G953" s="27">
        <v>7189.8504213203851</v>
      </c>
      <c r="H953" s="27">
        <v>10087.907583420805</v>
      </c>
      <c r="I953" s="27">
        <v>13959.852325877087</v>
      </c>
      <c r="J953" s="27">
        <v>23317.739363708155</v>
      </c>
      <c r="K953" s="27">
        <v>45725.255700858426</v>
      </c>
      <c r="L953" s="27">
        <v>114315.67405859695</v>
      </c>
      <c r="M953" s="27">
        <v>226665.76879929137</v>
      </c>
    </row>
    <row r="954" spans="1:13" x14ac:dyDescent="0.75">
      <c r="A954" s="40">
        <v>952</v>
      </c>
      <c r="B954" s="27">
        <v>1121.5120317843248</v>
      </c>
      <c r="C954" s="27">
        <v>1627.3553269829717</v>
      </c>
      <c r="D954" s="27">
        <v>2647.1023657354963</v>
      </c>
      <c r="E954" s="27">
        <v>3817.1645924823242</v>
      </c>
      <c r="F954" s="27">
        <v>5697.7861463141162</v>
      </c>
      <c r="G954" s="27">
        <v>8394.7740663865407</v>
      </c>
      <c r="H954" s="27">
        <v>11388.950276931544</v>
      </c>
      <c r="I954" s="27">
        <v>15733.953684212902</v>
      </c>
      <c r="J954" s="27">
        <v>24353.323090307458</v>
      </c>
      <c r="K954" s="27">
        <v>46452.701185272541</v>
      </c>
      <c r="L954" s="27">
        <v>113103.48910714357</v>
      </c>
      <c r="M954" s="27">
        <v>234338.11187355377</v>
      </c>
    </row>
    <row r="955" spans="1:13" x14ac:dyDescent="0.75">
      <c r="A955" s="40">
        <v>953</v>
      </c>
      <c r="B955" s="27">
        <v>730.61048160311475</v>
      </c>
      <c r="C955" s="27">
        <v>1268.970195642687</v>
      </c>
      <c r="D955" s="27">
        <v>2281.0604267896997</v>
      </c>
      <c r="E955" s="27">
        <v>3248.9973316549003</v>
      </c>
      <c r="F955" s="27">
        <v>5432.2628591554239</v>
      </c>
      <c r="G955" s="27">
        <v>7971.5034499511239</v>
      </c>
      <c r="H955" s="27">
        <v>10760.660578799638</v>
      </c>
      <c r="I955" s="27">
        <v>14186.050393826707</v>
      </c>
      <c r="J955" s="27">
        <v>22453.112010326295</v>
      </c>
      <c r="K955" s="27">
        <v>46636.88274764322</v>
      </c>
      <c r="L955" s="27">
        <v>105237.63437369146</v>
      </c>
      <c r="M955" s="27">
        <v>220207.74484908427</v>
      </c>
    </row>
    <row r="956" spans="1:13" x14ac:dyDescent="0.75">
      <c r="A956" s="40">
        <v>954</v>
      </c>
      <c r="B956" s="27">
        <v>617.76335411064792</v>
      </c>
      <c r="C956" s="27">
        <v>1134.6063489606749</v>
      </c>
      <c r="D956" s="27">
        <v>2252.4771231453487</v>
      </c>
      <c r="E956" s="27">
        <v>3352.0306282657693</v>
      </c>
      <c r="F956" s="27">
        <v>5451.856223880779</v>
      </c>
      <c r="G956" s="27">
        <v>8063.4830287144578</v>
      </c>
      <c r="H956" s="27">
        <v>10815.36246376927</v>
      </c>
      <c r="I956" s="27">
        <v>14584.813855211178</v>
      </c>
      <c r="J956" s="27">
        <v>23046.412785722758</v>
      </c>
      <c r="K956" s="27">
        <v>44770.788509630976</v>
      </c>
      <c r="L956" s="27">
        <v>118797.38377437633</v>
      </c>
      <c r="M956" s="27">
        <v>232886.97809578819</v>
      </c>
    </row>
    <row r="957" spans="1:13" x14ac:dyDescent="0.75">
      <c r="A957" s="40">
        <v>955</v>
      </c>
      <c r="B957" s="27">
        <v>909.33303833223181</v>
      </c>
      <c r="C957" s="27">
        <v>1479.8920892851893</v>
      </c>
      <c r="D957" s="27">
        <v>2643.2293296101852</v>
      </c>
      <c r="E957" s="27">
        <v>3710.6273921760585</v>
      </c>
      <c r="F957" s="27">
        <v>5956.2535982084955</v>
      </c>
      <c r="G957" s="27">
        <v>8624.3868077863881</v>
      </c>
      <c r="H957" s="27">
        <v>11312.145259295488</v>
      </c>
      <c r="I957" s="27">
        <v>15213.0526559024</v>
      </c>
      <c r="J957" s="27">
        <v>23654.861334630885</v>
      </c>
      <c r="K957" s="27">
        <v>49273.516262127916</v>
      </c>
      <c r="L957" s="27">
        <v>106586.22952230764</v>
      </c>
      <c r="M957" s="27">
        <v>229363.52728966286</v>
      </c>
    </row>
    <row r="958" spans="1:13" x14ac:dyDescent="0.75">
      <c r="A958" s="40">
        <v>956</v>
      </c>
      <c r="B958" s="27">
        <v>810.96055851141864</v>
      </c>
      <c r="C958" s="27">
        <v>1383.5546292897779</v>
      </c>
      <c r="D958" s="27">
        <v>2089.8607362974872</v>
      </c>
      <c r="E958" s="27">
        <v>3399.7174646215135</v>
      </c>
      <c r="F958" s="27">
        <v>5367.6285381405323</v>
      </c>
      <c r="G958" s="27">
        <v>7613.2450221425097</v>
      </c>
      <c r="H958" s="27">
        <v>10364.900506414924</v>
      </c>
      <c r="I958" s="27">
        <v>14451.400222242562</v>
      </c>
      <c r="J958" s="27">
        <v>23422.486103904361</v>
      </c>
      <c r="K958" s="27">
        <v>46771.179105458141</v>
      </c>
      <c r="L958" s="27">
        <v>105801.99833279829</v>
      </c>
      <c r="M958" s="27">
        <v>221476.9312198215</v>
      </c>
    </row>
    <row r="959" spans="1:13" x14ac:dyDescent="0.75">
      <c r="A959" s="40">
        <v>957</v>
      </c>
      <c r="B959" s="27">
        <v>199.21554148301948</v>
      </c>
      <c r="C959" s="27">
        <v>690.24187538733531</v>
      </c>
      <c r="D959" s="27">
        <v>1212.8000120523939</v>
      </c>
      <c r="E959" s="27">
        <v>2185.5225363703939</v>
      </c>
      <c r="F959" s="27">
        <v>3755.0614081270032</v>
      </c>
      <c r="G959" s="27">
        <v>5998.4438493198541</v>
      </c>
      <c r="H959" s="27">
        <v>9017.2530362373654</v>
      </c>
      <c r="I959" s="27">
        <v>13263.435776447906</v>
      </c>
      <c r="J959" s="27">
        <v>23397.015265454815</v>
      </c>
      <c r="K959" s="27">
        <v>46783.787495215875</v>
      </c>
      <c r="L959" s="27">
        <v>119539.5920616588</v>
      </c>
      <c r="M959" s="27">
        <v>226042.36885775474</v>
      </c>
    </row>
    <row r="960" spans="1:13" x14ac:dyDescent="0.75">
      <c r="A960" s="40">
        <v>958</v>
      </c>
      <c r="B960" s="27">
        <v>855.75239459156001</v>
      </c>
      <c r="C960" s="27">
        <v>1465.6450902861252</v>
      </c>
      <c r="D960" s="27">
        <v>2274.3615505663183</v>
      </c>
      <c r="E960" s="27">
        <v>3301.8681465874542</v>
      </c>
      <c r="F960" s="27">
        <v>5311.1601540530974</v>
      </c>
      <c r="G960" s="27">
        <v>7440.4959484747378</v>
      </c>
      <c r="H960" s="27">
        <v>9782.2294346600538</v>
      </c>
      <c r="I960" s="27">
        <v>14249.934664077839</v>
      </c>
      <c r="J960" s="27">
        <v>22274.863889694185</v>
      </c>
      <c r="K960" s="27">
        <v>42593.469290044741</v>
      </c>
      <c r="L960" s="27">
        <v>107863.20891940934</v>
      </c>
      <c r="M960" s="27">
        <v>217412.98948244547</v>
      </c>
    </row>
    <row r="961" spans="1:13" x14ac:dyDescent="0.75">
      <c r="A961" s="40">
        <v>959</v>
      </c>
      <c r="B961" s="27">
        <v>1105.1425245258288</v>
      </c>
      <c r="C961" s="27">
        <v>1701.2311596125801</v>
      </c>
      <c r="D961" s="27">
        <v>2498.209028188372</v>
      </c>
      <c r="E961" s="27">
        <v>3591.2492760568275</v>
      </c>
      <c r="F961" s="27">
        <v>5427.7434696542041</v>
      </c>
      <c r="G961" s="27">
        <v>7393.207004146534</v>
      </c>
      <c r="H961" s="27">
        <v>10546.163745958751</v>
      </c>
      <c r="I961" s="27">
        <v>14640.339791139631</v>
      </c>
      <c r="J961" s="27">
        <v>24064.386773866339</v>
      </c>
      <c r="K961" s="27">
        <v>46172.597935014841</v>
      </c>
      <c r="L961" s="27">
        <v>108398.75594920764</v>
      </c>
      <c r="M961" s="27">
        <v>225539.02665737155</v>
      </c>
    </row>
    <row r="962" spans="1:13" x14ac:dyDescent="0.75">
      <c r="A962" s="40">
        <v>960</v>
      </c>
      <c r="B962" s="27">
        <v>813.79199995435192</v>
      </c>
      <c r="C962" s="27">
        <v>1548.8603311547486</v>
      </c>
      <c r="D962" s="27">
        <v>3001.0151739069697</v>
      </c>
      <c r="E962" s="27">
        <v>4058.6224037227075</v>
      </c>
      <c r="F962" s="27">
        <v>6343.2272751556593</v>
      </c>
      <c r="G962" s="27">
        <v>9038.4156938330852</v>
      </c>
      <c r="H962" s="27">
        <v>11208.983311474571</v>
      </c>
      <c r="I962" s="27">
        <v>15728.663370720693</v>
      </c>
      <c r="J962" s="27">
        <v>24772.575048439961</v>
      </c>
      <c r="K962" s="27">
        <v>47338.957161392493</v>
      </c>
      <c r="L962" s="27">
        <v>120279.78090373872</v>
      </c>
      <c r="M962" s="27">
        <v>244132.89267349395</v>
      </c>
    </row>
    <row r="963" spans="1:13" x14ac:dyDescent="0.75">
      <c r="A963" s="40">
        <v>961</v>
      </c>
      <c r="B963" s="27">
        <v>613.09838513583236</v>
      </c>
      <c r="C963" s="27">
        <v>1273.1572873336991</v>
      </c>
      <c r="D963" s="27">
        <v>1883.4792494259746</v>
      </c>
      <c r="E963" s="27">
        <v>2989.0213009831787</v>
      </c>
      <c r="F963" s="27">
        <v>4999.5987807574857</v>
      </c>
      <c r="G963" s="27">
        <v>7102.2426324353146</v>
      </c>
      <c r="H963" s="27">
        <v>10072.599411204457</v>
      </c>
      <c r="I963" s="27">
        <v>13122.336843049517</v>
      </c>
      <c r="J963" s="27">
        <v>22895.374971101788</v>
      </c>
      <c r="K963" s="27">
        <v>46854.47663761444</v>
      </c>
      <c r="L963" s="27">
        <v>115273.2606119901</v>
      </c>
      <c r="M963" s="27">
        <v>227078.64611103179</v>
      </c>
    </row>
    <row r="964" spans="1:13" x14ac:dyDescent="0.75">
      <c r="A964" s="40">
        <v>962</v>
      </c>
      <c r="B964" s="27">
        <v>841.7943161107396</v>
      </c>
      <c r="C964" s="27">
        <v>1238.7877768825565</v>
      </c>
      <c r="D964" s="27">
        <v>2011.1249570110085</v>
      </c>
      <c r="E964" s="27">
        <v>2918.854692320514</v>
      </c>
      <c r="F964" s="27">
        <v>4755.4375544298673</v>
      </c>
      <c r="G964" s="27">
        <v>7089.2482525462401</v>
      </c>
      <c r="H964" s="27">
        <v>9212.2600035420619</v>
      </c>
      <c r="I964" s="27">
        <v>13412.00599718024</v>
      </c>
      <c r="J964" s="27">
        <v>22093.396437002491</v>
      </c>
      <c r="K964" s="27">
        <v>47194.887007121884</v>
      </c>
      <c r="L964" s="27">
        <v>118754.38987485992</v>
      </c>
      <c r="M964" s="27">
        <v>229522.18686900754</v>
      </c>
    </row>
    <row r="965" spans="1:13" x14ac:dyDescent="0.75">
      <c r="A965" s="40">
        <v>963</v>
      </c>
      <c r="B965" s="27">
        <v>613.64988681337854</v>
      </c>
      <c r="C965" s="27">
        <v>1365.1053391610767</v>
      </c>
      <c r="D965" s="27">
        <v>2238.5820751947904</v>
      </c>
      <c r="E965" s="27">
        <v>3672.6374062463728</v>
      </c>
      <c r="F965" s="27">
        <v>5435.175140113075</v>
      </c>
      <c r="G965" s="27">
        <v>7551.5746489232115</v>
      </c>
      <c r="H965" s="27">
        <v>10351.625306899587</v>
      </c>
      <c r="I965" s="27">
        <v>14740.745379415603</v>
      </c>
      <c r="J965" s="27">
        <v>22121.245183889274</v>
      </c>
      <c r="K965" s="27">
        <v>46141.766908305013</v>
      </c>
      <c r="L965" s="27">
        <v>113852.73127486079</v>
      </c>
      <c r="M965" s="27">
        <v>228084.83854982216</v>
      </c>
    </row>
    <row r="966" spans="1:13" x14ac:dyDescent="0.75">
      <c r="A966" s="40">
        <v>964</v>
      </c>
      <c r="B966" s="27">
        <v>681.85170265450142</v>
      </c>
      <c r="C966" s="27">
        <v>1298.8591495749861</v>
      </c>
      <c r="D966" s="27">
        <v>2098.1854305909656</v>
      </c>
      <c r="E966" s="27">
        <v>2801.2030156897672</v>
      </c>
      <c r="F966" s="27">
        <v>4649.6022880449891</v>
      </c>
      <c r="G966" s="27">
        <v>7167.8035005877318</v>
      </c>
      <c r="H966" s="27">
        <v>9486.3940723080887</v>
      </c>
      <c r="I966" s="27">
        <v>13226.260675286278</v>
      </c>
      <c r="J966" s="27">
        <v>23269.874538427655</v>
      </c>
      <c r="K966" s="27">
        <v>44845.158842256234</v>
      </c>
      <c r="L966" s="27">
        <v>112883.50631454331</v>
      </c>
      <c r="M966" s="27">
        <v>222408.69952996451</v>
      </c>
    </row>
    <row r="967" spans="1:13" x14ac:dyDescent="0.75">
      <c r="A967" s="40">
        <v>965</v>
      </c>
      <c r="B967" s="27">
        <v>433.62477625477186</v>
      </c>
      <c r="C967" s="27">
        <v>910.7085167249752</v>
      </c>
      <c r="D967" s="27">
        <v>1436.2437463144743</v>
      </c>
      <c r="E967" s="27">
        <v>2194.2781075868697</v>
      </c>
      <c r="F967" s="27">
        <v>4232.8621613588475</v>
      </c>
      <c r="G967" s="27">
        <v>6279.6270653357205</v>
      </c>
      <c r="H967" s="27">
        <v>8735.6710144313547</v>
      </c>
      <c r="I967" s="27">
        <v>12402.871984904079</v>
      </c>
      <c r="J967" s="27">
        <v>21804.286328667265</v>
      </c>
      <c r="K967" s="27">
        <v>45156.6014792879</v>
      </c>
      <c r="L967" s="27">
        <v>109384.91804616211</v>
      </c>
      <c r="M967" s="27">
        <v>212971.69322702836</v>
      </c>
    </row>
    <row r="968" spans="1:13" x14ac:dyDescent="0.75">
      <c r="A968" s="40">
        <v>966</v>
      </c>
      <c r="B968" s="27">
        <v>696.08153948931431</v>
      </c>
      <c r="C968" s="27">
        <v>1295.5708772586804</v>
      </c>
      <c r="D968" s="27">
        <v>2121.7823099396046</v>
      </c>
      <c r="E968" s="27">
        <v>3001.0598153473984</v>
      </c>
      <c r="F968" s="27">
        <v>4680.0235565985058</v>
      </c>
      <c r="G968" s="27">
        <v>7845.8352949322143</v>
      </c>
      <c r="H968" s="27">
        <v>10133.568055266398</v>
      </c>
      <c r="I968" s="27">
        <v>13483.088865885045</v>
      </c>
      <c r="J968" s="27">
        <v>21881.369667675215</v>
      </c>
      <c r="K968" s="27">
        <v>46007.695005215675</v>
      </c>
      <c r="L968" s="27">
        <v>115012.31684014725</v>
      </c>
      <c r="M968" s="27">
        <v>226158.39182775532</v>
      </c>
    </row>
    <row r="969" spans="1:13" x14ac:dyDescent="0.75">
      <c r="A969" s="40">
        <v>967</v>
      </c>
      <c r="B969" s="27">
        <v>1262.339170784282</v>
      </c>
      <c r="C969" s="27">
        <v>1671.6167089788942</v>
      </c>
      <c r="D969" s="27">
        <v>2912.5123638641526</v>
      </c>
      <c r="E969" s="27">
        <v>3727.3107149036223</v>
      </c>
      <c r="F969" s="27">
        <v>5658.9525482874014</v>
      </c>
      <c r="G969" s="27">
        <v>8023.8200056321803</v>
      </c>
      <c r="H969" s="27">
        <v>10733.09187027601</v>
      </c>
      <c r="I969" s="27">
        <v>15060.31632306354</v>
      </c>
      <c r="J969" s="27">
        <v>24007.409676652111</v>
      </c>
      <c r="K969" s="27">
        <v>48885.47179893979</v>
      </c>
      <c r="L969" s="27">
        <v>113182.23841504203</v>
      </c>
      <c r="M969" s="27">
        <v>235125.07959642401</v>
      </c>
    </row>
    <row r="970" spans="1:13" x14ac:dyDescent="0.75">
      <c r="A970" s="40">
        <v>968</v>
      </c>
      <c r="B970" s="27">
        <v>529.0944489857211</v>
      </c>
      <c r="C970" s="27">
        <v>764.32119050096662</v>
      </c>
      <c r="D970" s="27">
        <v>1521.5487204496458</v>
      </c>
      <c r="E970" s="27">
        <v>2860.0770262367587</v>
      </c>
      <c r="F970" s="27">
        <v>4773.0189954182861</v>
      </c>
      <c r="G970" s="27">
        <v>7554.3164893443172</v>
      </c>
      <c r="H970" s="27">
        <v>9606.3777547288628</v>
      </c>
      <c r="I970" s="27">
        <v>14296.704694476168</v>
      </c>
      <c r="J970" s="27">
        <v>22208.371356105636</v>
      </c>
      <c r="K970" s="27">
        <v>45664.60197397368</v>
      </c>
      <c r="L970" s="27">
        <v>118624.7629813266</v>
      </c>
      <c r="M970" s="27">
        <v>228403.19563154664</v>
      </c>
    </row>
    <row r="971" spans="1:13" x14ac:dyDescent="0.75">
      <c r="A971" s="40">
        <v>969</v>
      </c>
      <c r="B971" s="27">
        <v>555.64180444891099</v>
      </c>
      <c r="C971" s="27">
        <v>891.04646170164051</v>
      </c>
      <c r="D971" s="27">
        <v>1800.0443931552436</v>
      </c>
      <c r="E971" s="27">
        <v>2588.6460189485806</v>
      </c>
      <c r="F971" s="27">
        <v>4361.5478466070781</v>
      </c>
      <c r="G971" s="27">
        <v>7182.5601283445721</v>
      </c>
      <c r="H971" s="27">
        <v>9345.3769914425939</v>
      </c>
      <c r="I971" s="27">
        <v>12801.489961320229</v>
      </c>
      <c r="J971" s="27">
        <v>21001.549717514281</v>
      </c>
      <c r="K971" s="27">
        <v>45023.156407760805</v>
      </c>
      <c r="L971" s="27">
        <v>108486.79827198166</v>
      </c>
      <c r="M971" s="27">
        <v>214037.85800322558</v>
      </c>
    </row>
    <row r="972" spans="1:13" x14ac:dyDescent="0.75">
      <c r="A972" s="40">
        <v>970</v>
      </c>
      <c r="B972" s="27">
        <v>1221.742205677132</v>
      </c>
      <c r="C972" s="27">
        <v>1852.2088667171483</v>
      </c>
      <c r="D972" s="27">
        <v>2518.033354825573</v>
      </c>
      <c r="E972" s="27">
        <v>3888.2937238407321</v>
      </c>
      <c r="F972" s="27">
        <v>5905.8469819814491</v>
      </c>
      <c r="G972" s="27">
        <v>7489.9787268152868</v>
      </c>
      <c r="H972" s="27">
        <v>10624.201304188668</v>
      </c>
      <c r="I972" s="27">
        <v>14209.854966989456</v>
      </c>
      <c r="J972" s="27">
        <v>23512.265338165496</v>
      </c>
      <c r="K972" s="27">
        <v>46814.502686736145</v>
      </c>
      <c r="L972" s="27">
        <v>116775.98824194186</v>
      </c>
      <c r="M972" s="27">
        <v>234812.91639787896</v>
      </c>
    </row>
    <row r="973" spans="1:13" x14ac:dyDescent="0.75">
      <c r="A973" s="40">
        <v>971</v>
      </c>
      <c r="B973" s="27">
        <v>538.95594387690653</v>
      </c>
      <c r="C973" s="27">
        <v>909.06069022818701</v>
      </c>
      <c r="D973" s="27">
        <v>1826.914278436423</v>
      </c>
      <c r="E973" s="27">
        <v>2811.7355302412325</v>
      </c>
      <c r="F973" s="27">
        <v>4727.2141575644928</v>
      </c>
      <c r="G973" s="27">
        <v>7108.7179722878791</v>
      </c>
      <c r="H973" s="27">
        <v>10239.011211899167</v>
      </c>
      <c r="I973" s="27">
        <v>13192.673285835888</v>
      </c>
      <c r="J973" s="27">
        <v>21575.702003173777</v>
      </c>
      <c r="K973" s="27">
        <v>47110.433158089349</v>
      </c>
      <c r="L973" s="27">
        <v>109189.64767567281</v>
      </c>
      <c r="M973" s="27">
        <v>219230.0659073061</v>
      </c>
    </row>
    <row r="974" spans="1:13" x14ac:dyDescent="0.75">
      <c r="A974" s="40">
        <v>972</v>
      </c>
      <c r="B974" s="27">
        <v>891.44819812281639</v>
      </c>
      <c r="C974" s="27">
        <v>1277.0921676074213</v>
      </c>
      <c r="D974" s="27">
        <v>1916.0752929527662</v>
      </c>
      <c r="E974" s="27">
        <v>3127.5242317796074</v>
      </c>
      <c r="F974" s="27">
        <v>4918.5983629944967</v>
      </c>
      <c r="G974" s="27">
        <v>6900.1422183795657</v>
      </c>
      <c r="H974" s="27">
        <v>9977.1420145493466</v>
      </c>
      <c r="I974" s="27">
        <v>14014.902012981795</v>
      </c>
      <c r="J974" s="27">
        <v>24174.96890591702</v>
      </c>
      <c r="K974" s="27">
        <v>47199.135080957174</v>
      </c>
      <c r="L974" s="27">
        <v>108978.66049707383</v>
      </c>
      <c r="M974" s="27">
        <v>223375.68898331583</v>
      </c>
    </row>
    <row r="975" spans="1:13" x14ac:dyDescent="0.75">
      <c r="A975" s="40">
        <v>973</v>
      </c>
      <c r="B975" s="27">
        <v>728.29735787824029</v>
      </c>
      <c r="C975" s="27">
        <v>1272.3054172484117</v>
      </c>
      <c r="D975" s="27">
        <v>2272.0910577336472</v>
      </c>
      <c r="E975" s="27">
        <v>3156.283173073447</v>
      </c>
      <c r="F975" s="27">
        <v>5106.0397170807992</v>
      </c>
      <c r="G975" s="27">
        <v>7158.924668440508</v>
      </c>
      <c r="H975" s="27">
        <v>8947.215039484101</v>
      </c>
      <c r="I975" s="27">
        <v>13346.106879485465</v>
      </c>
      <c r="J975" s="27">
        <v>21407.955816219182</v>
      </c>
      <c r="K975" s="27">
        <v>44940.252747469494</v>
      </c>
      <c r="L975" s="27">
        <v>115353.23432626406</v>
      </c>
      <c r="M975" s="27">
        <v>223688.70620037738</v>
      </c>
    </row>
    <row r="976" spans="1:13" x14ac:dyDescent="0.75">
      <c r="A976" s="40">
        <v>974</v>
      </c>
      <c r="B976" s="27">
        <v>793.58319305331679</v>
      </c>
      <c r="C976" s="27">
        <v>1261.098873788942</v>
      </c>
      <c r="D976" s="27">
        <v>1908.848152195671</v>
      </c>
      <c r="E976" s="27">
        <v>3107.9737440753379</v>
      </c>
      <c r="F976" s="27">
        <v>5196.6557163329126</v>
      </c>
      <c r="G976" s="27">
        <v>7562.7149386111414</v>
      </c>
      <c r="H976" s="27">
        <v>11044.708481740003</v>
      </c>
      <c r="I976" s="27">
        <v>14926.855158175618</v>
      </c>
      <c r="J976" s="27">
        <v>23232.087751629719</v>
      </c>
      <c r="K976" s="27">
        <v>49166.747358288005</v>
      </c>
      <c r="L976" s="27">
        <v>114690.95634513149</v>
      </c>
      <c r="M976" s="27">
        <v>232892.22971302216</v>
      </c>
    </row>
    <row r="977" spans="1:13" x14ac:dyDescent="0.75">
      <c r="A977" s="40">
        <v>975</v>
      </c>
      <c r="B977" s="27">
        <v>382.65404243505327</v>
      </c>
      <c r="C977" s="27">
        <v>851.39651383226737</v>
      </c>
      <c r="D977" s="27">
        <v>1605.6083055597992</v>
      </c>
      <c r="E977" s="27">
        <v>2978.1198953860294</v>
      </c>
      <c r="F977" s="27">
        <v>4682.021821023518</v>
      </c>
      <c r="G977" s="27">
        <v>7242.4365578562138</v>
      </c>
      <c r="H977" s="27">
        <v>9224.4908177361067</v>
      </c>
      <c r="I977" s="27">
        <v>13377.510840987277</v>
      </c>
      <c r="J977" s="27">
        <v>20734.352141981668</v>
      </c>
      <c r="K977" s="27">
        <v>45899.480538463482</v>
      </c>
      <c r="L977" s="27">
        <v>110325.21287277612</v>
      </c>
      <c r="M977" s="27">
        <v>217303.28434803753</v>
      </c>
    </row>
    <row r="978" spans="1:13" x14ac:dyDescent="0.75">
      <c r="A978" s="40">
        <v>976</v>
      </c>
      <c r="B978" s="27">
        <v>895.74108417569369</v>
      </c>
      <c r="C978" s="27">
        <v>1683.5288540496986</v>
      </c>
      <c r="D978" s="27">
        <v>2482.3804007057042</v>
      </c>
      <c r="E978" s="27">
        <v>3262.4301532203681</v>
      </c>
      <c r="F978" s="27">
        <v>5624.1788547114702</v>
      </c>
      <c r="G978" s="27">
        <v>7502.4334331075661</v>
      </c>
      <c r="H978" s="27">
        <v>9703.8056250761438</v>
      </c>
      <c r="I978" s="27">
        <v>14076.997470348084</v>
      </c>
      <c r="J978" s="27">
        <v>23740.658040263428</v>
      </c>
      <c r="K978" s="27">
        <v>44372.943492767532</v>
      </c>
      <c r="L978" s="27">
        <v>113518.50217962739</v>
      </c>
      <c r="M978" s="27">
        <v>226863.59958805307</v>
      </c>
    </row>
    <row r="979" spans="1:13" x14ac:dyDescent="0.75">
      <c r="A979" s="40">
        <v>977</v>
      </c>
      <c r="B979" s="27">
        <v>1165.301678576725</v>
      </c>
      <c r="C979" s="27">
        <v>1965.4110338485334</v>
      </c>
      <c r="D979" s="27">
        <v>3077.0328095833102</v>
      </c>
      <c r="E979" s="27">
        <v>3941.4604104535974</v>
      </c>
      <c r="F979" s="27">
        <v>6151.1455031747173</v>
      </c>
      <c r="G979" s="27">
        <v>8860.5211553410336</v>
      </c>
      <c r="H979" s="27">
        <v>10711.096758200976</v>
      </c>
      <c r="I979" s="27">
        <v>15123.390944705447</v>
      </c>
      <c r="J979" s="27">
        <v>23377.810956194648</v>
      </c>
      <c r="K979" s="27">
        <v>45206.051556860781</v>
      </c>
      <c r="L979" s="27">
        <v>113424.3428684661</v>
      </c>
      <c r="M979" s="27">
        <v>233003.56567540587</v>
      </c>
    </row>
    <row r="980" spans="1:13" x14ac:dyDescent="0.75">
      <c r="A980" s="40">
        <v>978</v>
      </c>
      <c r="B980" s="27">
        <v>1262.9352235241095</v>
      </c>
      <c r="C980" s="27">
        <v>1747.41170161216</v>
      </c>
      <c r="D980" s="27">
        <v>2667.5339004512207</v>
      </c>
      <c r="E980" s="27">
        <v>4138.0218794611574</v>
      </c>
      <c r="F980" s="27">
        <v>6258.4579323694197</v>
      </c>
      <c r="G980" s="27">
        <v>9110.3864345583424</v>
      </c>
      <c r="H980" s="27">
        <v>11022.353565670564</v>
      </c>
      <c r="I980" s="27">
        <v>15092.114334155398</v>
      </c>
      <c r="J980" s="27">
        <v>24389.652319415356</v>
      </c>
      <c r="K980" s="27">
        <v>47370.425348606688</v>
      </c>
      <c r="L980" s="27">
        <v>110743.22280796929</v>
      </c>
      <c r="M980" s="27">
        <v>233802.5154477937</v>
      </c>
    </row>
    <row r="981" spans="1:13" x14ac:dyDescent="0.75">
      <c r="A981" s="40">
        <v>979</v>
      </c>
      <c r="B981" s="27">
        <v>1422.85340632718</v>
      </c>
      <c r="C981" s="27">
        <v>1949.4329887090134</v>
      </c>
      <c r="D981" s="27">
        <v>2957.2732896368398</v>
      </c>
      <c r="E981" s="27">
        <v>3942.4802758408914</v>
      </c>
      <c r="F981" s="27">
        <v>5840.4424348447064</v>
      </c>
      <c r="G981" s="27">
        <v>7945.3020805770939</v>
      </c>
      <c r="H981" s="27">
        <v>10759.152364731039</v>
      </c>
      <c r="I981" s="27">
        <v>14507.287976541353</v>
      </c>
      <c r="J981" s="27">
        <v>23971.947012066725</v>
      </c>
      <c r="K981" s="27">
        <v>43525.547535489983</v>
      </c>
      <c r="L981" s="27">
        <v>116994.61499414135</v>
      </c>
      <c r="M981" s="27">
        <v>233816.33435890617</v>
      </c>
    </row>
    <row r="982" spans="1:13" x14ac:dyDescent="0.75">
      <c r="A982" s="40">
        <v>980</v>
      </c>
      <c r="B982" s="27">
        <v>1044.4111693481245</v>
      </c>
      <c r="C982" s="27">
        <v>1626.9063092374709</v>
      </c>
      <c r="D982" s="27">
        <v>2301.4982069864345</v>
      </c>
      <c r="E982" s="27">
        <v>2990.3427390834404</v>
      </c>
      <c r="F982" s="27">
        <v>4736.0513147706952</v>
      </c>
      <c r="G982" s="27">
        <v>7041.5940232354624</v>
      </c>
      <c r="H982" s="27">
        <v>9446.861045333033</v>
      </c>
      <c r="I982" s="27">
        <v>12613.31958876783</v>
      </c>
      <c r="J982" s="27">
        <v>22258.586048277881</v>
      </c>
      <c r="K982" s="27">
        <v>43055.643876555579</v>
      </c>
      <c r="L982" s="27">
        <v>113024.84598389891</v>
      </c>
      <c r="M982" s="27">
        <v>220140.06030549487</v>
      </c>
    </row>
    <row r="983" spans="1:13" x14ac:dyDescent="0.75">
      <c r="A983" s="40">
        <v>981</v>
      </c>
      <c r="B983" s="27">
        <v>727.56081949014333</v>
      </c>
      <c r="C983" s="27">
        <v>1340.2701554989762</v>
      </c>
      <c r="D983" s="27">
        <v>2300.0641102205118</v>
      </c>
      <c r="E983" s="27">
        <v>3203.8973674170411</v>
      </c>
      <c r="F983" s="27">
        <v>4660.2799905315187</v>
      </c>
      <c r="G983" s="27">
        <v>6945.2350447576318</v>
      </c>
      <c r="H983" s="27">
        <v>9589.0645302086923</v>
      </c>
      <c r="I983" s="27">
        <v>13899.396474801528</v>
      </c>
      <c r="J983" s="27">
        <v>23511.916241119456</v>
      </c>
      <c r="K983" s="27">
        <v>45440.653881339851</v>
      </c>
      <c r="L983" s="27">
        <v>115532.86392345646</v>
      </c>
      <c r="M983" s="27">
        <v>227151.20253884181</v>
      </c>
    </row>
    <row r="984" spans="1:13" x14ac:dyDescent="0.75">
      <c r="A984" s="40">
        <v>982</v>
      </c>
      <c r="B984" s="27">
        <v>934.8025977875368</v>
      </c>
      <c r="C984" s="27">
        <v>1451.2681619344221</v>
      </c>
      <c r="D984" s="27">
        <v>2204.2525286892924</v>
      </c>
      <c r="E984" s="27">
        <v>3288.5947135606693</v>
      </c>
      <c r="F984" s="27">
        <v>5553.5041369754472</v>
      </c>
      <c r="G984" s="27">
        <v>7480.0098436719563</v>
      </c>
      <c r="H984" s="27">
        <v>10746.393410782679</v>
      </c>
      <c r="I984" s="27">
        <v>14140.300898456291</v>
      </c>
      <c r="J984" s="27">
        <v>23858.248266085924</v>
      </c>
      <c r="K984" s="27">
        <v>46916.722729952322</v>
      </c>
      <c r="L984" s="27">
        <v>113973.13933363816</v>
      </c>
      <c r="M984" s="27">
        <v>230547.23662153468</v>
      </c>
    </row>
    <row r="985" spans="1:13" x14ac:dyDescent="0.75">
      <c r="A985" s="40">
        <v>983</v>
      </c>
      <c r="B985" s="27">
        <v>463.42404252570122</v>
      </c>
      <c r="C985" s="27">
        <v>1009.0580067598785</v>
      </c>
      <c r="D985" s="27">
        <v>1967.0460532035213</v>
      </c>
      <c r="E985" s="27">
        <v>3299.1079598627693</v>
      </c>
      <c r="F985" s="27">
        <v>4793.5839169501851</v>
      </c>
      <c r="G985" s="27">
        <v>6903.4926158950839</v>
      </c>
      <c r="H985" s="27">
        <v>8826.8117113396438</v>
      </c>
      <c r="I985" s="27">
        <v>13631.214583435765</v>
      </c>
      <c r="J985" s="27">
        <v>22437.023741902056</v>
      </c>
      <c r="K985" s="27">
        <v>46147.195807601616</v>
      </c>
      <c r="L985" s="27">
        <v>111997.78859148647</v>
      </c>
      <c r="M985" s="27">
        <v>221475.7470309627</v>
      </c>
    </row>
    <row r="986" spans="1:13" x14ac:dyDescent="0.75">
      <c r="A986" s="40">
        <v>984</v>
      </c>
      <c r="B986" s="27">
        <v>709.78280254636775</v>
      </c>
      <c r="C986" s="27">
        <v>1188.8515977093921</v>
      </c>
      <c r="D986" s="27">
        <v>2213.921587438017</v>
      </c>
      <c r="E986" s="27">
        <v>3200.8996182098199</v>
      </c>
      <c r="F986" s="27">
        <v>4859.3038852748141</v>
      </c>
      <c r="G986" s="27">
        <v>7690.1490407494712</v>
      </c>
      <c r="H986" s="27">
        <v>9295.4988307296298</v>
      </c>
      <c r="I986" s="27">
        <v>13261.942244935228</v>
      </c>
      <c r="J986" s="27">
        <v>23006.181520727885</v>
      </c>
      <c r="K986" s="27">
        <v>44727.12438242932</v>
      </c>
      <c r="L986" s="27">
        <v>107019.49562188484</v>
      </c>
      <c r="M986" s="27">
        <v>217173.15113263478</v>
      </c>
    </row>
    <row r="987" spans="1:13" x14ac:dyDescent="0.75">
      <c r="A987" s="40">
        <v>985</v>
      </c>
      <c r="B987" s="27">
        <v>1273.0485751520901</v>
      </c>
      <c r="C987" s="27">
        <v>1799.2913732547604</v>
      </c>
      <c r="D987" s="27">
        <v>2490.0122478057165</v>
      </c>
      <c r="E987" s="27">
        <v>3481.9843821457034</v>
      </c>
      <c r="F987" s="27">
        <v>5903.716658961639</v>
      </c>
      <c r="G987" s="27">
        <v>8043.8421799454954</v>
      </c>
      <c r="H987" s="27">
        <v>10641.275549058395</v>
      </c>
      <c r="I987" s="27">
        <v>14558.6856858096</v>
      </c>
      <c r="J987" s="27">
        <v>24194.904972837816</v>
      </c>
      <c r="K987" s="27">
        <v>50434.225058121578</v>
      </c>
      <c r="L987" s="27">
        <v>109957.50615301734</v>
      </c>
      <c r="M987" s="27">
        <v>232778.49283611012</v>
      </c>
    </row>
    <row r="988" spans="1:13" x14ac:dyDescent="0.75">
      <c r="A988" s="40">
        <v>986</v>
      </c>
      <c r="B988" s="27">
        <v>785.41369616459997</v>
      </c>
      <c r="C988" s="27">
        <v>1355.3469269716443</v>
      </c>
      <c r="D988" s="27">
        <v>2254.4598993335676</v>
      </c>
      <c r="E988" s="27">
        <v>3556.5314774786239</v>
      </c>
      <c r="F988" s="27">
        <v>5291.605317067384</v>
      </c>
      <c r="G988" s="27">
        <v>7941.3558166308794</v>
      </c>
      <c r="H988" s="27">
        <v>10121.19078628828</v>
      </c>
      <c r="I988" s="27">
        <v>14566.15950771037</v>
      </c>
      <c r="J988" s="27">
        <v>22555.738309641762</v>
      </c>
      <c r="K988" s="27">
        <v>46098.231350215501</v>
      </c>
      <c r="L988" s="27">
        <v>110640.63122528663</v>
      </c>
      <c r="M988" s="27">
        <v>225166.66431278925</v>
      </c>
    </row>
    <row r="989" spans="1:13" x14ac:dyDescent="0.75">
      <c r="A989" s="40">
        <v>987</v>
      </c>
      <c r="B989" s="27">
        <v>930.67681112523132</v>
      </c>
      <c r="C989" s="27">
        <v>1253.8315249339066</v>
      </c>
      <c r="D989" s="27">
        <v>1732.7403581484978</v>
      </c>
      <c r="E989" s="27">
        <v>2606.1103893592372</v>
      </c>
      <c r="F989" s="27">
        <v>4449.3189169282268</v>
      </c>
      <c r="G989" s="27">
        <v>6510.9733209624537</v>
      </c>
      <c r="H989" s="27">
        <v>8743.4567025235301</v>
      </c>
      <c r="I989" s="27">
        <v>13412.069408782118</v>
      </c>
      <c r="J989" s="27">
        <v>21902.191985079626</v>
      </c>
      <c r="K989" s="27">
        <v>47317.712722658936</v>
      </c>
      <c r="L989" s="27">
        <v>109725.79610434917</v>
      </c>
      <c r="M989" s="27">
        <v>218584.87824485093</v>
      </c>
    </row>
    <row r="990" spans="1:13" x14ac:dyDescent="0.75">
      <c r="A990" s="40">
        <v>988</v>
      </c>
      <c r="B990" s="27">
        <v>745.46083424403332</v>
      </c>
      <c r="C990" s="27">
        <v>1250.9946974286868</v>
      </c>
      <c r="D990" s="27">
        <v>2175.3400513421511</v>
      </c>
      <c r="E990" s="27">
        <v>3591.5136114079942</v>
      </c>
      <c r="F990" s="27">
        <v>5124.6455244988028</v>
      </c>
      <c r="G990" s="27">
        <v>7781.0738510586089</v>
      </c>
      <c r="H990" s="27">
        <v>10600.474154061696</v>
      </c>
      <c r="I990" s="27">
        <v>14854.613320640434</v>
      </c>
      <c r="J990" s="27">
        <v>22521.283648189987</v>
      </c>
      <c r="K990" s="27">
        <v>48053.191182051523</v>
      </c>
      <c r="L990" s="27">
        <v>113320.53783118707</v>
      </c>
      <c r="M990" s="27">
        <v>230019.12870611099</v>
      </c>
    </row>
    <row r="991" spans="1:13" x14ac:dyDescent="0.75">
      <c r="A991" s="40">
        <v>989</v>
      </c>
      <c r="B991" s="27">
        <v>615.7725600409176</v>
      </c>
      <c r="C991" s="27">
        <v>1061.297698093229</v>
      </c>
      <c r="D991" s="27">
        <v>1940.8358192177402</v>
      </c>
      <c r="E991" s="27">
        <v>3275.0834205012507</v>
      </c>
      <c r="F991" s="27">
        <v>5167.130476082064</v>
      </c>
      <c r="G991" s="27">
        <v>7309.0680008910713</v>
      </c>
      <c r="H991" s="27">
        <v>9636.8678341557388</v>
      </c>
      <c r="I991" s="27">
        <v>13340.883382220345</v>
      </c>
      <c r="J991" s="27">
        <v>23047.402866000251</v>
      </c>
      <c r="K991" s="27">
        <v>45553.4635638693</v>
      </c>
      <c r="L991" s="27">
        <v>114673.29549583519</v>
      </c>
      <c r="M991" s="27">
        <v>225621.10111690708</v>
      </c>
    </row>
    <row r="992" spans="1:13" x14ac:dyDescent="0.75">
      <c r="A992" s="40">
        <v>990</v>
      </c>
      <c r="B992" s="27">
        <v>835.48387823997473</v>
      </c>
      <c r="C992" s="27">
        <v>1554.8398273374187</v>
      </c>
      <c r="D992" s="27">
        <v>2581.7096329859633</v>
      </c>
      <c r="E992" s="27">
        <v>3397.7884457828623</v>
      </c>
      <c r="F992" s="27">
        <v>5510.415610010692</v>
      </c>
      <c r="G992" s="27">
        <v>8577.9138855113997</v>
      </c>
      <c r="H992" s="27">
        <v>11329.60707439507</v>
      </c>
      <c r="I992" s="27">
        <v>15045.031915665968</v>
      </c>
      <c r="J992" s="27">
        <v>23971.427987188436</v>
      </c>
      <c r="K992" s="27">
        <v>46293.085822691704</v>
      </c>
      <c r="L992" s="27">
        <v>120941.11197461293</v>
      </c>
      <c r="M992" s="27">
        <v>240038.41605442241</v>
      </c>
    </row>
    <row r="993" spans="1:13" x14ac:dyDescent="0.75">
      <c r="A993" s="40">
        <v>991</v>
      </c>
      <c r="B993" s="27">
        <v>467.45959923561895</v>
      </c>
      <c r="C993" s="27">
        <v>809.96487479170901</v>
      </c>
      <c r="D993" s="27">
        <v>1642.8711533995811</v>
      </c>
      <c r="E993" s="27">
        <v>2860.550195021453</v>
      </c>
      <c r="F993" s="27">
        <v>4488.9596423791081</v>
      </c>
      <c r="G993" s="27">
        <v>6926.4421762382844</v>
      </c>
      <c r="H993" s="27">
        <v>9738.231707672734</v>
      </c>
      <c r="I993" s="27">
        <v>13328.982539238335</v>
      </c>
      <c r="J993" s="27">
        <v>21964.003974232692</v>
      </c>
      <c r="K993" s="27">
        <v>47119.45420305588</v>
      </c>
      <c r="L993" s="27">
        <v>106742.82443267258</v>
      </c>
      <c r="M993" s="27">
        <v>216089.74449793797</v>
      </c>
    </row>
    <row r="994" spans="1:13" x14ac:dyDescent="0.75">
      <c r="A994" s="40">
        <v>992</v>
      </c>
      <c r="B994" s="27">
        <v>1280.8374896096211</v>
      </c>
      <c r="C994" s="27">
        <v>1768.3308208210365</v>
      </c>
      <c r="D994" s="27">
        <v>2527.075260734011</v>
      </c>
      <c r="E994" s="27">
        <v>3676.0223788606818</v>
      </c>
      <c r="F994" s="27">
        <v>5829.1419819048315</v>
      </c>
      <c r="G994" s="27">
        <v>8107.2665228867845</v>
      </c>
      <c r="H994" s="27">
        <v>10828.902764871105</v>
      </c>
      <c r="I994" s="27">
        <v>15646.283681245448</v>
      </c>
      <c r="J994" s="27">
        <v>24127.843473402318</v>
      </c>
      <c r="K994" s="27">
        <v>45927.84799250681</v>
      </c>
      <c r="L994" s="27">
        <v>104925.64021376189</v>
      </c>
      <c r="M994" s="27">
        <v>224645.19258060452</v>
      </c>
    </row>
    <row r="995" spans="1:13" x14ac:dyDescent="0.75">
      <c r="A995" s="40">
        <v>993</v>
      </c>
      <c r="B995" s="27">
        <v>594.31323971186066</v>
      </c>
      <c r="C995" s="27">
        <v>1136.8853798236232</v>
      </c>
      <c r="D995" s="27">
        <v>2193.4672740383248</v>
      </c>
      <c r="E995" s="27">
        <v>3389.573087510129</v>
      </c>
      <c r="F995" s="27">
        <v>5317.9884490781405</v>
      </c>
      <c r="G995" s="27">
        <v>7326.6043584905856</v>
      </c>
      <c r="H995" s="27">
        <v>10667.85017095186</v>
      </c>
      <c r="I995" s="27">
        <v>14096.186556376953</v>
      </c>
      <c r="J995" s="27">
        <v>22676.919500269432</v>
      </c>
      <c r="K995" s="27">
        <v>46993.929828490116</v>
      </c>
      <c r="L995" s="27">
        <v>112987.73877348615</v>
      </c>
      <c r="M995" s="27">
        <v>227381.45661822718</v>
      </c>
    </row>
    <row r="996" spans="1:13" x14ac:dyDescent="0.75">
      <c r="A996" s="40">
        <v>994</v>
      </c>
      <c r="B996" s="27">
        <v>793.57587712963868</v>
      </c>
      <c r="C996" s="27">
        <v>1416.2597200154269</v>
      </c>
      <c r="D996" s="27">
        <v>2325.6904323002964</v>
      </c>
      <c r="E996" s="27">
        <v>3535.1139204805368</v>
      </c>
      <c r="F996" s="27">
        <v>5086.5409293119446</v>
      </c>
      <c r="G996" s="27">
        <v>7896.045150684542</v>
      </c>
      <c r="H996" s="27">
        <v>10681.851800043194</v>
      </c>
      <c r="I996" s="27">
        <v>14421.14706890771</v>
      </c>
      <c r="J996" s="27">
        <v>22797.398211793974</v>
      </c>
      <c r="K996" s="27">
        <v>48419.057188408828</v>
      </c>
      <c r="L996" s="27">
        <v>110797.55921779864</v>
      </c>
      <c r="M996" s="27">
        <v>228170.23951687472</v>
      </c>
    </row>
    <row r="997" spans="1:13" x14ac:dyDescent="0.75">
      <c r="A997" s="40">
        <v>995</v>
      </c>
      <c r="B997" s="27">
        <v>817.86838360427646</v>
      </c>
      <c r="C997" s="27">
        <v>1084.7068033735704</v>
      </c>
      <c r="D997" s="27">
        <v>2013.5652720082726</v>
      </c>
      <c r="E997" s="27">
        <v>2802.5297558044695</v>
      </c>
      <c r="F997" s="27">
        <v>4926.9664379885653</v>
      </c>
      <c r="G997" s="27">
        <v>7571.3432945573586</v>
      </c>
      <c r="H997" s="27">
        <v>9288.2232730016258</v>
      </c>
      <c r="I997" s="27">
        <v>13919.992704165663</v>
      </c>
      <c r="J997" s="27">
        <v>21685.027277239715</v>
      </c>
      <c r="K997" s="27">
        <v>45059.668605154264</v>
      </c>
      <c r="L997" s="27">
        <v>109328.1808417369</v>
      </c>
      <c r="M997" s="27">
        <v>218498.07264863467</v>
      </c>
    </row>
    <row r="998" spans="1:13" x14ac:dyDescent="0.75">
      <c r="A998" s="40">
        <v>996</v>
      </c>
      <c r="B998" s="27">
        <v>640.92187126597855</v>
      </c>
      <c r="C998" s="27">
        <v>1071.513805432056</v>
      </c>
      <c r="D998" s="27">
        <v>1949.7652522337739</v>
      </c>
      <c r="E998" s="27">
        <v>3298.5066821550136</v>
      </c>
      <c r="F998" s="27">
        <v>5379.7306484205474</v>
      </c>
      <c r="G998" s="27">
        <v>7858.5338967529824</v>
      </c>
      <c r="H998" s="27">
        <v>10015.498862631837</v>
      </c>
      <c r="I998" s="27">
        <v>14342.695768448219</v>
      </c>
      <c r="J998" s="27">
        <v>24071.760072065765</v>
      </c>
      <c r="K998" s="27">
        <v>46876.007297266508</v>
      </c>
      <c r="L998" s="27">
        <v>114284.11051278526</v>
      </c>
      <c r="M998" s="27">
        <v>229789.04466945794</v>
      </c>
    </row>
    <row r="999" spans="1:13" x14ac:dyDescent="0.75">
      <c r="A999" s="40">
        <v>997</v>
      </c>
      <c r="B999" s="27">
        <v>903.17475340137025</v>
      </c>
      <c r="C999" s="27">
        <v>1431.8120679460844</v>
      </c>
      <c r="D999" s="27">
        <v>2214.1571428210882</v>
      </c>
      <c r="E999" s="27">
        <v>3381.551366602318</v>
      </c>
      <c r="F999" s="27">
        <v>5368.3361659933871</v>
      </c>
      <c r="G999" s="27">
        <v>8348.0342816860357</v>
      </c>
      <c r="H999" s="27">
        <v>10378.662335010755</v>
      </c>
      <c r="I999" s="27">
        <v>14071.650842714909</v>
      </c>
      <c r="J999" s="27">
        <v>23324.55072704982</v>
      </c>
      <c r="K999" s="27">
        <v>47659.779302040624</v>
      </c>
      <c r="L999" s="27">
        <v>115158.99109112057</v>
      </c>
      <c r="M999" s="27">
        <v>232240.70007638697</v>
      </c>
    </row>
    <row r="1000" spans="1:13" x14ac:dyDescent="0.75">
      <c r="A1000" s="40">
        <v>998</v>
      </c>
      <c r="B1000" s="27">
        <v>656.25850384921068</v>
      </c>
      <c r="C1000" s="27">
        <v>1158.9771502783551</v>
      </c>
      <c r="D1000" s="27">
        <v>2086.0418533296324</v>
      </c>
      <c r="E1000" s="27">
        <v>3281.8683048478852</v>
      </c>
      <c r="F1000" s="27">
        <v>5176.4620803760481</v>
      </c>
      <c r="G1000" s="27">
        <v>7811.6424369604792</v>
      </c>
      <c r="H1000" s="27">
        <v>10401.899816325109</v>
      </c>
      <c r="I1000" s="27">
        <v>13796.494867569214</v>
      </c>
      <c r="J1000" s="27">
        <v>24033.854378591015</v>
      </c>
      <c r="K1000" s="27">
        <v>44377.187158815999</v>
      </c>
      <c r="L1000" s="27">
        <v>112351.12944117535</v>
      </c>
      <c r="M1000" s="27">
        <v>225131.8159921183</v>
      </c>
    </row>
    <row r="1001" spans="1:13" x14ac:dyDescent="0.75">
      <c r="A1001" s="40">
        <v>999</v>
      </c>
      <c r="B1001" s="27">
        <v>1144.5209591399034</v>
      </c>
      <c r="C1001" s="27">
        <v>1612.1053017638042</v>
      </c>
      <c r="D1001" s="27">
        <v>2505.1893591206172</v>
      </c>
      <c r="E1001" s="27">
        <v>3687.900579674897</v>
      </c>
      <c r="F1001" s="27">
        <v>5540.6949942459905</v>
      </c>
      <c r="G1001" s="27">
        <v>8262.6824146592116</v>
      </c>
      <c r="H1001" s="27">
        <v>10772.435548513007</v>
      </c>
      <c r="I1001" s="27">
        <v>15437.131698853569</v>
      </c>
      <c r="J1001" s="27">
        <v>23018.172911224596</v>
      </c>
      <c r="K1001" s="27">
        <v>47938.200657608744</v>
      </c>
      <c r="L1001" s="27">
        <v>115758.20836934631</v>
      </c>
      <c r="M1001" s="27">
        <v>235677.24279415066</v>
      </c>
    </row>
    <row r="1002" spans="1:13" x14ac:dyDescent="0.75">
      <c r="A1002" s="40">
        <v>1000</v>
      </c>
      <c r="B1002" s="27">
        <v>683.60940325328556</v>
      </c>
      <c r="C1002" s="27">
        <v>1209.0309096916462</v>
      </c>
      <c r="D1002" s="27">
        <v>2168.2957680216496</v>
      </c>
      <c r="E1002" s="27">
        <v>3169.2373634318938</v>
      </c>
      <c r="F1002" s="27">
        <v>4933.4475891410984</v>
      </c>
      <c r="G1002" s="27">
        <v>7060.526722125971</v>
      </c>
      <c r="H1002" s="27">
        <v>9879.6007742577349</v>
      </c>
      <c r="I1002" s="27">
        <v>13988.14893068462</v>
      </c>
      <c r="J1002" s="27">
        <v>24241.696773786738</v>
      </c>
      <c r="K1002" s="27">
        <v>46293.036475274508</v>
      </c>
      <c r="L1002" s="27">
        <v>107309.55799948645</v>
      </c>
      <c r="M1002" s="27">
        <v>220936.1887091556</v>
      </c>
    </row>
    <row r="1003" spans="1:13" x14ac:dyDescent="0.75">
      <c r="A1003" s="40">
        <v>1001</v>
      </c>
      <c r="B1003" s="27">
        <v>878.38639208547829</v>
      </c>
      <c r="C1003" s="27">
        <v>1648.7871236822248</v>
      </c>
      <c r="D1003" s="27">
        <v>2645.2934191608947</v>
      </c>
      <c r="E1003" s="27">
        <v>4061.7312767093536</v>
      </c>
      <c r="F1003" s="27">
        <v>6064.7229809557321</v>
      </c>
      <c r="G1003" s="27">
        <v>8071.9440382170724</v>
      </c>
      <c r="H1003" s="27">
        <v>11486.239106471243</v>
      </c>
      <c r="I1003" s="27">
        <v>15063.321961653739</v>
      </c>
      <c r="J1003" s="27">
        <v>24871.729337981669</v>
      </c>
      <c r="K1003" s="27">
        <v>46890.207564071898</v>
      </c>
      <c r="L1003" s="27">
        <v>109604.2158625006</v>
      </c>
      <c r="M1003" s="27">
        <v>231286.57906348992</v>
      </c>
    </row>
    <row r="1004" spans="1:13" x14ac:dyDescent="0.75">
      <c r="A1004" s="40">
        <v>1002</v>
      </c>
      <c r="B1004" s="27">
        <v>1250.5014884300472</v>
      </c>
      <c r="C1004" s="27">
        <v>1381.588961923524</v>
      </c>
      <c r="D1004" s="27">
        <v>2376.9689182679431</v>
      </c>
      <c r="E1004" s="27">
        <v>3641.7044811426604</v>
      </c>
      <c r="F1004" s="27">
        <v>5556.1880744295777</v>
      </c>
      <c r="G1004" s="27">
        <v>8228.8916491343989</v>
      </c>
      <c r="H1004" s="27">
        <v>11066.933038997144</v>
      </c>
      <c r="I1004" s="27">
        <v>13934.176780758295</v>
      </c>
      <c r="J1004" s="27">
        <v>24710.393660053654</v>
      </c>
      <c r="K1004" s="27">
        <v>48290.974785232655</v>
      </c>
      <c r="L1004" s="27">
        <v>111795.50569835505</v>
      </c>
      <c r="M1004" s="27">
        <v>232233.82753672494</v>
      </c>
    </row>
    <row r="1005" spans="1:13" x14ac:dyDescent="0.75">
      <c r="A1005" s="40">
        <v>1003</v>
      </c>
      <c r="B1005" s="27">
        <v>1080.6699739914911</v>
      </c>
      <c r="C1005" s="27">
        <v>1683.1363847217144</v>
      </c>
      <c r="D1005" s="27">
        <v>2509.6389590878243</v>
      </c>
      <c r="E1005" s="27">
        <v>3625.2292224327975</v>
      </c>
      <c r="F1005" s="27">
        <v>6138.7460892288655</v>
      </c>
      <c r="G1005" s="27">
        <v>8586.7491951326374</v>
      </c>
      <c r="H1005" s="27">
        <v>11803.386077528005</v>
      </c>
      <c r="I1005" s="27">
        <v>14997.614222153366</v>
      </c>
      <c r="J1005" s="27">
        <v>24068.214292350051</v>
      </c>
      <c r="K1005" s="27">
        <v>47706.656866144185</v>
      </c>
      <c r="L1005" s="27">
        <v>119306.51582894783</v>
      </c>
      <c r="M1005" s="27">
        <v>241506.55711171875</v>
      </c>
    </row>
    <row r="1006" spans="1:13" x14ac:dyDescent="0.75">
      <c r="A1006" s="40">
        <v>1004</v>
      </c>
      <c r="B1006" s="27">
        <v>1413.3408591637562</v>
      </c>
      <c r="C1006" s="27">
        <v>2269.736697850778</v>
      </c>
      <c r="D1006" s="27">
        <v>3152.1618525614031</v>
      </c>
      <c r="E1006" s="27">
        <v>3849.2218551412516</v>
      </c>
      <c r="F1006" s="27">
        <v>5788.1014010378567</v>
      </c>
      <c r="G1006" s="27">
        <v>8081.7193450421328</v>
      </c>
      <c r="H1006" s="27">
        <v>11133.126689299213</v>
      </c>
      <c r="I1006" s="27">
        <v>16239.629558666726</v>
      </c>
      <c r="J1006" s="27">
        <v>23182.531815054783</v>
      </c>
      <c r="K1006" s="27">
        <v>46025.129803482851</v>
      </c>
      <c r="L1006" s="27">
        <v>114748.13446599548</v>
      </c>
      <c r="M1006" s="27">
        <v>235882.83434329624</v>
      </c>
    </row>
    <row r="1007" spans="1:13" x14ac:dyDescent="0.75">
      <c r="A1007" s="40">
        <v>1005</v>
      </c>
      <c r="B1007" s="27">
        <v>824.9585606395558</v>
      </c>
      <c r="C1007" s="27">
        <v>1296.1780231368466</v>
      </c>
      <c r="D1007" s="27">
        <v>2091.1077520810213</v>
      </c>
      <c r="E1007" s="27">
        <v>2898.6967100987094</v>
      </c>
      <c r="F1007" s="27">
        <v>4757.1094271302863</v>
      </c>
      <c r="G1007" s="27">
        <v>7026.9548652363883</v>
      </c>
      <c r="H1007" s="27">
        <v>8941.4917429642665</v>
      </c>
      <c r="I1007" s="27">
        <v>13973.601451965456</v>
      </c>
      <c r="J1007" s="27">
        <v>23014.43621528412</v>
      </c>
      <c r="K1007" s="27">
        <v>46199.540707920125</v>
      </c>
      <c r="L1007" s="27">
        <v>111317.1359000114</v>
      </c>
      <c r="M1007" s="27">
        <v>222341.21135646818</v>
      </c>
    </row>
    <row r="1008" spans="1:13" x14ac:dyDescent="0.75">
      <c r="A1008" s="40">
        <v>1006</v>
      </c>
      <c r="B1008" s="27">
        <v>750.83673779740639</v>
      </c>
      <c r="C1008" s="27">
        <v>1090.5106243627961</v>
      </c>
      <c r="D1008" s="27">
        <v>2002.7740537355421</v>
      </c>
      <c r="E1008" s="27">
        <v>3215.2382742704067</v>
      </c>
      <c r="F1008" s="27">
        <v>4652.2335932264978</v>
      </c>
      <c r="G1008" s="27">
        <v>7042.9420651191031</v>
      </c>
      <c r="H1008" s="27">
        <v>9384.9151818686514</v>
      </c>
      <c r="I1008" s="27">
        <v>13731.060170875207</v>
      </c>
      <c r="J1008" s="27">
        <v>22451.10677163623</v>
      </c>
      <c r="K1008" s="27">
        <v>46376.558605428319</v>
      </c>
      <c r="L1008" s="27">
        <v>116427.9261593212</v>
      </c>
      <c r="M1008" s="27">
        <v>227126.10223764135</v>
      </c>
    </row>
    <row r="1009" spans="1:13" x14ac:dyDescent="0.75">
      <c r="A1009" s="40">
        <v>1007</v>
      </c>
      <c r="B1009" s="27">
        <v>987.46668151926133</v>
      </c>
      <c r="C1009" s="27">
        <v>1533.9749187091948</v>
      </c>
      <c r="D1009" s="27">
        <v>2532.303522722199</v>
      </c>
      <c r="E1009" s="27">
        <v>3996.6545711369399</v>
      </c>
      <c r="F1009" s="27">
        <v>5353.0688665035559</v>
      </c>
      <c r="G1009" s="27">
        <v>7631.5146878451924</v>
      </c>
      <c r="H1009" s="27">
        <v>9876.1411311902775</v>
      </c>
      <c r="I1009" s="27">
        <v>15519.10357849783</v>
      </c>
      <c r="J1009" s="27">
        <v>23874.500346926172</v>
      </c>
      <c r="K1009" s="27">
        <v>46353.153204917326</v>
      </c>
      <c r="L1009" s="27">
        <v>113488.32542005196</v>
      </c>
      <c r="M1009" s="27">
        <v>231146.20693001989</v>
      </c>
    </row>
    <row r="1010" spans="1:13" x14ac:dyDescent="0.75">
      <c r="A1010" s="40">
        <v>1008</v>
      </c>
      <c r="B1010" s="27">
        <v>1137.3271667301451</v>
      </c>
      <c r="C1010" s="27">
        <v>1553.2212821951543</v>
      </c>
      <c r="D1010" s="27">
        <v>2411.8336959985172</v>
      </c>
      <c r="E1010" s="27">
        <v>3743.7216858129686</v>
      </c>
      <c r="F1010" s="27">
        <v>5815.8576510671992</v>
      </c>
      <c r="G1010" s="27">
        <v>8417.7637399040977</v>
      </c>
      <c r="H1010" s="27">
        <v>11158.503703709124</v>
      </c>
      <c r="I1010" s="27">
        <v>15653.317872544416</v>
      </c>
      <c r="J1010" s="27">
        <v>24874.725678139104</v>
      </c>
      <c r="K1010" s="27">
        <v>48433.326099995844</v>
      </c>
      <c r="L1010" s="27">
        <v>112865.91421175835</v>
      </c>
      <c r="M1010" s="27">
        <v>236065.51278785494</v>
      </c>
    </row>
    <row r="1011" spans="1:13" x14ac:dyDescent="0.75">
      <c r="A1011" s="40">
        <v>1009</v>
      </c>
      <c r="B1011" s="27">
        <v>599.99735235437402</v>
      </c>
      <c r="C1011" s="27">
        <v>1171.2925122631714</v>
      </c>
      <c r="D1011" s="27">
        <v>2237.8219558669225</v>
      </c>
      <c r="E1011" s="27">
        <v>3210.9796380669432</v>
      </c>
      <c r="F1011" s="27">
        <v>5309.2757639449992</v>
      </c>
      <c r="G1011" s="27">
        <v>7749.0006374685618</v>
      </c>
      <c r="H1011" s="27">
        <v>10179.369160739778</v>
      </c>
      <c r="I1011" s="27">
        <v>14380.506505904486</v>
      </c>
      <c r="J1011" s="27">
        <v>22969.056229181035</v>
      </c>
      <c r="K1011" s="27">
        <v>45129.118113104458</v>
      </c>
      <c r="L1011" s="27">
        <v>117935.9583274763</v>
      </c>
      <c r="M1011" s="27">
        <v>230872.37619637104</v>
      </c>
    </row>
    <row r="1012" spans="1:13" x14ac:dyDescent="0.75">
      <c r="A1012" s="40">
        <v>1010</v>
      </c>
      <c r="B1012" s="27">
        <v>1072.1654103846959</v>
      </c>
      <c r="C1012" s="27">
        <v>1633.545536774589</v>
      </c>
      <c r="D1012" s="27">
        <v>2610.6305900045409</v>
      </c>
      <c r="E1012" s="27">
        <v>3674.4280121557822</v>
      </c>
      <c r="F1012" s="27">
        <v>5429.969486379734</v>
      </c>
      <c r="G1012" s="27">
        <v>8174.6793186749564</v>
      </c>
      <c r="H1012" s="27">
        <v>11121.40494216932</v>
      </c>
      <c r="I1012" s="27">
        <v>15238.339891005875</v>
      </c>
      <c r="J1012" s="27">
        <v>24428.031267528248</v>
      </c>
      <c r="K1012" s="27">
        <v>48056.412000062541</v>
      </c>
      <c r="L1012" s="27">
        <v>118229.98676884908</v>
      </c>
      <c r="M1012" s="27">
        <v>239669.59322398936</v>
      </c>
    </row>
    <row r="1013" spans="1:13" x14ac:dyDescent="0.75">
      <c r="A1013" s="40">
        <v>1011</v>
      </c>
      <c r="B1013" s="27">
        <v>1210.334502173966</v>
      </c>
      <c r="C1013" s="27">
        <v>1489.1970560318441</v>
      </c>
      <c r="D1013" s="27">
        <v>2168.8855082796217</v>
      </c>
      <c r="E1013" s="27">
        <v>3184.9870159348793</v>
      </c>
      <c r="F1013" s="27">
        <v>5421.6687509457697</v>
      </c>
      <c r="G1013" s="27">
        <v>7538.016191593837</v>
      </c>
      <c r="H1013" s="27">
        <v>10177.849462096579</v>
      </c>
      <c r="I1013" s="27">
        <v>13277.696131443765</v>
      </c>
      <c r="J1013" s="27">
        <v>21854.532041669823</v>
      </c>
      <c r="K1013" s="27">
        <v>44626.979406367551</v>
      </c>
      <c r="L1013" s="27">
        <v>113819.15062085263</v>
      </c>
      <c r="M1013" s="27">
        <v>224769.29668739025</v>
      </c>
    </row>
    <row r="1014" spans="1:13" x14ac:dyDescent="0.75">
      <c r="A1014" s="40">
        <v>1012</v>
      </c>
      <c r="B1014" s="27">
        <v>1135.3607568150619</v>
      </c>
      <c r="C1014" s="27">
        <v>1891.3898487041879</v>
      </c>
      <c r="D1014" s="27">
        <v>2786.8529707539565</v>
      </c>
      <c r="E1014" s="27">
        <v>3793.7111636116606</v>
      </c>
      <c r="F1014" s="27">
        <v>6126.1959441511426</v>
      </c>
      <c r="G1014" s="27">
        <v>8524.7360938290658</v>
      </c>
      <c r="H1014" s="27">
        <v>11534.877621880398</v>
      </c>
      <c r="I1014" s="27">
        <v>15163.519854843296</v>
      </c>
      <c r="J1014" s="27">
        <v>24048.667029975957</v>
      </c>
      <c r="K1014" s="27">
        <v>47979.848725279822</v>
      </c>
      <c r="L1014" s="27">
        <v>116829.30205875935</v>
      </c>
      <c r="M1014" s="27">
        <v>239814.4620686039</v>
      </c>
    </row>
    <row r="1015" spans="1:13" x14ac:dyDescent="0.75">
      <c r="A1015" s="40">
        <v>1013</v>
      </c>
      <c r="B1015" s="27">
        <v>815.34240062271419</v>
      </c>
      <c r="C1015" s="27">
        <v>1207.3065162787389</v>
      </c>
      <c r="D1015" s="27">
        <v>2325.0917831142287</v>
      </c>
      <c r="E1015" s="27">
        <v>3381.4188274982007</v>
      </c>
      <c r="F1015" s="27">
        <v>5177.3350606546446</v>
      </c>
      <c r="G1015" s="27">
        <v>7090.1964695324423</v>
      </c>
      <c r="H1015" s="27">
        <v>10620.574470453372</v>
      </c>
      <c r="I1015" s="27">
        <v>14756.909047165085</v>
      </c>
      <c r="J1015" s="27">
        <v>23917.958503599279</v>
      </c>
      <c r="K1015" s="27">
        <v>45602.592410043595</v>
      </c>
      <c r="L1015" s="27">
        <v>111692.97294250829</v>
      </c>
      <c r="M1015" s="27">
        <v>226587.69843147061</v>
      </c>
    </row>
    <row r="1016" spans="1:13" x14ac:dyDescent="0.75">
      <c r="A1016" s="40">
        <v>1014</v>
      </c>
      <c r="B1016" s="27">
        <v>1082.8044807478</v>
      </c>
      <c r="C1016" s="27">
        <v>1838.010722735431</v>
      </c>
      <c r="D1016" s="27">
        <v>2920.9444249294465</v>
      </c>
      <c r="E1016" s="27">
        <v>3970.5546546937258</v>
      </c>
      <c r="F1016" s="27">
        <v>6118.8157522052352</v>
      </c>
      <c r="G1016" s="27">
        <v>8177.130797576363</v>
      </c>
      <c r="H1016" s="27">
        <v>10548.908662421294</v>
      </c>
      <c r="I1016" s="27">
        <v>15150.15554662564</v>
      </c>
      <c r="J1016" s="27">
        <v>25241.965582899342</v>
      </c>
      <c r="K1016" s="27">
        <v>47585.898972736934</v>
      </c>
      <c r="L1016" s="27">
        <v>119478.62189896428</v>
      </c>
      <c r="M1016" s="27">
        <v>242113.81149653549</v>
      </c>
    </row>
    <row r="1017" spans="1:13" x14ac:dyDescent="0.75">
      <c r="A1017" s="40">
        <v>1015</v>
      </c>
      <c r="B1017" s="27">
        <v>1168.9577795934165</v>
      </c>
      <c r="C1017" s="27">
        <v>1555.4315626030584</v>
      </c>
      <c r="D1017" s="27">
        <v>2229.9046790242719</v>
      </c>
      <c r="E1017" s="27">
        <v>3491.2604327063891</v>
      </c>
      <c r="F1017" s="27">
        <v>4912.9483921620558</v>
      </c>
      <c r="G1017" s="27">
        <v>7475.5604428272636</v>
      </c>
      <c r="H1017" s="27">
        <v>9574.8254140758654</v>
      </c>
      <c r="I1017" s="27">
        <v>13637.241295874264</v>
      </c>
      <c r="J1017" s="27">
        <v>23637.81090518969</v>
      </c>
      <c r="K1017" s="27">
        <v>44906.034483628609</v>
      </c>
      <c r="L1017" s="27">
        <v>107525.09241609511</v>
      </c>
      <c r="M1017" s="27">
        <v>220115.06780378</v>
      </c>
    </row>
    <row r="1018" spans="1:13" x14ac:dyDescent="0.75">
      <c r="A1018" s="40">
        <v>1016</v>
      </c>
      <c r="B1018" s="27">
        <v>719.83027413114905</v>
      </c>
      <c r="C1018" s="27">
        <v>937.80622983588546</v>
      </c>
      <c r="D1018" s="27">
        <v>2087.6887909339857</v>
      </c>
      <c r="E1018" s="27">
        <v>3101.0532275265723</v>
      </c>
      <c r="F1018" s="27">
        <v>5027.4861745970557</v>
      </c>
      <c r="G1018" s="27">
        <v>7599.6838926684577</v>
      </c>
      <c r="H1018" s="27">
        <v>10764.648859481909</v>
      </c>
      <c r="I1018" s="27">
        <v>14706.341638702899</v>
      </c>
      <c r="J1018" s="27">
        <v>23976.080225484955</v>
      </c>
      <c r="K1018" s="27">
        <v>46605.048717678495</v>
      </c>
      <c r="L1018" s="27">
        <v>112515.81020315422</v>
      </c>
      <c r="M1018" s="27">
        <v>228041.47823419559</v>
      </c>
    </row>
    <row r="1019" spans="1:13" x14ac:dyDescent="0.75">
      <c r="A1019" s="40">
        <v>1017</v>
      </c>
      <c r="B1019" s="27">
        <v>1348.5915131801012</v>
      </c>
      <c r="C1019" s="27">
        <v>1937.3565601640439</v>
      </c>
      <c r="D1019" s="27">
        <v>2977.0388481437258</v>
      </c>
      <c r="E1019" s="27">
        <v>4060.904673048426</v>
      </c>
      <c r="F1019" s="27">
        <v>6215.7272718610475</v>
      </c>
      <c r="G1019" s="27">
        <v>8542.7116664763598</v>
      </c>
      <c r="H1019" s="27">
        <v>11073.613095015317</v>
      </c>
      <c r="I1019" s="27">
        <v>14558.53559907859</v>
      </c>
      <c r="J1019" s="27">
        <v>23845.174660723787</v>
      </c>
      <c r="K1019" s="27">
        <v>46912.226695620222</v>
      </c>
      <c r="L1019" s="27">
        <v>115087.34063789481</v>
      </c>
      <c r="M1019" s="27">
        <v>236559.22122120642</v>
      </c>
    </row>
    <row r="1020" spans="1:13" x14ac:dyDescent="0.75">
      <c r="A1020" s="40">
        <v>1018</v>
      </c>
      <c r="B1020" s="27">
        <v>792.12603627688077</v>
      </c>
      <c r="C1020" s="27">
        <v>1368.415869650591</v>
      </c>
      <c r="D1020" s="27">
        <v>2141.6892231596576</v>
      </c>
      <c r="E1020" s="27">
        <v>3389.5681861681951</v>
      </c>
      <c r="F1020" s="27">
        <v>4970.8059991506307</v>
      </c>
      <c r="G1020" s="27">
        <v>7595.8138567549177</v>
      </c>
      <c r="H1020" s="27">
        <v>10429.520918986353</v>
      </c>
      <c r="I1020" s="27">
        <v>14477.077048535168</v>
      </c>
      <c r="J1020" s="27">
        <v>23236.556075514658</v>
      </c>
      <c r="K1020" s="27">
        <v>49063.287599082221</v>
      </c>
      <c r="L1020" s="27">
        <v>109216.12345461056</v>
      </c>
      <c r="M1020" s="27">
        <v>226680.98426788981</v>
      </c>
    </row>
    <row r="1021" spans="1:13" x14ac:dyDescent="0.75">
      <c r="A1021" s="40">
        <v>1019</v>
      </c>
      <c r="B1021" s="27">
        <v>900.56821141857654</v>
      </c>
      <c r="C1021" s="27">
        <v>1545.5567704777204</v>
      </c>
      <c r="D1021" s="27">
        <v>2061.6524677897105</v>
      </c>
      <c r="E1021" s="27">
        <v>3321.9487744895741</v>
      </c>
      <c r="F1021" s="27">
        <v>5097.2163176330214</v>
      </c>
      <c r="G1021" s="27">
        <v>7784.6505784505862</v>
      </c>
      <c r="H1021" s="27">
        <v>9726.3869437760877</v>
      </c>
      <c r="I1021" s="27">
        <v>13993.843838996094</v>
      </c>
      <c r="J1021" s="27">
        <v>24087.034113265036</v>
      </c>
      <c r="K1021" s="27">
        <v>47487.94196445687</v>
      </c>
      <c r="L1021" s="27">
        <v>112778.67799433031</v>
      </c>
      <c r="M1021" s="27">
        <v>228785.47797508357</v>
      </c>
    </row>
    <row r="1022" spans="1:13" x14ac:dyDescent="0.75">
      <c r="A1022" s="40">
        <v>1020</v>
      </c>
      <c r="B1022" s="27">
        <v>792.98134525494243</v>
      </c>
      <c r="C1022" s="27">
        <v>1226.7665393766365</v>
      </c>
      <c r="D1022" s="27">
        <v>2154.4873724852514</v>
      </c>
      <c r="E1022" s="27">
        <v>3219.8524957890768</v>
      </c>
      <c r="F1022" s="27">
        <v>4586.8433757464809</v>
      </c>
      <c r="G1022" s="27">
        <v>7171.760968234943</v>
      </c>
      <c r="H1022" s="27">
        <v>9702.1797928358283</v>
      </c>
      <c r="I1022" s="27">
        <v>13514.170963198339</v>
      </c>
      <c r="J1022" s="27">
        <v>23539.640321398168</v>
      </c>
      <c r="K1022" s="27">
        <v>45095.489980216342</v>
      </c>
      <c r="L1022" s="27">
        <v>118372.68169566714</v>
      </c>
      <c r="M1022" s="27">
        <v>229376.85485020315</v>
      </c>
    </row>
    <row r="1023" spans="1:13" x14ac:dyDescent="0.75">
      <c r="A1023" s="40">
        <v>1021</v>
      </c>
      <c r="B1023" s="27">
        <v>671.9018557225063</v>
      </c>
      <c r="C1023" s="27">
        <v>1150.6837253651465</v>
      </c>
      <c r="D1023" s="27">
        <v>2015.0587958459655</v>
      </c>
      <c r="E1023" s="27">
        <v>3134.9971148627228</v>
      </c>
      <c r="F1023" s="27">
        <v>4889.2065198657801</v>
      </c>
      <c r="G1023" s="27">
        <v>7232.1203293934232</v>
      </c>
      <c r="H1023" s="27">
        <v>10091.877368406102</v>
      </c>
      <c r="I1023" s="27">
        <v>14264.436970074516</v>
      </c>
      <c r="J1023" s="27">
        <v>23644.686595837789</v>
      </c>
      <c r="K1023" s="27">
        <v>46904.018611344858</v>
      </c>
      <c r="L1023" s="27">
        <v>109730.56888344866</v>
      </c>
      <c r="M1023" s="27">
        <v>223729.55677016749</v>
      </c>
    </row>
    <row r="1024" spans="1:13" x14ac:dyDescent="0.75">
      <c r="A1024" s="40">
        <v>1022</v>
      </c>
      <c r="B1024" s="27">
        <v>412.00442726485198</v>
      </c>
      <c r="C1024" s="27">
        <v>1083.7552408304036</v>
      </c>
      <c r="D1024" s="27">
        <v>2005.9840726846014</v>
      </c>
      <c r="E1024" s="27">
        <v>3409.5124209115747</v>
      </c>
      <c r="F1024" s="27">
        <v>5545.581845088047</v>
      </c>
      <c r="G1024" s="27">
        <v>7754.3296091337397</v>
      </c>
      <c r="H1024" s="27">
        <v>10349.536399211487</v>
      </c>
      <c r="I1024" s="27">
        <v>14479.668894924223</v>
      </c>
      <c r="J1024" s="27">
        <v>23046.349343895272</v>
      </c>
      <c r="K1024" s="27">
        <v>44370.966425220657</v>
      </c>
      <c r="L1024" s="27">
        <v>118820.73688793794</v>
      </c>
      <c r="M1024" s="27">
        <v>231278.42556710279</v>
      </c>
    </row>
    <row r="1025" spans="1:13" x14ac:dyDescent="0.75">
      <c r="A1025" s="40">
        <v>1023</v>
      </c>
      <c r="B1025" s="27">
        <v>459.75691939629905</v>
      </c>
      <c r="C1025" s="27">
        <v>999.06722647217975</v>
      </c>
      <c r="D1025" s="27">
        <v>1483.9235359137383</v>
      </c>
      <c r="E1025" s="27">
        <v>2541.1828323228256</v>
      </c>
      <c r="F1025" s="27">
        <v>4383.4846153101971</v>
      </c>
      <c r="G1025" s="27">
        <v>7078.6214322385786</v>
      </c>
      <c r="H1025" s="27">
        <v>9410.4935610757093</v>
      </c>
      <c r="I1025" s="27">
        <v>13766.541803099492</v>
      </c>
      <c r="J1025" s="27">
        <v>23081.680214183085</v>
      </c>
      <c r="K1025" s="27">
        <v>44245.405329424408</v>
      </c>
      <c r="L1025" s="27">
        <v>104579.97093282925</v>
      </c>
      <c r="M1025" s="27">
        <v>212030.12840226578</v>
      </c>
    </row>
    <row r="1026" spans="1:13" x14ac:dyDescent="0.75">
      <c r="A1026" s="40">
        <v>1024</v>
      </c>
      <c r="B1026" s="27">
        <v>802.22491570982675</v>
      </c>
      <c r="C1026" s="27">
        <v>1283.2189713405969</v>
      </c>
      <c r="D1026" s="27">
        <v>2083.1849202592421</v>
      </c>
      <c r="E1026" s="27">
        <v>3200.4329568965331</v>
      </c>
      <c r="F1026" s="27">
        <v>5391.1666177175357</v>
      </c>
      <c r="G1026" s="27">
        <v>7319.5673840203381</v>
      </c>
      <c r="H1026" s="27">
        <v>10780.094444192655</v>
      </c>
      <c r="I1026" s="27">
        <v>14182.114692586125</v>
      </c>
      <c r="J1026" s="27">
        <v>23259.07971720089</v>
      </c>
      <c r="K1026" s="27">
        <v>48511.148395830271</v>
      </c>
      <c r="L1026" s="27">
        <v>113833.48855542793</v>
      </c>
      <c r="M1026" s="27">
        <v>230645.72157118196</v>
      </c>
    </row>
    <row r="1027" spans="1:13" x14ac:dyDescent="0.75">
      <c r="A1027" s="40">
        <v>1025</v>
      </c>
      <c r="B1027" s="27">
        <v>527.17933194109355</v>
      </c>
      <c r="C1027" s="27">
        <v>834.38774059618299</v>
      </c>
      <c r="D1027" s="27">
        <v>1541.4174000224739</v>
      </c>
      <c r="E1027" s="27">
        <v>2772.6720895495382</v>
      </c>
      <c r="F1027" s="27">
        <v>4733.6430636520381</v>
      </c>
      <c r="G1027" s="27">
        <v>7108.9498035435972</v>
      </c>
      <c r="H1027" s="27">
        <v>9788.4486844262137</v>
      </c>
      <c r="I1027" s="27">
        <v>13663.038957423909</v>
      </c>
      <c r="J1027" s="27">
        <v>22610.173580327144</v>
      </c>
      <c r="K1027" s="27">
        <v>45610.409670964611</v>
      </c>
      <c r="L1027" s="27">
        <v>111066.12832752164</v>
      </c>
      <c r="M1027" s="27">
        <v>220256.44864996843</v>
      </c>
    </row>
    <row r="1028" spans="1:13" x14ac:dyDescent="0.75">
      <c r="A1028" s="40">
        <v>1026</v>
      </c>
      <c r="B1028" s="27">
        <v>1169.1408655619452</v>
      </c>
      <c r="C1028" s="27">
        <v>1531.4943091554451</v>
      </c>
      <c r="D1028" s="27">
        <v>2216.4711806396808</v>
      </c>
      <c r="E1028" s="27">
        <v>3226.155110064472</v>
      </c>
      <c r="F1028" s="27">
        <v>4838.6479677851457</v>
      </c>
      <c r="G1028" s="27">
        <v>8043.4413257911801</v>
      </c>
      <c r="H1028" s="27">
        <v>11150.975565784582</v>
      </c>
      <c r="I1028" s="27">
        <v>15328.941534653291</v>
      </c>
      <c r="J1028" s="27">
        <v>23287.582643491914</v>
      </c>
      <c r="K1028" s="27">
        <v>48457.101014591288</v>
      </c>
      <c r="L1028" s="27">
        <v>108461.82735782483</v>
      </c>
      <c r="M1028" s="27">
        <v>227711.77887534379</v>
      </c>
    </row>
    <row r="1029" spans="1:13" x14ac:dyDescent="0.75">
      <c r="A1029" s="40">
        <v>1027</v>
      </c>
      <c r="B1029" s="27">
        <v>663.61195984667575</v>
      </c>
      <c r="C1029" s="27">
        <v>1101.0747135396814</v>
      </c>
      <c r="D1029" s="27">
        <v>1920.685797125072</v>
      </c>
      <c r="E1029" s="27">
        <v>3092.6377009515709</v>
      </c>
      <c r="F1029" s="27">
        <v>4880.5729984980426</v>
      </c>
      <c r="G1029" s="27">
        <v>7017.5892902867927</v>
      </c>
      <c r="H1029" s="27">
        <v>9886.4637296700676</v>
      </c>
      <c r="I1029" s="27">
        <v>14186.939197694199</v>
      </c>
      <c r="J1029" s="27">
        <v>23013.179039982555</v>
      </c>
      <c r="K1029" s="27">
        <v>48813.587663617829</v>
      </c>
      <c r="L1029" s="27">
        <v>113515.03162912535</v>
      </c>
      <c r="M1029" s="27">
        <v>228091.37372033784</v>
      </c>
    </row>
    <row r="1030" spans="1:13" x14ac:dyDescent="0.75">
      <c r="A1030" s="40">
        <v>1028</v>
      </c>
      <c r="B1030" s="27">
        <v>844.19335692586901</v>
      </c>
      <c r="C1030" s="27">
        <v>1304.425256908391</v>
      </c>
      <c r="D1030" s="27">
        <v>2432.8244101731689</v>
      </c>
      <c r="E1030" s="27">
        <v>3908.6585122565302</v>
      </c>
      <c r="F1030" s="27">
        <v>5478.1826712165202</v>
      </c>
      <c r="G1030" s="27">
        <v>7932.046301030874</v>
      </c>
      <c r="H1030" s="27">
        <v>10747.064501929402</v>
      </c>
      <c r="I1030" s="27">
        <v>15483.780935269286</v>
      </c>
      <c r="J1030" s="27">
        <v>22867.536329535127</v>
      </c>
      <c r="K1030" s="27">
        <v>48546.235388965841</v>
      </c>
      <c r="L1030" s="27">
        <v>118004.12294130465</v>
      </c>
      <c r="M1030" s="27">
        <v>237549.07060551568</v>
      </c>
    </row>
    <row r="1031" spans="1:13" x14ac:dyDescent="0.75">
      <c r="A1031" s="40">
        <v>1029</v>
      </c>
      <c r="B1031" s="27">
        <v>868.36182166641811</v>
      </c>
      <c r="C1031" s="27">
        <v>1509.4377956058888</v>
      </c>
      <c r="D1031" s="27">
        <v>2353.5243339582958</v>
      </c>
      <c r="E1031" s="27">
        <v>3613.0254918005667</v>
      </c>
      <c r="F1031" s="27">
        <v>5294.6309022460773</v>
      </c>
      <c r="G1031" s="27">
        <v>7893.0033469344198</v>
      </c>
      <c r="H1031" s="27">
        <v>10439.940819621814</v>
      </c>
      <c r="I1031" s="27">
        <v>14833.984138492451</v>
      </c>
      <c r="J1031" s="27">
        <v>23789.199695696239</v>
      </c>
      <c r="K1031" s="27">
        <v>46660.004654446559</v>
      </c>
      <c r="L1031" s="27">
        <v>117516.39980089292</v>
      </c>
      <c r="M1031" s="27">
        <v>234771.51280136165</v>
      </c>
    </row>
    <row r="1032" spans="1:13" x14ac:dyDescent="0.75">
      <c r="A1032" s="40">
        <v>1030</v>
      </c>
      <c r="B1032" s="27">
        <v>426.88139094595681</v>
      </c>
      <c r="C1032" s="27">
        <v>741.02465815277537</v>
      </c>
      <c r="D1032" s="27">
        <v>1699.1660368252196</v>
      </c>
      <c r="E1032" s="27">
        <v>3092.0344595225906</v>
      </c>
      <c r="F1032" s="27">
        <v>4925.3032252742851</v>
      </c>
      <c r="G1032" s="27">
        <v>7421.5064268518763</v>
      </c>
      <c r="H1032" s="27">
        <v>9777.4934331525292</v>
      </c>
      <c r="I1032" s="27">
        <v>13844.156573137705</v>
      </c>
      <c r="J1032" s="27">
        <v>22017.672037713157</v>
      </c>
      <c r="K1032" s="27">
        <v>44301.431490902862</v>
      </c>
      <c r="L1032" s="27">
        <v>110802.85285901214</v>
      </c>
      <c r="M1032" s="27">
        <v>219049.52259149111</v>
      </c>
    </row>
    <row r="1033" spans="1:13" x14ac:dyDescent="0.75">
      <c r="A1033" s="40">
        <v>1031</v>
      </c>
      <c r="B1033" s="27">
        <v>467.53818974479509</v>
      </c>
      <c r="C1033" s="27">
        <v>1246.1569155366888</v>
      </c>
      <c r="D1033" s="27">
        <v>2232.2446640659909</v>
      </c>
      <c r="E1033" s="27">
        <v>3408.9680832434242</v>
      </c>
      <c r="F1033" s="27">
        <v>5327.0901451265963</v>
      </c>
      <c r="G1033" s="27">
        <v>7467.6164798401296</v>
      </c>
      <c r="H1033" s="27">
        <v>10020.118927345335</v>
      </c>
      <c r="I1033" s="27">
        <v>14509.576803910109</v>
      </c>
      <c r="J1033" s="27">
        <v>23950.986212302159</v>
      </c>
      <c r="K1033" s="27">
        <v>46059.179829741071</v>
      </c>
      <c r="L1033" s="27">
        <v>114527.87866426969</v>
      </c>
      <c r="M1033" s="27">
        <v>229217.35491512599</v>
      </c>
    </row>
    <row r="1034" spans="1:13" x14ac:dyDescent="0.75">
      <c r="A1034" s="40">
        <v>1032</v>
      </c>
      <c r="B1034" s="27">
        <v>280.79933875320421</v>
      </c>
      <c r="C1034" s="27">
        <v>845.72077255403565</v>
      </c>
      <c r="D1034" s="27">
        <v>1430.9862126011139</v>
      </c>
      <c r="E1034" s="27">
        <v>2580.8290301244415</v>
      </c>
      <c r="F1034" s="27">
        <v>4520.9794208135281</v>
      </c>
      <c r="G1034" s="27">
        <v>6486.7213053507148</v>
      </c>
      <c r="H1034" s="27">
        <v>8799.0991211330256</v>
      </c>
      <c r="I1034" s="27">
        <v>13181.348723648829</v>
      </c>
      <c r="J1034" s="27">
        <v>20456.367292185547</v>
      </c>
      <c r="K1034" s="27">
        <v>43283.562577463861</v>
      </c>
      <c r="L1034" s="27">
        <v>106178.9822897432</v>
      </c>
      <c r="M1034" s="27">
        <v>208045.39608437149</v>
      </c>
    </row>
    <row r="1035" spans="1:13" x14ac:dyDescent="0.75">
      <c r="A1035" s="40">
        <v>1033</v>
      </c>
      <c r="B1035" s="27">
        <v>1119.5567517942254</v>
      </c>
      <c r="C1035" s="27">
        <v>1572.8445308556111</v>
      </c>
      <c r="D1035" s="27">
        <v>2486.916673814354</v>
      </c>
      <c r="E1035" s="27">
        <v>3595.2401314783056</v>
      </c>
      <c r="F1035" s="27">
        <v>5535.1038578449516</v>
      </c>
      <c r="G1035" s="27">
        <v>7955.3386757994886</v>
      </c>
      <c r="H1035" s="27">
        <v>10466.899275890843</v>
      </c>
      <c r="I1035" s="27">
        <v>14306.123218685607</v>
      </c>
      <c r="J1035" s="27">
        <v>23393.032341748549</v>
      </c>
      <c r="K1035" s="27">
        <v>48090.524420910777</v>
      </c>
      <c r="L1035" s="27">
        <v>115294.0211113815</v>
      </c>
      <c r="M1035" s="27">
        <v>233815.6009902042</v>
      </c>
    </row>
    <row r="1036" spans="1:13" x14ac:dyDescent="0.75">
      <c r="A1036" s="40">
        <v>1034</v>
      </c>
      <c r="B1036" s="27">
        <v>940.08898295191466</v>
      </c>
      <c r="C1036" s="27">
        <v>1247.4614182271325</v>
      </c>
      <c r="D1036" s="27">
        <v>2187.5436558951333</v>
      </c>
      <c r="E1036" s="27">
        <v>2856.3433626237966</v>
      </c>
      <c r="F1036" s="27">
        <v>4956.1775091100426</v>
      </c>
      <c r="G1036" s="27">
        <v>7157.1189757254906</v>
      </c>
      <c r="H1036" s="27">
        <v>9872.9104903697007</v>
      </c>
      <c r="I1036" s="27">
        <v>13634.166866424028</v>
      </c>
      <c r="J1036" s="27">
        <v>22444.165041132015</v>
      </c>
      <c r="K1036" s="27">
        <v>46760.616105606634</v>
      </c>
      <c r="L1036" s="27">
        <v>110192.32829185668</v>
      </c>
      <c r="M1036" s="27">
        <v>222248.92069992257</v>
      </c>
    </row>
    <row r="1037" spans="1:13" x14ac:dyDescent="0.75">
      <c r="A1037" s="40">
        <v>1035</v>
      </c>
      <c r="B1037" s="27">
        <v>551.79106377567223</v>
      </c>
      <c r="C1037" s="27">
        <v>1150.2558558348974</v>
      </c>
      <c r="D1037" s="27">
        <v>2106.9392282566405</v>
      </c>
      <c r="E1037" s="27">
        <v>3215.3514538303716</v>
      </c>
      <c r="F1037" s="27">
        <v>4961.533591275831</v>
      </c>
      <c r="G1037" s="27">
        <v>7587.7315717730089</v>
      </c>
      <c r="H1037" s="27">
        <v>10372.552265418693</v>
      </c>
      <c r="I1037" s="27">
        <v>14383.752124998369</v>
      </c>
      <c r="J1037" s="27">
        <v>23365.092289363092</v>
      </c>
      <c r="K1037" s="27">
        <v>47780.097064879461</v>
      </c>
      <c r="L1037" s="27">
        <v>116054.26821882086</v>
      </c>
      <c r="M1037" s="27">
        <v>231529.36472822691</v>
      </c>
    </row>
    <row r="1038" spans="1:13" x14ac:dyDescent="0.75">
      <c r="A1038" s="40">
        <v>1036</v>
      </c>
      <c r="B1038" s="27">
        <v>851.68004808561818</v>
      </c>
      <c r="C1038" s="27">
        <v>1233.8498671938141</v>
      </c>
      <c r="D1038" s="27">
        <v>2067.3538846297306</v>
      </c>
      <c r="E1038" s="27">
        <v>3266.6765500402689</v>
      </c>
      <c r="F1038" s="27">
        <v>5186.6756701005943</v>
      </c>
      <c r="G1038" s="27">
        <v>7042.2834056915017</v>
      </c>
      <c r="H1038" s="27">
        <v>9610.792586458032</v>
      </c>
      <c r="I1038" s="27">
        <v>12940.428919137368</v>
      </c>
      <c r="J1038" s="27">
        <v>23404.424822941684</v>
      </c>
      <c r="K1038" s="27">
        <v>46781.520410236728</v>
      </c>
      <c r="L1038" s="27">
        <v>106757.69415616363</v>
      </c>
      <c r="M1038" s="27">
        <v>219143.38032067899</v>
      </c>
    </row>
    <row r="1039" spans="1:13" x14ac:dyDescent="0.75">
      <c r="A1039" s="40">
        <v>1037</v>
      </c>
      <c r="B1039" s="27">
        <v>545.98945540879504</v>
      </c>
      <c r="C1039" s="27">
        <v>974.3210444146971</v>
      </c>
      <c r="D1039" s="27">
        <v>1982.7712063486688</v>
      </c>
      <c r="E1039" s="27">
        <v>3158.3834320202295</v>
      </c>
      <c r="F1039" s="27">
        <v>5048.3571591123618</v>
      </c>
      <c r="G1039" s="27">
        <v>7786.4548658365966</v>
      </c>
      <c r="H1039" s="27">
        <v>10426.158665071795</v>
      </c>
      <c r="I1039" s="27">
        <v>14446.83651371501</v>
      </c>
      <c r="J1039" s="27">
        <v>22744.318970591034</v>
      </c>
      <c r="K1039" s="27">
        <v>49085.690023606759</v>
      </c>
      <c r="L1039" s="27">
        <v>114821.39753114906</v>
      </c>
      <c r="M1039" s="27">
        <v>231020.67886727501</v>
      </c>
    </row>
    <row r="1040" spans="1:13" x14ac:dyDescent="0.75">
      <c r="A1040" s="40">
        <v>1038</v>
      </c>
      <c r="B1040" s="27">
        <v>900.90058133221464</v>
      </c>
      <c r="C1040" s="27">
        <v>1609.9822963926708</v>
      </c>
      <c r="D1040" s="27">
        <v>2370.0821196982288</v>
      </c>
      <c r="E1040" s="27">
        <v>3412.606049017937</v>
      </c>
      <c r="F1040" s="27">
        <v>5152.4183212073985</v>
      </c>
      <c r="G1040" s="27">
        <v>7921.7569800893252</v>
      </c>
      <c r="H1040" s="27">
        <v>9959.1643306126207</v>
      </c>
      <c r="I1040" s="27">
        <v>14209.926499889101</v>
      </c>
      <c r="J1040" s="27">
        <v>22055.999226775559</v>
      </c>
      <c r="K1040" s="27">
        <v>46811.0176743927</v>
      </c>
      <c r="L1040" s="27">
        <v>101912.80694781779</v>
      </c>
      <c r="M1040" s="27">
        <v>216316.66102722555</v>
      </c>
    </row>
    <row r="1041" spans="1:13" x14ac:dyDescent="0.75">
      <c r="A1041" s="40">
        <v>1039</v>
      </c>
      <c r="B1041" s="27">
        <v>1128.5759771325975</v>
      </c>
      <c r="C1041" s="27">
        <v>1752.740750531244</v>
      </c>
      <c r="D1041" s="27">
        <v>2647.6889044783311</v>
      </c>
      <c r="E1041" s="27">
        <v>3725.3495562554599</v>
      </c>
      <c r="F1041" s="27">
        <v>5815.636974582827</v>
      </c>
      <c r="G1041" s="27">
        <v>8081.563398680737</v>
      </c>
      <c r="H1041" s="27">
        <v>10654.331968361468</v>
      </c>
      <c r="I1041" s="27">
        <v>14734.524772286255</v>
      </c>
      <c r="J1041" s="27">
        <v>24741.182451730943</v>
      </c>
      <c r="K1041" s="27">
        <v>47561.358546790376</v>
      </c>
      <c r="L1041" s="27">
        <v>115621.99033672691</v>
      </c>
      <c r="M1041" s="27">
        <v>236464.94363755715</v>
      </c>
    </row>
    <row r="1042" spans="1:13" x14ac:dyDescent="0.75">
      <c r="A1042" s="40">
        <v>1040</v>
      </c>
      <c r="B1042" s="27">
        <v>1254.580792686349</v>
      </c>
      <c r="C1042" s="27">
        <v>1958.7581637779804</v>
      </c>
      <c r="D1042" s="27">
        <v>2765.8450434552506</v>
      </c>
      <c r="E1042" s="27">
        <v>3893.6933425695315</v>
      </c>
      <c r="F1042" s="27">
        <v>6372.4043090467749</v>
      </c>
      <c r="G1042" s="27">
        <v>8405.4473587896209</v>
      </c>
      <c r="H1042" s="27">
        <v>11098.692522855301</v>
      </c>
      <c r="I1042" s="27">
        <v>15563.908418450214</v>
      </c>
      <c r="J1042" s="27">
        <v>25458.447942876679</v>
      </c>
      <c r="K1042" s="27">
        <v>47231.949617036124</v>
      </c>
      <c r="L1042" s="27">
        <v>111882.74385966375</v>
      </c>
      <c r="M1042" s="27">
        <v>235886.47137120756</v>
      </c>
    </row>
    <row r="1043" spans="1:13" x14ac:dyDescent="0.75">
      <c r="A1043" s="40">
        <v>1041</v>
      </c>
      <c r="B1043" s="27">
        <v>970.99756267759949</v>
      </c>
      <c r="C1043" s="27">
        <v>1719.2818503580784</v>
      </c>
      <c r="D1043" s="27">
        <v>2606.1570787718229</v>
      </c>
      <c r="E1043" s="27">
        <v>3618.4523674750526</v>
      </c>
      <c r="F1043" s="27">
        <v>5291.3536163480458</v>
      </c>
      <c r="G1043" s="27">
        <v>8181.1975443362899</v>
      </c>
      <c r="H1043" s="27">
        <v>10218.179585706646</v>
      </c>
      <c r="I1043" s="27">
        <v>14375.667654169651</v>
      </c>
      <c r="J1043" s="27">
        <v>24592.033658285669</v>
      </c>
      <c r="K1043" s="27">
        <v>48334.451713838847</v>
      </c>
      <c r="L1043" s="27">
        <v>111762.79677120622</v>
      </c>
      <c r="M1043" s="27">
        <v>231670.56940317393</v>
      </c>
    </row>
    <row r="1044" spans="1:13" x14ac:dyDescent="0.75">
      <c r="A1044" s="40">
        <v>1042</v>
      </c>
      <c r="B1044" s="27">
        <v>914.20821031255764</v>
      </c>
      <c r="C1044" s="27">
        <v>1237.3636614101124</v>
      </c>
      <c r="D1044" s="27">
        <v>2260.0131793911423</v>
      </c>
      <c r="E1044" s="27">
        <v>3094.9715018999559</v>
      </c>
      <c r="F1044" s="27">
        <v>5056.9628670579405</v>
      </c>
      <c r="G1044" s="27">
        <v>7143.6713149076968</v>
      </c>
      <c r="H1044" s="27">
        <v>9993.7356033120013</v>
      </c>
      <c r="I1044" s="27">
        <v>14442.470130228103</v>
      </c>
      <c r="J1044" s="27">
        <v>22808.453262286974</v>
      </c>
      <c r="K1044" s="27">
        <v>45935.808226890309</v>
      </c>
      <c r="L1044" s="27">
        <v>115059.93491925948</v>
      </c>
      <c r="M1044" s="27">
        <v>227947.59287695627</v>
      </c>
    </row>
    <row r="1045" spans="1:13" x14ac:dyDescent="0.75">
      <c r="A1045" s="40">
        <v>1043</v>
      </c>
      <c r="B1045" s="27">
        <v>1441.1794496765797</v>
      </c>
      <c r="C1045" s="27">
        <v>1915.682376647077</v>
      </c>
      <c r="D1045" s="27">
        <v>3390.7629038209852</v>
      </c>
      <c r="E1045" s="27">
        <v>4426.915625904192</v>
      </c>
      <c r="F1045" s="27">
        <v>6983.2240716255328</v>
      </c>
      <c r="G1045" s="27">
        <v>8816.0402003097697</v>
      </c>
      <c r="H1045" s="27">
        <v>11682.079310029076</v>
      </c>
      <c r="I1045" s="27">
        <v>14193.55529435497</v>
      </c>
      <c r="J1045" s="27">
        <v>24168.991417360725</v>
      </c>
      <c r="K1045" s="27">
        <v>47703.703141135164</v>
      </c>
      <c r="L1045" s="27">
        <v>109340.58766748445</v>
      </c>
      <c r="M1045" s="27">
        <v>234062.7214583485</v>
      </c>
    </row>
    <row r="1046" spans="1:13" x14ac:dyDescent="0.75">
      <c r="A1046" s="40">
        <v>1044</v>
      </c>
      <c r="B1046" s="27">
        <v>442.60521096052253</v>
      </c>
      <c r="C1046" s="27">
        <v>889.71786790550686</v>
      </c>
      <c r="D1046" s="27">
        <v>1868.5721496954211</v>
      </c>
      <c r="E1046" s="27">
        <v>2791.1801942805469</v>
      </c>
      <c r="F1046" s="27">
        <v>4961.4379768926883</v>
      </c>
      <c r="G1046" s="27">
        <v>6999.8648035735241</v>
      </c>
      <c r="H1046" s="27">
        <v>9258.9804028808721</v>
      </c>
      <c r="I1046" s="27">
        <v>13435.320203681491</v>
      </c>
      <c r="J1046" s="27">
        <v>21908.819776462798</v>
      </c>
      <c r="K1046" s="27">
        <v>43964.445065246313</v>
      </c>
      <c r="L1046" s="27">
        <v>107675.29343280355</v>
      </c>
      <c r="M1046" s="27">
        <v>214196.23708438323</v>
      </c>
    </row>
    <row r="1047" spans="1:13" x14ac:dyDescent="0.75">
      <c r="A1047" s="40">
        <v>1045</v>
      </c>
      <c r="B1047" s="27">
        <v>787.03802936944703</v>
      </c>
      <c r="C1047" s="27">
        <v>1040.1497055271757</v>
      </c>
      <c r="D1047" s="27">
        <v>2004.1513717085181</v>
      </c>
      <c r="E1047" s="27">
        <v>3168.5731769435079</v>
      </c>
      <c r="F1047" s="27">
        <v>5042.4343797978945</v>
      </c>
      <c r="G1047" s="27">
        <v>7722.9757131293882</v>
      </c>
      <c r="H1047" s="27">
        <v>10280.675355678861</v>
      </c>
      <c r="I1047" s="27">
        <v>14340.09365672202</v>
      </c>
      <c r="J1047" s="27">
        <v>23981.152353675934</v>
      </c>
      <c r="K1047" s="27">
        <v>48161.630281764374</v>
      </c>
      <c r="L1047" s="27">
        <v>116508.06389469856</v>
      </c>
      <c r="M1047" s="27">
        <v>233036.93791901568</v>
      </c>
    </row>
    <row r="1048" spans="1:13" x14ac:dyDescent="0.75">
      <c r="A1048" s="40">
        <v>1046</v>
      </c>
      <c r="B1048" s="27">
        <v>1032.4635014284722</v>
      </c>
      <c r="C1048" s="27">
        <v>1559.5168264434469</v>
      </c>
      <c r="D1048" s="27">
        <v>2582.9903781716421</v>
      </c>
      <c r="E1048" s="27">
        <v>3815.7883913470578</v>
      </c>
      <c r="F1048" s="27">
        <v>5497.5065164157568</v>
      </c>
      <c r="G1048" s="27">
        <v>8731.3865029583685</v>
      </c>
      <c r="H1048" s="27">
        <v>10919.119931503243</v>
      </c>
      <c r="I1048" s="27">
        <v>15102.639521987701</v>
      </c>
      <c r="J1048" s="27">
        <v>24143.815087307041</v>
      </c>
      <c r="K1048" s="27">
        <v>46208.827940027113</v>
      </c>
      <c r="L1048" s="27">
        <v>110954.21642720085</v>
      </c>
      <c r="M1048" s="27">
        <v>230548.27102479071</v>
      </c>
    </row>
    <row r="1049" spans="1:13" x14ac:dyDescent="0.75">
      <c r="A1049" s="40">
        <v>1047</v>
      </c>
      <c r="B1049" s="27">
        <v>838.62368579424219</v>
      </c>
      <c r="C1049" s="27">
        <v>1389.5101966190123</v>
      </c>
      <c r="D1049" s="27">
        <v>2033.3045949381194</v>
      </c>
      <c r="E1049" s="27">
        <v>3375.7396407944761</v>
      </c>
      <c r="F1049" s="27">
        <v>5406.0902815207955</v>
      </c>
      <c r="G1049" s="27">
        <v>7892.0393992977333</v>
      </c>
      <c r="H1049" s="27">
        <v>10583.476880808943</v>
      </c>
      <c r="I1049" s="27">
        <v>14432.61414219602</v>
      </c>
      <c r="J1049" s="27">
        <v>22803.968113478884</v>
      </c>
      <c r="K1049" s="27">
        <v>48970.279738555822</v>
      </c>
      <c r="L1049" s="27">
        <v>114781.90538863119</v>
      </c>
      <c r="M1049" s="27">
        <v>232507.55206263525</v>
      </c>
    </row>
    <row r="1050" spans="1:13" x14ac:dyDescent="0.75">
      <c r="A1050" s="40">
        <v>1048</v>
      </c>
      <c r="B1050" s="27">
        <v>1264.2851778548502</v>
      </c>
      <c r="C1050" s="27">
        <v>1670.140127844832</v>
      </c>
      <c r="D1050" s="27">
        <v>2657.2105255751521</v>
      </c>
      <c r="E1050" s="27">
        <v>3573.6831792595476</v>
      </c>
      <c r="F1050" s="27">
        <v>5465.9797405195714</v>
      </c>
      <c r="G1050" s="27">
        <v>7658.5751160638465</v>
      </c>
      <c r="H1050" s="27">
        <v>10730.026328506152</v>
      </c>
      <c r="I1050" s="27">
        <v>14023.106621692699</v>
      </c>
      <c r="J1050" s="27">
        <v>23176.09520136287</v>
      </c>
      <c r="K1050" s="27">
        <v>45826.344367626894</v>
      </c>
      <c r="L1050" s="27">
        <v>112384.47977861161</v>
      </c>
      <c r="M1050" s="27">
        <v>228429.92616491803</v>
      </c>
    </row>
    <row r="1051" spans="1:13" x14ac:dyDescent="0.75">
      <c r="A1051" s="40">
        <v>1049</v>
      </c>
      <c r="B1051" s="27">
        <v>757.871224857372</v>
      </c>
      <c r="C1051" s="27">
        <v>1105.5938523945078</v>
      </c>
      <c r="D1051" s="27">
        <v>1814.1739344018861</v>
      </c>
      <c r="E1051" s="27">
        <v>2873.2651896371826</v>
      </c>
      <c r="F1051" s="27">
        <v>4728.8192064687028</v>
      </c>
      <c r="G1051" s="27">
        <v>6816.9716793872649</v>
      </c>
      <c r="H1051" s="27">
        <v>9770.3120585362194</v>
      </c>
      <c r="I1051" s="27">
        <v>14524.671189386398</v>
      </c>
      <c r="J1051" s="27">
        <v>22251.690754168201</v>
      </c>
      <c r="K1051" s="27">
        <v>45022.035172191099</v>
      </c>
      <c r="L1051" s="27">
        <v>110739.43894428693</v>
      </c>
      <c r="M1051" s="27">
        <v>220404.84320571576</v>
      </c>
    </row>
    <row r="1052" spans="1:13" x14ac:dyDescent="0.75">
      <c r="A1052" s="40">
        <v>1050</v>
      </c>
      <c r="B1052" s="27">
        <v>1048.6347925323207</v>
      </c>
      <c r="C1052" s="27">
        <v>1831.4516351470957</v>
      </c>
      <c r="D1052" s="27">
        <v>2627.6819872707274</v>
      </c>
      <c r="E1052" s="27">
        <v>4008.7004538472829</v>
      </c>
      <c r="F1052" s="27">
        <v>5764.3910061935603</v>
      </c>
      <c r="G1052" s="27">
        <v>8167.2000415149378</v>
      </c>
      <c r="H1052" s="27">
        <v>10949.318936520955</v>
      </c>
      <c r="I1052" s="27">
        <v>15043.356591384319</v>
      </c>
      <c r="J1052" s="27">
        <v>24175.820706435232</v>
      </c>
      <c r="K1052" s="27">
        <v>44485.77726832038</v>
      </c>
      <c r="L1052" s="27">
        <v>115184.98660764366</v>
      </c>
      <c r="M1052" s="27">
        <v>233287.32002681046</v>
      </c>
    </row>
    <row r="1053" spans="1:13" x14ac:dyDescent="0.75">
      <c r="A1053" s="40">
        <v>1051</v>
      </c>
      <c r="B1053" s="27">
        <v>292.98159187540296</v>
      </c>
      <c r="C1053" s="27">
        <v>896.32262297032867</v>
      </c>
      <c r="D1053" s="27">
        <v>1988.9279478144163</v>
      </c>
      <c r="E1053" s="27">
        <v>3136.46338637179</v>
      </c>
      <c r="F1053" s="27">
        <v>4664.0661612650729</v>
      </c>
      <c r="G1053" s="27">
        <v>6550.3827053945861</v>
      </c>
      <c r="H1053" s="27">
        <v>8994.6833161827089</v>
      </c>
      <c r="I1053" s="27">
        <v>13428.804593649926</v>
      </c>
      <c r="J1053" s="27">
        <v>21777.340212780779</v>
      </c>
      <c r="K1053" s="27">
        <v>46452.006158682518</v>
      </c>
      <c r="L1053" s="27">
        <v>109060.85664436554</v>
      </c>
      <c r="M1053" s="27">
        <v>217242.83534135309</v>
      </c>
    </row>
    <row r="1054" spans="1:13" x14ac:dyDescent="0.75">
      <c r="A1054" s="40">
        <v>1052</v>
      </c>
      <c r="B1054" s="27">
        <v>494.58122530289984</v>
      </c>
      <c r="C1054" s="27">
        <v>833.14247435516154</v>
      </c>
      <c r="D1054" s="27">
        <v>1576.2882450021862</v>
      </c>
      <c r="E1054" s="27">
        <v>2750.9981095786497</v>
      </c>
      <c r="F1054" s="27">
        <v>4578.615996964043</v>
      </c>
      <c r="G1054" s="27">
        <v>7256.7012838230294</v>
      </c>
      <c r="H1054" s="27">
        <v>9956.8597470280947</v>
      </c>
      <c r="I1054" s="27">
        <v>13711.950735569932</v>
      </c>
      <c r="J1054" s="27">
        <v>23369.029985373782</v>
      </c>
      <c r="K1054" s="27">
        <v>48079.104393390895</v>
      </c>
      <c r="L1054" s="27">
        <v>118435.57457028996</v>
      </c>
      <c r="M1054" s="27">
        <v>231042.84676667862</v>
      </c>
    </row>
    <row r="1055" spans="1:13" x14ac:dyDescent="0.75">
      <c r="A1055" s="40">
        <v>1053</v>
      </c>
      <c r="B1055" s="27">
        <v>760.19391203385021</v>
      </c>
      <c r="C1055" s="27">
        <v>1164.3854202622024</v>
      </c>
      <c r="D1055" s="27">
        <v>2258.9013556511054</v>
      </c>
      <c r="E1055" s="27">
        <v>3121.6036031600815</v>
      </c>
      <c r="F1055" s="27">
        <v>4981.5107485054177</v>
      </c>
      <c r="G1055" s="27">
        <v>7218.9317452513496</v>
      </c>
      <c r="H1055" s="27">
        <v>9418.0312939297</v>
      </c>
      <c r="I1055" s="27">
        <v>14523.307776991001</v>
      </c>
      <c r="J1055" s="27">
        <v>22744.402163313483</v>
      </c>
      <c r="K1055" s="27">
        <v>47513.463995981219</v>
      </c>
      <c r="L1055" s="27">
        <v>106217.08128015975</v>
      </c>
      <c r="M1055" s="27">
        <v>219921.81329523918</v>
      </c>
    </row>
    <row r="1056" spans="1:13" x14ac:dyDescent="0.75">
      <c r="A1056" s="40">
        <v>1054</v>
      </c>
      <c r="B1056" s="27">
        <v>786.59322988416534</v>
      </c>
      <c r="C1056" s="27">
        <v>1529.1116071399301</v>
      </c>
      <c r="D1056" s="27">
        <v>2425.6949068339891</v>
      </c>
      <c r="E1056" s="27">
        <v>3595.7970279394794</v>
      </c>
      <c r="F1056" s="27">
        <v>5340.9623607353133</v>
      </c>
      <c r="G1056" s="27">
        <v>7775.5275773150788</v>
      </c>
      <c r="H1056" s="27">
        <v>10308.016239556659</v>
      </c>
      <c r="I1056" s="27">
        <v>13358.7348630778</v>
      </c>
      <c r="J1056" s="27">
        <v>22729.443312633361</v>
      </c>
      <c r="K1056" s="27">
        <v>45505.286464918681</v>
      </c>
      <c r="L1056" s="27">
        <v>109976.82383155482</v>
      </c>
      <c r="M1056" s="27">
        <v>223331.99142158928</v>
      </c>
    </row>
    <row r="1057" spans="1:13" x14ac:dyDescent="0.75">
      <c r="A1057" s="40">
        <v>1055</v>
      </c>
      <c r="B1057" s="27">
        <v>808.64767907440546</v>
      </c>
      <c r="C1057" s="27">
        <v>1119.9964021082124</v>
      </c>
      <c r="D1057" s="27">
        <v>1964.7210415118607</v>
      </c>
      <c r="E1057" s="27">
        <v>2741.0970628780342</v>
      </c>
      <c r="F1057" s="27">
        <v>4632.7705219136697</v>
      </c>
      <c r="G1057" s="27">
        <v>7468.4713481137587</v>
      </c>
      <c r="H1057" s="27">
        <v>10052.427586430567</v>
      </c>
      <c r="I1057" s="27">
        <v>14532.775216573355</v>
      </c>
      <c r="J1057" s="27">
        <v>23384.960719699535</v>
      </c>
      <c r="K1057" s="27">
        <v>45547.834145983477</v>
      </c>
      <c r="L1057" s="27">
        <v>109885.61305637303</v>
      </c>
      <c r="M1057" s="27">
        <v>222139.31478065992</v>
      </c>
    </row>
    <row r="1058" spans="1:13" x14ac:dyDescent="0.75">
      <c r="A1058" s="40">
        <v>1056</v>
      </c>
      <c r="B1058" s="27">
        <v>1333.0821974968421</v>
      </c>
      <c r="C1058" s="27">
        <v>1837.0156575923029</v>
      </c>
      <c r="D1058" s="27">
        <v>2762.0296566670004</v>
      </c>
      <c r="E1058" s="27">
        <v>3868.8978422585642</v>
      </c>
      <c r="F1058" s="27">
        <v>5675.9867504190188</v>
      </c>
      <c r="G1058" s="27">
        <v>8077.6207333250786</v>
      </c>
      <c r="H1058" s="27">
        <v>10463.045338367505</v>
      </c>
      <c r="I1058" s="27">
        <v>15361.962119958014</v>
      </c>
      <c r="J1058" s="27">
        <v>23275.888211854442</v>
      </c>
      <c r="K1058" s="27">
        <v>44344.848156839886</v>
      </c>
      <c r="L1058" s="27">
        <v>121220.680608512</v>
      </c>
      <c r="M1058" s="27">
        <v>238221.05727329064</v>
      </c>
    </row>
    <row r="1059" spans="1:13" x14ac:dyDescent="0.75">
      <c r="A1059" s="40">
        <v>1057</v>
      </c>
      <c r="B1059" s="27">
        <v>780.25643278521602</v>
      </c>
      <c r="C1059" s="27">
        <v>1187.5561151076836</v>
      </c>
      <c r="D1059" s="27">
        <v>2139.8769625782152</v>
      </c>
      <c r="E1059" s="27">
        <v>3166.3666667817452</v>
      </c>
      <c r="F1059" s="27">
        <v>4753.0623482837691</v>
      </c>
      <c r="G1059" s="27">
        <v>6883.491788439831</v>
      </c>
      <c r="H1059" s="27">
        <v>8953.6150525144039</v>
      </c>
      <c r="I1059" s="27">
        <v>13431.874769311384</v>
      </c>
      <c r="J1059" s="27">
        <v>21918.689443835057</v>
      </c>
      <c r="K1059" s="27">
        <v>44042.081738138251</v>
      </c>
      <c r="L1059" s="27">
        <v>109711.3561650285</v>
      </c>
      <c r="M1059" s="27">
        <v>216968.22748280404</v>
      </c>
    </row>
    <row r="1060" spans="1:13" x14ac:dyDescent="0.75">
      <c r="A1060" s="40">
        <v>1058</v>
      </c>
      <c r="B1060" s="27">
        <v>1471.8082180368074</v>
      </c>
      <c r="C1060" s="27">
        <v>2123.1100773114158</v>
      </c>
      <c r="D1060" s="27">
        <v>3336.9500988016662</v>
      </c>
      <c r="E1060" s="27">
        <v>4594.4548959987151</v>
      </c>
      <c r="F1060" s="27">
        <v>6491.8105810687994</v>
      </c>
      <c r="G1060" s="27">
        <v>9305.5880865649378</v>
      </c>
      <c r="H1060" s="27">
        <v>10691.109031675413</v>
      </c>
      <c r="I1060" s="27">
        <v>15414.98806208247</v>
      </c>
      <c r="J1060" s="27">
        <v>24626.283697929772</v>
      </c>
      <c r="K1060" s="27">
        <v>46533.950396822212</v>
      </c>
      <c r="L1060" s="27">
        <v>103201.50238618464</v>
      </c>
      <c r="M1060" s="27">
        <v>227791.55553247686</v>
      </c>
    </row>
    <row r="1061" spans="1:13" x14ac:dyDescent="0.75">
      <c r="A1061" s="40">
        <v>1059</v>
      </c>
      <c r="B1061" s="27">
        <v>746.55872303376964</v>
      </c>
      <c r="C1061" s="27">
        <v>1290.0494928729895</v>
      </c>
      <c r="D1061" s="27">
        <v>2389.2616165793588</v>
      </c>
      <c r="E1061" s="27">
        <v>2993.9944489079644</v>
      </c>
      <c r="F1061" s="27">
        <v>5018.4395892595494</v>
      </c>
      <c r="G1061" s="27">
        <v>7432.5972041611094</v>
      </c>
      <c r="H1061" s="27">
        <v>9928.597508973442</v>
      </c>
      <c r="I1061" s="27">
        <v>13190.059157827302</v>
      </c>
      <c r="J1061" s="27">
        <v>22028.62689816521</v>
      </c>
      <c r="K1061" s="27">
        <v>45900.458623401821</v>
      </c>
      <c r="L1061" s="27">
        <v>105551.04553207482</v>
      </c>
      <c r="M1061" s="27">
        <v>216469.68879525733</v>
      </c>
    </row>
    <row r="1062" spans="1:13" x14ac:dyDescent="0.75">
      <c r="A1062" s="40">
        <v>1060</v>
      </c>
      <c r="B1062" s="27">
        <v>653.9257545551809</v>
      </c>
      <c r="C1062" s="27">
        <v>1153.5757916819566</v>
      </c>
      <c r="D1062" s="27">
        <v>1965.8723437838198</v>
      </c>
      <c r="E1062" s="27">
        <v>3297.4095388908609</v>
      </c>
      <c r="F1062" s="27">
        <v>4673.0030860544211</v>
      </c>
      <c r="G1062" s="27">
        <v>7021.2829626901948</v>
      </c>
      <c r="H1062" s="27">
        <v>10050.443219195091</v>
      </c>
      <c r="I1062" s="27">
        <v>13969.687806454909</v>
      </c>
      <c r="J1062" s="27">
        <v>22306.052823945065</v>
      </c>
      <c r="K1062" s="27">
        <v>48995.810926419275</v>
      </c>
      <c r="L1062" s="27">
        <v>108057.10811536599</v>
      </c>
      <c r="M1062" s="27">
        <v>222144.17236903677</v>
      </c>
    </row>
    <row r="1063" spans="1:13" x14ac:dyDescent="0.75">
      <c r="A1063" s="40">
        <v>1061</v>
      </c>
      <c r="B1063" s="27">
        <v>1040.9291312914283</v>
      </c>
      <c r="C1063" s="27">
        <v>1364.3709342233051</v>
      </c>
      <c r="D1063" s="27">
        <v>2176.3336552984838</v>
      </c>
      <c r="E1063" s="27">
        <v>3154.8333623396611</v>
      </c>
      <c r="F1063" s="27">
        <v>4942.0010491293942</v>
      </c>
      <c r="G1063" s="27">
        <v>7332.7939352190297</v>
      </c>
      <c r="H1063" s="27">
        <v>10187.961441572144</v>
      </c>
      <c r="I1063" s="27">
        <v>13654.974635639534</v>
      </c>
      <c r="J1063" s="27">
        <v>23103.31537149832</v>
      </c>
      <c r="K1063" s="27">
        <v>46237.358562267269</v>
      </c>
      <c r="L1063" s="27">
        <v>122310.95926799192</v>
      </c>
      <c r="M1063" s="27">
        <v>235505.83134647048</v>
      </c>
    </row>
    <row r="1064" spans="1:13" x14ac:dyDescent="0.75">
      <c r="A1064" s="40">
        <v>1062</v>
      </c>
      <c r="B1064" s="27">
        <v>1066.9224375255581</v>
      </c>
      <c r="C1064" s="27">
        <v>1652.7642115446361</v>
      </c>
      <c r="D1064" s="27">
        <v>2644.2291644354846</v>
      </c>
      <c r="E1064" s="27">
        <v>3733.005216226622</v>
      </c>
      <c r="F1064" s="27">
        <v>5681.1813000521797</v>
      </c>
      <c r="G1064" s="27">
        <v>7920.5887048069562</v>
      </c>
      <c r="H1064" s="27">
        <v>10706.702709236182</v>
      </c>
      <c r="I1064" s="27">
        <v>15610.84492859467</v>
      </c>
      <c r="J1064" s="27">
        <v>22888.758540663111</v>
      </c>
      <c r="K1064" s="27">
        <v>43823.718854127132</v>
      </c>
      <c r="L1064" s="27">
        <v>115553.42223861048</v>
      </c>
      <c r="M1064" s="27">
        <v>231282.13830582303</v>
      </c>
    </row>
    <row r="1065" spans="1:13" x14ac:dyDescent="0.75">
      <c r="A1065" s="40">
        <v>1063</v>
      </c>
      <c r="B1065" s="27">
        <v>635.60827062508906</v>
      </c>
      <c r="C1065" s="27">
        <v>1086.7870998882281</v>
      </c>
      <c r="D1065" s="27">
        <v>1904.0886834890989</v>
      </c>
      <c r="E1065" s="27">
        <v>2984.3382997032313</v>
      </c>
      <c r="F1065" s="27">
        <v>5091.3091802829877</v>
      </c>
      <c r="G1065" s="27">
        <v>7538.6436443813145</v>
      </c>
      <c r="H1065" s="27">
        <v>10705.20682774848</v>
      </c>
      <c r="I1065" s="27">
        <v>13801.80131616474</v>
      </c>
      <c r="J1065" s="27">
        <v>23528.648988955858</v>
      </c>
      <c r="K1065" s="27">
        <v>46158.725515147802</v>
      </c>
      <c r="L1065" s="27">
        <v>108872.73146536943</v>
      </c>
      <c r="M1065" s="27">
        <v>222307.88929175626</v>
      </c>
    </row>
    <row r="1066" spans="1:13" x14ac:dyDescent="0.75">
      <c r="A1066" s="40">
        <v>1064</v>
      </c>
      <c r="B1066" s="27">
        <v>1076.8597951940028</v>
      </c>
      <c r="C1066" s="27">
        <v>1821.5970256963919</v>
      </c>
      <c r="D1066" s="27">
        <v>2665.2683143749891</v>
      </c>
      <c r="E1066" s="27">
        <v>4000.6487817757297</v>
      </c>
      <c r="F1066" s="27">
        <v>5706.1184101130057</v>
      </c>
      <c r="G1066" s="27">
        <v>8215.5092535084113</v>
      </c>
      <c r="H1066" s="27">
        <v>10522.389720680672</v>
      </c>
      <c r="I1066" s="27">
        <v>15283.953284912714</v>
      </c>
      <c r="J1066" s="27">
        <v>23568.049168822879</v>
      </c>
      <c r="K1066" s="27">
        <v>46846.288738939606</v>
      </c>
      <c r="L1066" s="27">
        <v>113162.46473484172</v>
      </c>
      <c r="M1066" s="27">
        <v>232869.14722886012</v>
      </c>
    </row>
    <row r="1067" spans="1:13" x14ac:dyDescent="0.75">
      <c r="A1067" s="40">
        <v>1065</v>
      </c>
      <c r="B1067" s="27">
        <v>1017.2605135391059</v>
      </c>
      <c r="C1067" s="27">
        <v>1577.0576910489326</v>
      </c>
      <c r="D1067" s="27">
        <v>2502.7530150875973</v>
      </c>
      <c r="E1067" s="27">
        <v>3806.9137903593801</v>
      </c>
      <c r="F1067" s="27">
        <v>5775.7534869871743</v>
      </c>
      <c r="G1067" s="27">
        <v>8200.0468295078899</v>
      </c>
      <c r="H1067" s="27">
        <v>10918.856399245618</v>
      </c>
      <c r="I1067" s="27">
        <v>15579.677893832457</v>
      </c>
      <c r="J1067" s="27">
        <v>23225.446960122179</v>
      </c>
      <c r="K1067" s="27">
        <v>46704.313115925266</v>
      </c>
      <c r="L1067" s="27">
        <v>110481.73446846916</v>
      </c>
      <c r="M1067" s="27">
        <v>229789.81416412478</v>
      </c>
    </row>
    <row r="1068" spans="1:13" x14ac:dyDescent="0.75">
      <c r="A1068" s="40">
        <v>1066</v>
      </c>
      <c r="B1068" s="27">
        <v>902.09315607968892</v>
      </c>
      <c r="C1068" s="27">
        <v>1361.9762060663343</v>
      </c>
      <c r="D1068" s="27">
        <v>2146.4478937854292</v>
      </c>
      <c r="E1068" s="27">
        <v>3281.4851325968484</v>
      </c>
      <c r="F1068" s="27">
        <v>5309.1847734600888</v>
      </c>
      <c r="G1068" s="27">
        <v>7738.0993023154733</v>
      </c>
      <c r="H1068" s="27">
        <v>10261.398840395588</v>
      </c>
      <c r="I1068" s="27">
        <v>14089.650895443483</v>
      </c>
      <c r="J1068" s="27">
        <v>23817.667778801377</v>
      </c>
      <c r="K1068" s="27">
        <v>45972.245109436655</v>
      </c>
      <c r="L1068" s="27">
        <v>114975.66750513403</v>
      </c>
      <c r="M1068" s="27">
        <v>229855.91659351499</v>
      </c>
    </row>
    <row r="1069" spans="1:13" x14ac:dyDescent="0.75">
      <c r="A1069" s="40">
        <v>1067</v>
      </c>
      <c r="B1069" s="27">
        <v>647.84344769973541</v>
      </c>
      <c r="C1069" s="27">
        <v>1150.9885636091931</v>
      </c>
      <c r="D1069" s="27">
        <v>1849.3139307601523</v>
      </c>
      <c r="E1069" s="27">
        <v>2967.5513725909259</v>
      </c>
      <c r="F1069" s="27">
        <v>4644.6757212865487</v>
      </c>
      <c r="G1069" s="27">
        <v>6690.2943824867834</v>
      </c>
      <c r="H1069" s="27">
        <v>9230.916809113638</v>
      </c>
      <c r="I1069" s="27">
        <v>12669.348436866116</v>
      </c>
      <c r="J1069" s="27">
        <v>20748.999700635788</v>
      </c>
      <c r="K1069" s="27">
        <v>44362.07086064649</v>
      </c>
      <c r="L1069" s="27">
        <v>106801.37711972388</v>
      </c>
      <c r="M1069" s="27">
        <v>211763.38034541925</v>
      </c>
    </row>
    <row r="1070" spans="1:13" x14ac:dyDescent="0.75">
      <c r="A1070" s="40">
        <v>1068</v>
      </c>
      <c r="B1070" s="27">
        <v>894.80992200002947</v>
      </c>
      <c r="C1070" s="27">
        <v>1484.9696373760526</v>
      </c>
      <c r="D1070" s="27">
        <v>2382.3837460862123</v>
      </c>
      <c r="E1070" s="27">
        <v>3200.0546109678544</v>
      </c>
      <c r="F1070" s="27">
        <v>5182.2750452152395</v>
      </c>
      <c r="G1070" s="27">
        <v>7749.0142924837128</v>
      </c>
      <c r="H1070" s="27">
        <v>10222.642871417891</v>
      </c>
      <c r="I1070" s="27">
        <v>15059.099184312465</v>
      </c>
      <c r="J1070" s="27">
        <v>23694.365457258304</v>
      </c>
      <c r="K1070" s="27">
        <v>45539.17495941653</v>
      </c>
      <c r="L1070" s="27">
        <v>105123.16556997391</v>
      </c>
      <c r="M1070" s="27">
        <v>220531.95529650821</v>
      </c>
    </row>
    <row r="1071" spans="1:13" x14ac:dyDescent="0.75">
      <c r="A1071" s="40">
        <v>1069</v>
      </c>
      <c r="B1071" s="27">
        <v>829.85915057234524</v>
      </c>
      <c r="C1071" s="27">
        <v>1312.2766246364044</v>
      </c>
      <c r="D1071" s="27">
        <v>2423.8800997688959</v>
      </c>
      <c r="E1071" s="27">
        <v>3554.8507379531075</v>
      </c>
      <c r="F1071" s="27">
        <v>5951.1668305933417</v>
      </c>
      <c r="G1071" s="27">
        <v>8480.1789987434167</v>
      </c>
      <c r="H1071" s="27">
        <v>11015.732313394983</v>
      </c>
      <c r="I1071" s="27">
        <v>14395.301901674771</v>
      </c>
      <c r="J1071" s="27">
        <v>22607.97455455178</v>
      </c>
      <c r="K1071" s="27">
        <v>48857.891006649239</v>
      </c>
      <c r="L1071" s="27">
        <v>114429.09677789314</v>
      </c>
      <c r="M1071" s="27">
        <v>233858.20899643144</v>
      </c>
    </row>
    <row r="1072" spans="1:13" x14ac:dyDescent="0.75">
      <c r="A1072" s="40">
        <v>1070</v>
      </c>
      <c r="B1072" s="27">
        <v>1139.1445063556021</v>
      </c>
      <c r="C1072" s="27">
        <v>1810.1629032034252</v>
      </c>
      <c r="D1072" s="27">
        <v>2860.5193747445592</v>
      </c>
      <c r="E1072" s="27">
        <v>3772.7241812427092</v>
      </c>
      <c r="F1072" s="27">
        <v>6096.4639197428478</v>
      </c>
      <c r="G1072" s="27">
        <v>7818.0243243870791</v>
      </c>
      <c r="H1072" s="27">
        <v>10218.759851514755</v>
      </c>
      <c r="I1072" s="27">
        <v>15073.581699554183</v>
      </c>
      <c r="J1072" s="27">
        <v>23300.52558566854</v>
      </c>
      <c r="K1072" s="27">
        <v>45151.550588006619</v>
      </c>
      <c r="L1072" s="27">
        <v>106445.28811596526</v>
      </c>
      <c r="M1072" s="27">
        <v>223686.74505038559</v>
      </c>
    </row>
    <row r="1073" spans="1:13" x14ac:dyDescent="0.75">
      <c r="A1073" s="40">
        <v>1071</v>
      </c>
      <c r="B1073" s="27">
        <v>723.41667543169751</v>
      </c>
      <c r="C1073" s="27">
        <v>1212.9650154469709</v>
      </c>
      <c r="D1073" s="27">
        <v>1906.2454557944729</v>
      </c>
      <c r="E1073" s="27">
        <v>3202.539061320349</v>
      </c>
      <c r="F1073" s="27">
        <v>5373.9219705557916</v>
      </c>
      <c r="G1073" s="27">
        <v>7619.0475603383675</v>
      </c>
      <c r="H1073" s="27">
        <v>10439.571568790925</v>
      </c>
      <c r="I1073" s="27">
        <v>13655.070591262745</v>
      </c>
      <c r="J1073" s="27">
        <v>21779.902182869744</v>
      </c>
      <c r="K1073" s="27">
        <v>46654.443749850121</v>
      </c>
      <c r="L1073" s="27">
        <v>109902.31475040142</v>
      </c>
      <c r="M1073" s="27">
        <v>222469.4385820626</v>
      </c>
    </row>
    <row r="1074" spans="1:13" x14ac:dyDescent="0.75">
      <c r="A1074" s="40">
        <v>1072</v>
      </c>
      <c r="B1074" s="27">
        <v>579.33433423613315</v>
      </c>
      <c r="C1074" s="27">
        <v>955.01679832034279</v>
      </c>
      <c r="D1074" s="27">
        <v>1603.1166306622908</v>
      </c>
      <c r="E1074" s="27">
        <v>2874.1000806305528</v>
      </c>
      <c r="F1074" s="27">
        <v>4640.8515444730001</v>
      </c>
      <c r="G1074" s="27">
        <v>6816.6467020917626</v>
      </c>
      <c r="H1074" s="27">
        <v>9037.3328114833857</v>
      </c>
      <c r="I1074" s="27">
        <v>13318.452887344756</v>
      </c>
      <c r="J1074" s="27">
        <v>22224.546075929858</v>
      </c>
      <c r="K1074" s="27">
        <v>46087.149260352511</v>
      </c>
      <c r="L1074" s="27">
        <v>113382.66890914005</v>
      </c>
      <c r="M1074" s="27">
        <v>221519.21603466466</v>
      </c>
    </row>
    <row r="1075" spans="1:13" x14ac:dyDescent="0.75">
      <c r="A1075" s="40">
        <v>1073</v>
      </c>
      <c r="B1075" s="27">
        <v>707.68349253064662</v>
      </c>
      <c r="C1075" s="27">
        <v>1097.6619260192383</v>
      </c>
      <c r="D1075" s="27">
        <v>2043.0898103938816</v>
      </c>
      <c r="E1075" s="27">
        <v>2800.0642495997745</v>
      </c>
      <c r="F1075" s="27">
        <v>4862.4325011164183</v>
      </c>
      <c r="G1075" s="27">
        <v>6857.9090767882008</v>
      </c>
      <c r="H1075" s="27">
        <v>9751.3153575375618</v>
      </c>
      <c r="I1075" s="27">
        <v>13907.595009919023</v>
      </c>
      <c r="J1075" s="27">
        <v>23471.004454104448</v>
      </c>
      <c r="K1075" s="27">
        <v>47377.287357856636</v>
      </c>
      <c r="L1075" s="27">
        <v>105052.59683019496</v>
      </c>
      <c r="M1075" s="27">
        <v>217928.64006606079</v>
      </c>
    </row>
    <row r="1076" spans="1:13" x14ac:dyDescent="0.75">
      <c r="A1076" s="40">
        <v>1074</v>
      </c>
      <c r="B1076" s="27">
        <v>1061.5921353522717</v>
      </c>
      <c r="C1076" s="27">
        <v>1860.9046193495742</v>
      </c>
      <c r="D1076" s="27">
        <v>2784.090584976715</v>
      </c>
      <c r="E1076" s="27">
        <v>4056.7063806481165</v>
      </c>
      <c r="F1076" s="27">
        <v>6471.4331424598931</v>
      </c>
      <c r="G1076" s="27">
        <v>9331.7995615009859</v>
      </c>
      <c r="H1076" s="27">
        <v>11447.025978047022</v>
      </c>
      <c r="I1076" s="27">
        <v>15097.706543505759</v>
      </c>
      <c r="J1076" s="27">
        <v>24922.785685318901</v>
      </c>
      <c r="K1076" s="27">
        <v>48524.140443577766</v>
      </c>
      <c r="L1076" s="27">
        <v>118515.43047024544</v>
      </c>
      <c r="M1076" s="27">
        <v>244073.61554498243</v>
      </c>
    </row>
    <row r="1077" spans="1:13" x14ac:dyDescent="0.75">
      <c r="A1077" s="40">
        <v>1075</v>
      </c>
      <c r="B1077" s="27">
        <v>726.67254324469832</v>
      </c>
      <c r="C1077" s="27">
        <v>1472.1873583742272</v>
      </c>
      <c r="D1077" s="27">
        <v>2440.2569513906201</v>
      </c>
      <c r="E1077" s="27">
        <v>3431.3136465558928</v>
      </c>
      <c r="F1077" s="27">
        <v>5478.5166335793911</v>
      </c>
      <c r="G1077" s="27">
        <v>7484.8801594655961</v>
      </c>
      <c r="H1077" s="27">
        <v>9808.0873953802802</v>
      </c>
      <c r="I1077" s="27">
        <v>13772.674478210785</v>
      </c>
      <c r="J1077" s="27">
        <v>22341.384950159001</v>
      </c>
      <c r="K1077" s="27">
        <v>45314.055676961871</v>
      </c>
      <c r="L1077" s="27">
        <v>110808.86019179437</v>
      </c>
      <c r="M1077" s="27">
        <v>223078.88998511672</v>
      </c>
    </row>
    <row r="1078" spans="1:13" x14ac:dyDescent="0.75">
      <c r="A1078" s="40">
        <v>1076</v>
      </c>
      <c r="B1078" s="27">
        <v>447.4220105271379</v>
      </c>
      <c r="C1078" s="27">
        <v>919.94177465727262</v>
      </c>
      <c r="D1078" s="27">
        <v>1304.3427069660538</v>
      </c>
      <c r="E1078" s="27">
        <v>2144.3648196166614</v>
      </c>
      <c r="F1078" s="27">
        <v>4246.0200240541017</v>
      </c>
      <c r="G1078" s="27">
        <v>6449.0088515567186</v>
      </c>
      <c r="H1078" s="27">
        <v>8718.1167426654283</v>
      </c>
      <c r="I1078" s="27">
        <v>12748.454394483793</v>
      </c>
      <c r="J1078" s="27">
        <v>23185.56857243125</v>
      </c>
      <c r="K1078" s="27">
        <v>46333.082190572022</v>
      </c>
      <c r="L1078" s="27">
        <v>116819.21533916323</v>
      </c>
      <c r="M1078" s="27">
        <v>223315.53742669366</v>
      </c>
    </row>
    <row r="1079" spans="1:13" x14ac:dyDescent="0.75">
      <c r="A1079" s="40">
        <v>1077</v>
      </c>
      <c r="B1079" s="27">
        <v>725.2510443799838</v>
      </c>
      <c r="C1079" s="27">
        <v>1367.2453548597841</v>
      </c>
      <c r="D1079" s="27">
        <v>2706.5690117870981</v>
      </c>
      <c r="E1079" s="27">
        <v>3743.8659228162578</v>
      </c>
      <c r="F1079" s="27">
        <v>5591.6152597810287</v>
      </c>
      <c r="G1079" s="27">
        <v>8176.4467606500548</v>
      </c>
      <c r="H1079" s="27">
        <v>11631.818160910683</v>
      </c>
      <c r="I1079" s="27">
        <v>15261.889114953839</v>
      </c>
      <c r="J1079" s="27">
        <v>24205.220994534218</v>
      </c>
      <c r="K1079" s="27">
        <v>47122.996028155947</v>
      </c>
      <c r="L1079" s="27">
        <v>114810.58631629907</v>
      </c>
      <c r="M1079" s="27">
        <v>235343.50396912795</v>
      </c>
    </row>
    <row r="1080" spans="1:13" x14ac:dyDescent="0.75">
      <c r="A1080" s="40">
        <v>1078</v>
      </c>
      <c r="B1080" s="27">
        <v>1168.6484556039359</v>
      </c>
      <c r="C1080" s="27">
        <v>1621.2110657363373</v>
      </c>
      <c r="D1080" s="27">
        <v>2433.8296929833305</v>
      </c>
      <c r="E1080" s="27">
        <v>3523.9075029552332</v>
      </c>
      <c r="F1080" s="27">
        <v>5142.7628264619707</v>
      </c>
      <c r="G1080" s="27">
        <v>7833.9349965758156</v>
      </c>
      <c r="H1080" s="27">
        <v>10610.509515242826</v>
      </c>
      <c r="I1080" s="27">
        <v>14271.180096219701</v>
      </c>
      <c r="J1080" s="27">
        <v>23727.878690649042</v>
      </c>
      <c r="K1080" s="27">
        <v>45135.397205049201</v>
      </c>
      <c r="L1080" s="27">
        <v>113586.03720577425</v>
      </c>
      <c r="M1080" s="27">
        <v>229055.29725325166</v>
      </c>
    </row>
    <row r="1081" spans="1:13" x14ac:dyDescent="0.75">
      <c r="A1081" s="40">
        <v>1079</v>
      </c>
      <c r="B1081" s="27">
        <v>1059.8349753460498</v>
      </c>
      <c r="C1081" s="27">
        <v>1532.0491274551605</v>
      </c>
      <c r="D1081" s="27">
        <v>2229.5868199512624</v>
      </c>
      <c r="E1081" s="27">
        <v>3028.6147707793134</v>
      </c>
      <c r="F1081" s="27">
        <v>5042.9885459684592</v>
      </c>
      <c r="G1081" s="27">
        <v>7157.205228037521</v>
      </c>
      <c r="H1081" s="27">
        <v>10032.869678620424</v>
      </c>
      <c r="I1081" s="27">
        <v>14145.397902676516</v>
      </c>
      <c r="J1081" s="27">
        <v>22445.177982544585</v>
      </c>
      <c r="K1081" s="27">
        <v>47388.601250909182</v>
      </c>
      <c r="L1081" s="27">
        <v>109761.07950079659</v>
      </c>
      <c r="M1081" s="27">
        <v>223823.40578308507</v>
      </c>
    </row>
    <row r="1082" spans="1:13" x14ac:dyDescent="0.75">
      <c r="A1082" s="40">
        <v>1080</v>
      </c>
      <c r="B1082" s="27">
        <v>579.43574175536924</v>
      </c>
      <c r="C1082" s="27">
        <v>1064.2027715260338</v>
      </c>
      <c r="D1082" s="27">
        <v>1753.6461872951331</v>
      </c>
      <c r="E1082" s="27">
        <v>2881.0425915830565</v>
      </c>
      <c r="F1082" s="27">
        <v>4715.9093307483708</v>
      </c>
      <c r="G1082" s="27">
        <v>6746.9245315986918</v>
      </c>
      <c r="H1082" s="27">
        <v>9781.8425845217134</v>
      </c>
      <c r="I1082" s="27">
        <v>13153.896527472025</v>
      </c>
      <c r="J1082" s="27">
        <v>21297.926562623674</v>
      </c>
      <c r="K1082" s="27">
        <v>46992.391892461281</v>
      </c>
      <c r="L1082" s="27">
        <v>113718.20444856028</v>
      </c>
      <c r="M1082" s="27">
        <v>222685.42317014563</v>
      </c>
    </row>
    <row r="1083" spans="1:13" x14ac:dyDescent="0.75">
      <c r="A1083" s="40">
        <v>1081</v>
      </c>
      <c r="B1083" s="27">
        <v>381.02467412635451</v>
      </c>
      <c r="C1083" s="27">
        <v>898.93335448668222</v>
      </c>
      <c r="D1083" s="27">
        <v>1532.8872137301514</v>
      </c>
      <c r="E1083" s="27">
        <v>2643.3966764718498</v>
      </c>
      <c r="F1083" s="27">
        <v>4278.7555916418496</v>
      </c>
      <c r="G1083" s="27">
        <v>6908.1617170904356</v>
      </c>
      <c r="H1083" s="27">
        <v>9325.4740635083144</v>
      </c>
      <c r="I1083" s="27">
        <v>13495.551360859172</v>
      </c>
      <c r="J1083" s="27">
        <v>21850.63628617207</v>
      </c>
      <c r="K1083" s="27">
        <v>46085.10916078536</v>
      </c>
      <c r="L1083" s="27">
        <v>117812.42748136861</v>
      </c>
      <c r="M1083" s="27">
        <v>225212.35758024084</v>
      </c>
    </row>
    <row r="1084" spans="1:13" x14ac:dyDescent="0.75">
      <c r="A1084" s="40">
        <v>1082</v>
      </c>
      <c r="B1084" s="27">
        <v>626.4045370517124</v>
      </c>
      <c r="C1084" s="27">
        <v>1130.9689687097416</v>
      </c>
      <c r="D1084" s="27">
        <v>2122.5149029105232</v>
      </c>
      <c r="E1084" s="27">
        <v>2981.4034774615575</v>
      </c>
      <c r="F1084" s="27">
        <v>5333.2416919191019</v>
      </c>
      <c r="G1084" s="27">
        <v>7336.2348703113967</v>
      </c>
      <c r="H1084" s="27">
        <v>10346.579168085795</v>
      </c>
      <c r="I1084" s="27">
        <v>14682.444088055985</v>
      </c>
      <c r="J1084" s="27">
        <v>23346.26580592338</v>
      </c>
      <c r="K1084" s="27">
        <v>47842.216612084303</v>
      </c>
      <c r="L1084" s="27">
        <v>108715.7274914431</v>
      </c>
      <c r="M1084" s="27">
        <v>224464.00161395659</v>
      </c>
    </row>
    <row r="1085" spans="1:13" x14ac:dyDescent="0.75">
      <c r="A1085" s="40">
        <v>1083</v>
      </c>
      <c r="B1085" s="27">
        <v>1051.5457274172659</v>
      </c>
      <c r="C1085" s="27">
        <v>1514.5159201335773</v>
      </c>
      <c r="D1085" s="27">
        <v>2197.7813884256175</v>
      </c>
      <c r="E1085" s="27">
        <v>3541.9417251769919</v>
      </c>
      <c r="F1085" s="27">
        <v>5389.6269936670578</v>
      </c>
      <c r="G1085" s="27">
        <v>8202.3892026961257</v>
      </c>
      <c r="H1085" s="27">
        <v>10297.609993933831</v>
      </c>
      <c r="I1085" s="27">
        <v>14393.58661704784</v>
      </c>
      <c r="J1085" s="27">
        <v>23878.011689530424</v>
      </c>
      <c r="K1085" s="27">
        <v>46985.815926438197</v>
      </c>
      <c r="L1085" s="27">
        <v>110266.16906612681</v>
      </c>
      <c r="M1085" s="27">
        <v>227718.99425059374</v>
      </c>
    </row>
    <row r="1086" spans="1:13" x14ac:dyDescent="0.75">
      <c r="A1086" s="40">
        <v>1084</v>
      </c>
      <c r="B1086" s="27">
        <v>1165.6957863633579</v>
      </c>
      <c r="C1086" s="27">
        <v>1533.0242701522075</v>
      </c>
      <c r="D1086" s="27">
        <v>2399.2952421689697</v>
      </c>
      <c r="E1086" s="27">
        <v>3329.3454337653238</v>
      </c>
      <c r="F1086" s="27">
        <v>4912.7620552540757</v>
      </c>
      <c r="G1086" s="27">
        <v>7421.5842392860795</v>
      </c>
      <c r="H1086" s="27">
        <v>10245.329590158246</v>
      </c>
      <c r="I1086" s="27">
        <v>14324.706791700723</v>
      </c>
      <c r="J1086" s="27">
        <v>23999.893813287243</v>
      </c>
      <c r="K1086" s="27">
        <v>47951.377205326222</v>
      </c>
      <c r="L1086" s="27">
        <v>118062.56277694592</v>
      </c>
      <c r="M1086" s="27">
        <v>235345.57720440836</v>
      </c>
    </row>
    <row r="1087" spans="1:13" x14ac:dyDescent="0.75">
      <c r="A1087" s="40">
        <v>1085</v>
      </c>
      <c r="B1087" s="27">
        <v>773.4464706316503</v>
      </c>
      <c r="C1087" s="27">
        <v>1309.1411061463441</v>
      </c>
      <c r="D1087" s="27">
        <v>1960.3348769141448</v>
      </c>
      <c r="E1087" s="27">
        <v>3274.6353646159696</v>
      </c>
      <c r="F1087" s="27">
        <v>5362.1109597863979</v>
      </c>
      <c r="G1087" s="27">
        <v>8072.5365455930878</v>
      </c>
      <c r="H1087" s="27">
        <v>10223.905652348141</v>
      </c>
      <c r="I1087" s="27">
        <v>15049.848338698284</v>
      </c>
      <c r="J1087" s="27">
        <v>24530.929544013183</v>
      </c>
      <c r="K1087" s="27">
        <v>50247.182935885998</v>
      </c>
      <c r="L1087" s="27">
        <v>116074.59767944648</v>
      </c>
      <c r="M1087" s="27">
        <v>236878.66947407968</v>
      </c>
    </row>
    <row r="1088" spans="1:13" x14ac:dyDescent="0.75">
      <c r="A1088" s="40">
        <v>1086</v>
      </c>
      <c r="B1088" s="27">
        <v>1362.0898920207837</v>
      </c>
      <c r="C1088" s="27">
        <v>2079.2659831558994</v>
      </c>
      <c r="D1088" s="27">
        <v>2540.4250842942274</v>
      </c>
      <c r="E1088" s="27">
        <v>3422.529601202521</v>
      </c>
      <c r="F1088" s="27">
        <v>5746.685181435605</v>
      </c>
      <c r="G1088" s="27">
        <v>7874.7259348621592</v>
      </c>
      <c r="H1088" s="27">
        <v>10127.695796019878</v>
      </c>
      <c r="I1088" s="27">
        <v>14107.680081554659</v>
      </c>
      <c r="J1088" s="27">
        <v>23681.892062346204</v>
      </c>
      <c r="K1088" s="27">
        <v>46651.968261618196</v>
      </c>
      <c r="L1088" s="27">
        <v>116769.60507900726</v>
      </c>
      <c r="M1088" s="27">
        <v>234364.5629575174</v>
      </c>
    </row>
    <row r="1089" spans="1:13" x14ac:dyDescent="0.75">
      <c r="A1089" s="40">
        <v>1087</v>
      </c>
      <c r="B1089" s="27">
        <v>1022.5638036088494</v>
      </c>
      <c r="C1089" s="27">
        <v>1439.0518212172901</v>
      </c>
      <c r="D1089" s="27">
        <v>2340.2029535300971</v>
      </c>
      <c r="E1089" s="27">
        <v>3686.3137502464087</v>
      </c>
      <c r="F1089" s="27">
        <v>5976.0867937984876</v>
      </c>
      <c r="G1089" s="27">
        <v>8312.0670268787071</v>
      </c>
      <c r="H1089" s="27">
        <v>10725.971046353938</v>
      </c>
      <c r="I1089" s="27">
        <v>15104.010824050012</v>
      </c>
      <c r="J1089" s="27">
        <v>24260.343706343308</v>
      </c>
      <c r="K1089" s="27">
        <v>46557.375477572379</v>
      </c>
      <c r="L1089" s="27">
        <v>108323.08274650513</v>
      </c>
      <c r="M1089" s="27">
        <v>227747.0699501046</v>
      </c>
    </row>
    <row r="1090" spans="1:13" x14ac:dyDescent="0.75">
      <c r="A1090" s="40">
        <v>1088</v>
      </c>
      <c r="B1090" s="27">
        <v>1256.7607252744492</v>
      </c>
      <c r="C1090" s="27">
        <v>1776.6920205886563</v>
      </c>
      <c r="D1090" s="27">
        <v>2820.2870674053847</v>
      </c>
      <c r="E1090" s="27">
        <v>3793.1391005070473</v>
      </c>
      <c r="F1090" s="27">
        <v>5806.2836356707849</v>
      </c>
      <c r="G1090" s="27">
        <v>8045.0769749828032</v>
      </c>
      <c r="H1090" s="27">
        <v>10629.755112778803</v>
      </c>
      <c r="I1090" s="27">
        <v>13881.497151270771</v>
      </c>
      <c r="J1090" s="27">
        <v>23102.363681692586</v>
      </c>
      <c r="K1090" s="27">
        <v>47151.377997045463</v>
      </c>
      <c r="L1090" s="27">
        <v>113190.58001318591</v>
      </c>
      <c r="M1090" s="27">
        <v>231453.81348040266</v>
      </c>
    </row>
    <row r="1091" spans="1:13" x14ac:dyDescent="0.75">
      <c r="A1091" s="40">
        <v>1089</v>
      </c>
      <c r="B1091" s="27">
        <v>655.59268210739538</v>
      </c>
      <c r="C1091" s="27">
        <v>928.01271974600968</v>
      </c>
      <c r="D1091" s="27">
        <v>2007.5157491624414</v>
      </c>
      <c r="E1091" s="27">
        <v>3017.4253236304503</v>
      </c>
      <c r="F1091" s="27">
        <v>4808.154666349059</v>
      </c>
      <c r="G1091" s="27">
        <v>6921.2554215966375</v>
      </c>
      <c r="H1091" s="27">
        <v>9717.0120397769206</v>
      </c>
      <c r="I1091" s="27">
        <v>13349.56522406188</v>
      </c>
      <c r="J1091" s="27">
        <v>22529.866612425147</v>
      </c>
      <c r="K1091" s="27">
        <v>45224.466905632318</v>
      </c>
      <c r="L1091" s="27">
        <v>112967.09998769588</v>
      </c>
      <c r="M1091" s="27">
        <v>222125.96733218414</v>
      </c>
    </row>
    <row r="1092" spans="1:13" x14ac:dyDescent="0.75">
      <c r="A1092" s="40">
        <v>1090</v>
      </c>
      <c r="B1092" s="27">
        <v>1198.1820287668961</v>
      </c>
      <c r="C1092" s="27">
        <v>1818.8101652270707</v>
      </c>
      <c r="D1092" s="27">
        <v>2739.066017020843</v>
      </c>
      <c r="E1092" s="27">
        <v>4142.5532814157777</v>
      </c>
      <c r="F1092" s="27">
        <v>6036.0200257418619</v>
      </c>
      <c r="G1092" s="27">
        <v>8021.1683958131762</v>
      </c>
      <c r="H1092" s="27">
        <v>10539.73021197904</v>
      </c>
      <c r="I1092" s="27">
        <v>13965.990083417404</v>
      </c>
      <c r="J1092" s="27">
        <v>22311.920650974789</v>
      </c>
      <c r="K1092" s="27">
        <v>43564.739054123798</v>
      </c>
      <c r="L1092" s="27">
        <v>111912.28666244983</v>
      </c>
      <c r="M1092" s="27">
        <v>226250.46657693048</v>
      </c>
    </row>
    <row r="1093" spans="1:13" x14ac:dyDescent="0.75">
      <c r="A1093" s="40">
        <v>1091</v>
      </c>
      <c r="B1093" s="27">
        <v>1027.5674007031048</v>
      </c>
      <c r="C1093" s="27">
        <v>1465.4968509222817</v>
      </c>
      <c r="D1093" s="27">
        <v>2284.4901626490027</v>
      </c>
      <c r="E1093" s="27">
        <v>3298.4283463657484</v>
      </c>
      <c r="F1093" s="27">
        <v>5151.1702211519296</v>
      </c>
      <c r="G1093" s="27">
        <v>6892.0818719427625</v>
      </c>
      <c r="H1093" s="27">
        <v>10119.799847884162</v>
      </c>
      <c r="I1093" s="27">
        <v>13881.138663814389</v>
      </c>
      <c r="J1093" s="27">
        <v>22393.671481032186</v>
      </c>
      <c r="K1093" s="27">
        <v>46714.407520911191</v>
      </c>
      <c r="L1093" s="27">
        <v>103103.4642544887</v>
      </c>
      <c r="M1093" s="27">
        <v>216331.71662186546</v>
      </c>
    </row>
    <row r="1094" spans="1:13" x14ac:dyDescent="0.75">
      <c r="A1094" s="40">
        <v>1092</v>
      </c>
      <c r="B1094" s="27">
        <v>942.65663148301246</v>
      </c>
      <c r="C1094" s="27">
        <v>1622.4789013602567</v>
      </c>
      <c r="D1094" s="27">
        <v>2693.4300992558565</v>
      </c>
      <c r="E1094" s="27">
        <v>3879.6367989296123</v>
      </c>
      <c r="F1094" s="27">
        <v>5686.8937051565736</v>
      </c>
      <c r="G1094" s="27">
        <v>8141.9259539307677</v>
      </c>
      <c r="H1094" s="27">
        <v>10399.126688795252</v>
      </c>
      <c r="I1094" s="27">
        <v>15339.779029366357</v>
      </c>
      <c r="J1094" s="27">
        <v>22214.814581990242</v>
      </c>
      <c r="K1094" s="27">
        <v>44645.726571746753</v>
      </c>
      <c r="L1094" s="27">
        <v>108162.36366403152</v>
      </c>
      <c r="M1094" s="27">
        <v>223728.83262604621</v>
      </c>
    </row>
    <row r="1095" spans="1:13" x14ac:dyDescent="0.75">
      <c r="A1095" s="40">
        <v>1093</v>
      </c>
      <c r="B1095" s="27">
        <v>575.09284290330834</v>
      </c>
      <c r="C1095" s="27">
        <v>925.60492097737733</v>
      </c>
      <c r="D1095" s="27">
        <v>1670.4625529038312</v>
      </c>
      <c r="E1095" s="27">
        <v>2900.8656705302419</v>
      </c>
      <c r="F1095" s="27">
        <v>4849.8713079083245</v>
      </c>
      <c r="G1095" s="27">
        <v>6991.9568908679357</v>
      </c>
      <c r="H1095" s="27">
        <v>10371.67986744181</v>
      </c>
      <c r="I1095" s="27">
        <v>14981.619551871656</v>
      </c>
      <c r="J1095" s="27">
        <v>23330.777853505308</v>
      </c>
      <c r="K1095" s="27">
        <v>48078.434446309227</v>
      </c>
      <c r="L1095" s="27">
        <v>108756.46927115398</v>
      </c>
      <c r="M1095" s="27">
        <v>223432.83517637302</v>
      </c>
    </row>
    <row r="1096" spans="1:13" x14ac:dyDescent="0.75">
      <c r="A1096" s="40">
        <v>1094</v>
      </c>
      <c r="B1096" s="27">
        <v>846.60609838007076</v>
      </c>
      <c r="C1096" s="27">
        <v>1418.5261809055228</v>
      </c>
      <c r="D1096" s="27">
        <v>1942.7997726609756</v>
      </c>
      <c r="E1096" s="27">
        <v>3112.426602394451</v>
      </c>
      <c r="F1096" s="27">
        <v>4882.3621034384705</v>
      </c>
      <c r="G1096" s="27">
        <v>6922.1527970154129</v>
      </c>
      <c r="H1096" s="27">
        <v>9412.3256440852856</v>
      </c>
      <c r="I1096" s="27">
        <v>13862.475652021443</v>
      </c>
      <c r="J1096" s="27">
        <v>22829.921719555132</v>
      </c>
      <c r="K1096" s="27">
        <v>47034.469266130443</v>
      </c>
      <c r="L1096" s="27">
        <v>104521.78898092771</v>
      </c>
      <c r="M1096" s="27">
        <v>216785.85481751492</v>
      </c>
    </row>
    <row r="1097" spans="1:13" x14ac:dyDescent="0.75">
      <c r="A1097" s="40">
        <v>1095</v>
      </c>
      <c r="B1097" s="27">
        <v>1113.3893233825365</v>
      </c>
      <c r="C1097" s="27">
        <v>1705.3098650967004</v>
      </c>
      <c r="D1097" s="27">
        <v>2491.254308151314</v>
      </c>
      <c r="E1097" s="27">
        <v>3454.0580777571886</v>
      </c>
      <c r="F1097" s="27">
        <v>5840.2612452838803</v>
      </c>
      <c r="G1097" s="27">
        <v>8427.9467455393751</v>
      </c>
      <c r="H1097" s="27">
        <v>11359.612403988227</v>
      </c>
      <c r="I1097" s="27">
        <v>15028.872059479851</v>
      </c>
      <c r="J1097" s="27">
        <v>24209.352849177318</v>
      </c>
      <c r="K1097" s="27">
        <v>46000.037851580331</v>
      </c>
      <c r="L1097" s="27">
        <v>111322.69201432428</v>
      </c>
      <c r="M1097" s="27">
        <v>230952.78674376098</v>
      </c>
    </row>
    <row r="1098" spans="1:13" x14ac:dyDescent="0.75">
      <c r="A1098" s="40">
        <v>1096</v>
      </c>
      <c r="B1098" s="27">
        <v>616.22781075848616</v>
      </c>
      <c r="C1098" s="27">
        <v>867.56853914285603</v>
      </c>
      <c r="D1098" s="27">
        <v>1797.5616702636762</v>
      </c>
      <c r="E1098" s="27">
        <v>2807.7865994350432</v>
      </c>
      <c r="F1098" s="27">
        <v>4563.5600219071639</v>
      </c>
      <c r="G1098" s="27">
        <v>7156.1607534756768</v>
      </c>
      <c r="H1098" s="27">
        <v>9755.9310078554117</v>
      </c>
      <c r="I1098" s="27">
        <v>13042.237705946769</v>
      </c>
      <c r="J1098" s="27">
        <v>22592.964558323802</v>
      </c>
      <c r="K1098" s="27">
        <v>49421.592702341048</v>
      </c>
      <c r="L1098" s="27">
        <v>113240.9834728025</v>
      </c>
      <c r="M1098" s="27">
        <v>225862.57484225242</v>
      </c>
    </row>
    <row r="1099" spans="1:13" x14ac:dyDescent="0.75">
      <c r="A1099" s="40">
        <v>1097</v>
      </c>
      <c r="B1099" s="27">
        <v>419.7204969459417</v>
      </c>
      <c r="C1099" s="27">
        <v>929.25844004370447</v>
      </c>
      <c r="D1099" s="27">
        <v>1806.432482821052</v>
      </c>
      <c r="E1099" s="27">
        <v>3113.0582192888105</v>
      </c>
      <c r="F1099" s="27">
        <v>5211.2992630216468</v>
      </c>
      <c r="G1099" s="27">
        <v>7383.3054238184995</v>
      </c>
      <c r="H1099" s="27">
        <v>10471.544979507482</v>
      </c>
      <c r="I1099" s="27">
        <v>13394.326619198517</v>
      </c>
      <c r="J1099" s="27">
        <v>22747.732558621487</v>
      </c>
      <c r="K1099" s="27">
        <v>45285.36229804848</v>
      </c>
      <c r="L1099" s="27">
        <v>121614.33847508044</v>
      </c>
      <c r="M1099" s="27">
        <v>232376.37925639606</v>
      </c>
    </row>
    <row r="1100" spans="1:13" x14ac:dyDescent="0.75">
      <c r="A1100" s="40">
        <v>1098</v>
      </c>
      <c r="B1100" s="27">
        <v>585.59360142273363</v>
      </c>
      <c r="C1100" s="27">
        <v>1129.4284041572537</v>
      </c>
      <c r="D1100" s="27">
        <v>1874.2006341176748</v>
      </c>
      <c r="E1100" s="27">
        <v>2943.1336400325526</v>
      </c>
      <c r="F1100" s="27">
        <v>4931.6072650360584</v>
      </c>
      <c r="G1100" s="27">
        <v>7312.8652781479468</v>
      </c>
      <c r="H1100" s="27">
        <v>9452.8076416846015</v>
      </c>
      <c r="I1100" s="27">
        <v>14733.490948802981</v>
      </c>
      <c r="J1100" s="27">
        <v>23132.537063813186</v>
      </c>
      <c r="K1100" s="27">
        <v>46775.228374915547</v>
      </c>
      <c r="L1100" s="27">
        <v>107697.20575781161</v>
      </c>
      <c r="M1100" s="27">
        <v>220568.09860994213</v>
      </c>
    </row>
    <row r="1101" spans="1:13" x14ac:dyDescent="0.75">
      <c r="A1101" s="40">
        <v>1099</v>
      </c>
      <c r="B1101" s="27">
        <v>1121.1952222747932</v>
      </c>
      <c r="C1101" s="27">
        <v>1601.2849186969106</v>
      </c>
      <c r="D1101" s="27">
        <v>2492.2127453236171</v>
      </c>
      <c r="E1101" s="27">
        <v>3637.0301152467291</v>
      </c>
      <c r="F1101" s="27">
        <v>6017.4067545868165</v>
      </c>
      <c r="G1101" s="27">
        <v>8524.7936998924706</v>
      </c>
      <c r="H1101" s="27">
        <v>10609.849725338543</v>
      </c>
      <c r="I1101" s="27">
        <v>14914.28678238568</v>
      </c>
      <c r="J1101" s="27">
        <v>24424.717162137531</v>
      </c>
      <c r="K1101" s="27">
        <v>49295.877985701823</v>
      </c>
      <c r="L1101" s="27">
        <v>117054.12060960903</v>
      </c>
      <c r="M1101" s="27">
        <v>239692.77572119393</v>
      </c>
    </row>
    <row r="1102" spans="1:13" x14ac:dyDescent="0.75">
      <c r="A1102" s="40">
        <v>1100</v>
      </c>
      <c r="B1102" s="27">
        <v>1001.8287708657008</v>
      </c>
      <c r="C1102" s="27">
        <v>1440.8219502078573</v>
      </c>
      <c r="D1102" s="27">
        <v>2383.2834488305089</v>
      </c>
      <c r="E1102" s="27">
        <v>3681.3777120954619</v>
      </c>
      <c r="F1102" s="27">
        <v>5416.8015972140711</v>
      </c>
      <c r="G1102" s="27">
        <v>7976.255820463557</v>
      </c>
      <c r="H1102" s="27">
        <v>11205.720780215634</v>
      </c>
      <c r="I1102" s="27">
        <v>15067.124295645539</v>
      </c>
      <c r="J1102" s="27">
        <v>22995.671300276677</v>
      </c>
      <c r="K1102" s="27">
        <v>48483.522033046582</v>
      </c>
      <c r="L1102" s="27">
        <v>116015.49626732971</v>
      </c>
      <c r="M1102" s="27">
        <v>235667.9039761913</v>
      </c>
    </row>
    <row r="1103" spans="1:13" x14ac:dyDescent="0.75">
      <c r="A1103" s="40">
        <v>1101</v>
      </c>
      <c r="B1103" s="27">
        <v>1015.9665376273479</v>
      </c>
      <c r="C1103" s="27">
        <v>1712.111402547438</v>
      </c>
      <c r="D1103" s="27">
        <v>2891.5533968853561</v>
      </c>
      <c r="E1103" s="27">
        <v>3992.4915538092464</v>
      </c>
      <c r="F1103" s="27">
        <v>6036.6919422059436</v>
      </c>
      <c r="G1103" s="27">
        <v>8633.0979541647248</v>
      </c>
      <c r="H1103" s="27">
        <v>11320.080473084425</v>
      </c>
      <c r="I1103" s="27">
        <v>15399.411686002553</v>
      </c>
      <c r="J1103" s="27">
        <v>23422.918265648754</v>
      </c>
      <c r="K1103" s="27">
        <v>46855.305470487729</v>
      </c>
      <c r="L1103" s="27">
        <v>109010.715577745</v>
      </c>
      <c r="M1103" s="27">
        <v>230290.34426020851</v>
      </c>
    </row>
    <row r="1104" spans="1:13" x14ac:dyDescent="0.75">
      <c r="A1104" s="40">
        <v>1102</v>
      </c>
      <c r="B1104" s="27">
        <v>509.52138097862189</v>
      </c>
      <c r="C1104" s="27">
        <v>964.23945269268006</v>
      </c>
      <c r="D1104" s="27">
        <v>2039.5926865328947</v>
      </c>
      <c r="E1104" s="27">
        <v>3338.0199677282071</v>
      </c>
      <c r="F1104" s="27">
        <v>5398.9024740760215</v>
      </c>
      <c r="G1104" s="27">
        <v>7433.1354691789602</v>
      </c>
      <c r="H1104" s="27">
        <v>9681.8399003453233</v>
      </c>
      <c r="I1104" s="27">
        <v>14517.639422112232</v>
      </c>
      <c r="J1104" s="27">
        <v>22771.879441627825</v>
      </c>
      <c r="K1104" s="27">
        <v>43607.550265093741</v>
      </c>
      <c r="L1104" s="27">
        <v>107442.00856882974</v>
      </c>
      <c r="M1104" s="27">
        <v>217704.32902919623</v>
      </c>
    </row>
    <row r="1105" spans="1:13" x14ac:dyDescent="0.75">
      <c r="A1105" s="40">
        <v>1103</v>
      </c>
      <c r="B1105" s="27">
        <v>774.59884846342902</v>
      </c>
      <c r="C1105" s="27">
        <v>1469.5055682641978</v>
      </c>
      <c r="D1105" s="27">
        <v>2665.9205514323694</v>
      </c>
      <c r="E1105" s="27">
        <v>4035.7734346356301</v>
      </c>
      <c r="F1105" s="27">
        <v>6127.7517757475725</v>
      </c>
      <c r="G1105" s="27">
        <v>8674.0363547424786</v>
      </c>
      <c r="H1105" s="27">
        <v>10560.140370687062</v>
      </c>
      <c r="I1105" s="27">
        <v>15075.896109118941</v>
      </c>
      <c r="J1105" s="27">
        <v>24567.67636877812</v>
      </c>
      <c r="K1105" s="27">
        <v>48431.273304899543</v>
      </c>
      <c r="L1105" s="27">
        <v>116970.52554119338</v>
      </c>
      <c r="M1105" s="27">
        <v>239353.09822796274</v>
      </c>
    </row>
    <row r="1106" spans="1:13" x14ac:dyDescent="0.75">
      <c r="A1106" s="40">
        <v>1104</v>
      </c>
      <c r="B1106" s="27">
        <v>803.22428188809135</v>
      </c>
      <c r="C1106" s="27">
        <v>1166.430249359968</v>
      </c>
      <c r="D1106" s="27">
        <v>1928.4174417105678</v>
      </c>
      <c r="E1106" s="27">
        <v>2640.7208246283553</v>
      </c>
      <c r="F1106" s="27">
        <v>5207.1128338573908</v>
      </c>
      <c r="G1106" s="27">
        <v>7236.8104760533024</v>
      </c>
      <c r="H1106" s="27">
        <v>10478.222820627707</v>
      </c>
      <c r="I1106" s="27">
        <v>14075.24713472549</v>
      </c>
      <c r="J1106" s="27">
        <v>22512.276004546628</v>
      </c>
      <c r="K1106" s="27">
        <v>47924.071564549085</v>
      </c>
      <c r="L1106" s="27">
        <v>111256.6142944716</v>
      </c>
      <c r="M1106" s="27">
        <v>225229.14792641817</v>
      </c>
    </row>
    <row r="1107" spans="1:13" x14ac:dyDescent="0.75">
      <c r="A1107" s="40">
        <v>1105</v>
      </c>
      <c r="B1107" s="27">
        <v>681.18641346784716</v>
      </c>
      <c r="C1107" s="27">
        <v>1333.604723781129</v>
      </c>
      <c r="D1107" s="27">
        <v>2178.5034235905041</v>
      </c>
      <c r="E1107" s="27">
        <v>3450.6209578893904</v>
      </c>
      <c r="F1107" s="27">
        <v>5433.7748476150737</v>
      </c>
      <c r="G1107" s="27">
        <v>7947.5510298685404</v>
      </c>
      <c r="H1107" s="27">
        <v>10025.038404559207</v>
      </c>
      <c r="I1107" s="27">
        <v>13959.90053371618</v>
      </c>
      <c r="J1107" s="27">
        <v>21608.271958658341</v>
      </c>
      <c r="K1107" s="27">
        <v>46056.030449917453</v>
      </c>
      <c r="L1107" s="27">
        <v>109364.05466370036</v>
      </c>
      <c r="M1107" s="27">
        <v>222038.53740676402</v>
      </c>
    </row>
    <row r="1108" spans="1:13" x14ac:dyDescent="0.75">
      <c r="A1108" s="40">
        <v>1106</v>
      </c>
      <c r="B1108" s="27">
        <v>976.94117075671966</v>
      </c>
      <c r="C1108" s="27">
        <v>1559.3199278887478</v>
      </c>
      <c r="D1108" s="27">
        <v>2787.8250978348515</v>
      </c>
      <c r="E1108" s="27">
        <v>3960.0912240694452</v>
      </c>
      <c r="F1108" s="27">
        <v>6452.5892852624529</v>
      </c>
      <c r="G1108" s="27">
        <v>8464.7297986286867</v>
      </c>
      <c r="H1108" s="27">
        <v>11097.002949008107</v>
      </c>
      <c r="I1108" s="27">
        <v>14596.923631747894</v>
      </c>
      <c r="J1108" s="27">
        <v>23283.565555517082</v>
      </c>
      <c r="K1108" s="27">
        <v>45985.078004630544</v>
      </c>
      <c r="L1108" s="27">
        <v>111036.32684436442</v>
      </c>
      <c r="M1108" s="27">
        <v>230200.39348970895</v>
      </c>
    </row>
    <row r="1109" spans="1:13" x14ac:dyDescent="0.75">
      <c r="A1109" s="40">
        <v>1107</v>
      </c>
      <c r="B1109" s="27">
        <v>661.86262093388359</v>
      </c>
      <c r="C1109" s="27">
        <v>1276.6117058664386</v>
      </c>
      <c r="D1109" s="27">
        <v>2382.9130366937316</v>
      </c>
      <c r="E1109" s="27">
        <v>3599.4251719527238</v>
      </c>
      <c r="F1109" s="27">
        <v>5575.9544727498724</v>
      </c>
      <c r="G1109" s="27">
        <v>7611.0992786695424</v>
      </c>
      <c r="H1109" s="27">
        <v>10464.358096517622</v>
      </c>
      <c r="I1109" s="27">
        <v>13206.353611029714</v>
      </c>
      <c r="J1109" s="27">
        <v>22401.716589642456</v>
      </c>
      <c r="K1109" s="27">
        <v>47573.019383624836</v>
      </c>
      <c r="L1109" s="27">
        <v>118461.53429710727</v>
      </c>
      <c r="M1109" s="27">
        <v>233214.8482647881</v>
      </c>
    </row>
    <row r="1110" spans="1:13" x14ac:dyDescent="0.75">
      <c r="A1110" s="40">
        <v>1108</v>
      </c>
      <c r="B1110" s="27">
        <v>922.86558057420189</v>
      </c>
      <c r="C1110" s="27">
        <v>1684.9255398028181</v>
      </c>
      <c r="D1110" s="27">
        <v>2457.586410210657</v>
      </c>
      <c r="E1110" s="27">
        <v>3635.5410907898913</v>
      </c>
      <c r="F1110" s="27">
        <v>5285.0741437798424</v>
      </c>
      <c r="G1110" s="27">
        <v>7154.0402809392544</v>
      </c>
      <c r="H1110" s="27">
        <v>10010.495268229031</v>
      </c>
      <c r="I1110" s="27">
        <v>14148.238137056076</v>
      </c>
      <c r="J1110" s="27">
        <v>23317.179103957518</v>
      </c>
      <c r="K1110" s="27">
        <v>46319.648717323216</v>
      </c>
      <c r="L1110" s="27">
        <v>118663.08918905469</v>
      </c>
      <c r="M1110" s="27">
        <v>233598.68346171721</v>
      </c>
    </row>
    <row r="1111" spans="1:13" x14ac:dyDescent="0.75">
      <c r="A1111" s="40">
        <v>1109</v>
      </c>
      <c r="B1111" s="27">
        <v>287.40836008425686</v>
      </c>
      <c r="C1111" s="27">
        <v>695.56757628197374</v>
      </c>
      <c r="D1111" s="27">
        <v>1736.6547007125191</v>
      </c>
      <c r="E1111" s="27">
        <v>3027.7267350676266</v>
      </c>
      <c r="F1111" s="27">
        <v>4661.0002843594702</v>
      </c>
      <c r="G1111" s="27">
        <v>6742.2759380266361</v>
      </c>
      <c r="H1111" s="27">
        <v>8637.7592269312445</v>
      </c>
      <c r="I1111" s="27">
        <v>12893.179774852426</v>
      </c>
      <c r="J1111" s="27">
        <v>21780.324425163752</v>
      </c>
      <c r="K1111" s="27">
        <v>44160.443264066562</v>
      </c>
      <c r="L1111" s="27">
        <v>109905.73948491197</v>
      </c>
      <c r="M1111" s="27">
        <v>214528.07977045845</v>
      </c>
    </row>
    <row r="1112" spans="1:13" x14ac:dyDescent="0.75">
      <c r="A1112" s="40">
        <v>1110</v>
      </c>
      <c r="B1112" s="27">
        <v>620.73155500611756</v>
      </c>
      <c r="C1112" s="27">
        <v>1037.5083948177344</v>
      </c>
      <c r="D1112" s="27">
        <v>1956.0382822055544</v>
      </c>
      <c r="E1112" s="27">
        <v>3271.3881184071943</v>
      </c>
      <c r="F1112" s="27">
        <v>5302.1823394005769</v>
      </c>
      <c r="G1112" s="27">
        <v>7761.0929818158329</v>
      </c>
      <c r="H1112" s="27">
        <v>10274.398715297924</v>
      </c>
      <c r="I1112" s="27">
        <v>14328.99129567307</v>
      </c>
      <c r="J1112" s="27">
        <v>21871.300622618321</v>
      </c>
      <c r="K1112" s="27">
        <v>46080.291680298076</v>
      </c>
      <c r="L1112" s="27">
        <v>118707.08929735387</v>
      </c>
      <c r="M1112" s="27">
        <v>231211.01328289427</v>
      </c>
    </row>
    <row r="1113" spans="1:13" x14ac:dyDescent="0.75">
      <c r="A1113" s="40">
        <v>1111</v>
      </c>
      <c r="B1113" s="27">
        <v>492.52561083604814</v>
      </c>
      <c r="C1113" s="27">
        <v>1078.9488676041365</v>
      </c>
      <c r="D1113" s="27">
        <v>2168.681376325505</v>
      </c>
      <c r="E1113" s="27">
        <v>3428.4609274389368</v>
      </c>
      <c r="F1113" s="27">
        <v>5087.1466815249005</v>
      </c>
      <c r="G1113" s="27">
        <v>6954.1510696492332</v>
      </c>
      <c r="H1113" s="27">
        <v>9581.6585694062233</v>
      </c>
      <c r="I1113" s="27">
        <v>13438.536480432653</v>
      </c>
      <c r="J1113" s="27">
        <v>21847.817922603703</v>
      </c>
      <c r="K1113" s="27">
        <v>46860.611853303242</v>
      </c>
      <c r="L1113" s="27">
        <v>117609.82929207366</v>
      </c>
      <c r="M1113" s="27">
        <v>228548.36865119822</v>
      </c>
    </row>
    <row r="1114" spans="1:13" x14ac:dyDescent="0.75">
      <c r="A1114" s="40">
        <v>1112</v>
      </c>
      <c r="B1114" s="27">
        <v>906.01970695149794</v>
      </c>
      <c r="C1114" s="27">
        <v>1485.1635834907502</v>
      </c>
      <c r="D1114" s="27">
        <v>2618.2260388791765</v>
      </c>
      <c r="E1114" s="27">
        <v>3749.1990971294872</v>
      </c>
      <c r="F1114" s="27">
        <v>5862.996087600477</v>
      </c>
      <c r="G1114" s="27">
        <v>8246.3060523746535</v>
      </c>
      <c r="H1114" s="27">
        <v>11004.209211743873</v>
      </c>
      <c r="I1114" s="27">
        <v>14385.32297307218</v>
      </c>
      <c r="J1114" s="27">
        <v>23165.91417445452</v>
      </c>
      <c r="K1114" s="27">
        <v>45496.839969081426</v>
      </c>
      <c r="L1114" s="27">
        <v>120679.12496125048</v>
      </c>
      <c r="M1114" s="27">
        <v>237599.32185602852</v>
      </c>
    </row>
    <row r="1115" spans="1:13" x14ac:dyDescent="0.75">
      <c r="A1115" s="40">
        <v>1113</v>
      </c>
      <c r="B1115" s="27">
        <v>878.28797666328319</v>
      </c>
      <c r="C1115" s="27">
        <v>1222.3146316416824</v>
      </c>
      <c r="D1115" s="27">
        <v>2186.6291788899543</v>
      </c>
      <c r="E1115" s="27">
        <v>3400.3294196202914</v>
      </c>
      <c r="F1115" s="27">
        <v>5430.9185509009403</v>
      </c>
      <c r="G1115" s="27">
        <v>7724.2158919504145</v>
      </c>
      <c r="H1115" s="27">
        <v>10612.425289284904</v>
      </c>
      <c r="I1115" s="27">
        <v>14431.617468174154</v>
      </c>
      <c r="J1115" s="27">
        <v>24179.579030636785</v>
      </c>
      <c r="K1115" s="27">
        <v>49338.7602839967</v>
      </c>
      <c r="L1115" s="27">
        <v>108967.31258695581</v>
      </c>
      <c r="M1115" s="27">
        <v>228372.39030871494</v>
      </c>
    </row>
    <row r="1116" spans="1:13" x14ac:dyDescent="0.75">
      <c r="A1116" s="40">
        <v>1114</v>
      </c>
      <c r="B1116" s="27">
        <v>459.78339600632899</v>
      </c>
      <c r="C1116" s="27">
        <v>1125.8227331481467</v>
      </c>
      <c r="D1116" s="27">
        <v>2003.0203759712604</v>
      </c>
      <c r="E1116" s="27">
        <v>3018.4676707699691</v>
      </c>
      <c r="F1116" s="27">
        <v>4877.4300857209892</v>
      </c>
      <c r="G1116" s="27">
        <v>7616.4937704784679</v>
      </c>
      <c r="H1116" s="27">
        <v>9694.3553586572671</v>
      </c>
      <c r="I1116" s="27">
        <v>13995.800082263537</v>
      </c>
      <c r="J1116" s="27">
        <v>22378.492649263993</v>
      </c>
      <c r="K1116" s="27">
        <v>44230.567355149717</v>
      </c>
      <c r="L1116" s="27">
        <v>117442.30701321791</v>
      </c>
      <c r="M1116" s="27">
        <v>226842.5404906476</v>
      </c>
    </row>
    <row r="1117" spans="1:13" x14ac:dyDescent="0.75">
      <c r="A1117" s="40">
        <v>1115</v>
      </c>
      <c r="B1117" s="27">
        <v>1066.1427606381476</v>
      </c>
      <c r="C1117" s="27">
        <v>1547.3565182532184</v>
      </c>
      <c r="D1117" s="27">
        <v>2561.7728631969221</v>
      </c>
      <c r="E1117" s="27">
        <v>3494.64128444776</v>
      </c>
      <c r="F1117" s="27">
        <v>5257.4314829889045</v>
      </c>
      <c r="G1117" s="27">
        <v>7705.8965206086577</v>
      </c>
      <c r="H1117" s="27">
        <v>10276.822311898053</v>
      </c>
      <c r="I1117" s="27">
        <v>13940.527810501793</v>
      </c>
      <c r="J1117" s="27">
        <v>21608.378867146588</v>
      </c>
      <c r="K1117" s="27">
        <v>46011.476902070222</v>
      </c>
      <c r="L1117" s="27">
        <v>111514.21164031833</v>
      </c>
      <c r="M1117" s="27">
        <v>224984.65896206861</v>
      </c>
    </row>
    <row r="1118" spans="1:13" x14ac:dyDescent="0.75">
      <c r="A1118" s="40">
        <v>1116</v>
      </c>
      <c r="B1118" s="27">
        <v>792.24796243917081</v>
      </c>
      <c r="C1118" s="27">
        <v>1323.0100736799941</v>
      </c>
      <c r="D1118" s="27">
        <v>2510.663980266545</v>
      </c>
      <c r="E1118" s="27">
        <v>3380.0867044597107</v>
      </c>
      <c r="F1118" s="27">
        <v>5241.8036453286622</v>
      </c>
      <c r="G1118" s="27">
        <v>7766.5325986777316</v>
      </c>
      <c r="H1118" s="27">
        <v>10655.613463836344</v>
      </c>
      <c r="I1118" s="27">
        <v>14205.647058838629</v>
      </c>
      <c r="J1118" s="27">
        <v>24154.30416141951</v>
      </c>
      <c r="K1118" s="27">
        <v>47197.875191483137</v>
      </c>
      <c r="L1118" s="27">
        <v>120456.3163369941</v>
      </c>
      <c r="M1118" s="27">
        <v>237684.10117742355</v>
      </c>
    </row>
    <row r="1119" spans="1:13" x14ac:dyDescent="0.75">
      <c r="A1119" s="40">
        <v>1117</v>
      </c>
      <c r="B1119" s="27">
        <v>206.68051879519771</v>
      </c>
      <c r="C1119" s="27">
        <v>784.53362648586335</v>
      </c>
      <c r="D1119" s="27">
        <v>1645.1857983321097</v>
      </c>
      <c r="E1119" s="27">
        <v>2650.2291318422504</v>
      </c>
      <c r="F1119" s="27">
        <v>4338.6112616697501</v>
      </c>
      <c r="G1119" s="27">
        <v>7021.9825470131473</v>
      </c>
      <c r="H1119" s="27">
        <v>9448.1799465902004</v>
      </c>
      <c r="I1119" s="27">
        <v>13071.862919942811</v>
      </c>
      <c r="J1119" s="27">
        <v>22382.79308418704</v>
      </c>
      <c r="K1119" s="27">
        <v>43827.180130479159</v>
      </c>
      <c r="L1119" s="27">
        <v>109270.56451551888</v>
      </c>
      <c r="M1119" s="27">
        <v>214647.80348085641</v>
      </c>
    </row>
    <row r="1120" spans="1:13" x14ac:dyDescent="0.75">
      <c r="A1120" s="40">
        <v>1118</v>
      </c>
      <c r="B1120" s="27">
        <v>556.9605820850702</v>
      </c>
      <c r="C1120" s="27">
        <v>1072.6940150717273</v>
      </c>
      <c r="D1120" s="27">
        <v>2097.1274477033003</v>
      </c>
      <c r="E1120" s="27">
        <v>2873.2836912649072</v>
      </c>
      <c r="F1120" s="27">
        <v>5129.7358949526388</v>
      </c>
      <c r="G1120" s="27">
        <v>7218.9705455343646</v>
      </c>
      <c r="H1120" s="27">
        <v>10047.475932266098</v>
      </c>
      <c r="I1120" s="27">
        <v>13830.154062541144</v>
      </c>
      <c r="J1120" s="27">
        <v>23150.416283029714</v>
      </c>
      <c r="K1120" s="27">
        <v>45741.375068681184</v>
      </c>
      <c r="L1120" s="27">
        <v>116262.70729455572</v>
      </c>
      <c r="M1120" s="27">
        <v>227980.90081768588</v>
      </c>
    </row>
    <row r="1121" spans="1:13" x14ac:dyDescent="0.75">
      <c r="A1121" s="40">
        <v>1119</v>
      </c>
      <c r="B1121" s="27">
        <v>487.8638336561562</v>
      </c>
      <c r="C1121" s="27">
        <v>945.69917897132109</v>
      </c>
      <c r="D1121" s="27">
        <v>1812.3324560941255</v>
      </c>
      <c r="E1121" s="27">
        <v>2794.8478729431517</v>
      </c>
      <c r="F1121" s="27">
        <v>4436.8802008066996</v>
      </c>
      <c r="G1121" s="27">
        <v>7354.6080045645358</v>
      </c>
      <c r="H1121" s="27">
        <v>9456.3431087086647</v>
      </c>
      <c r="I1121" s="27">
        <v>13839.856038694619</v>
      </c>
      <c r="J1121" s="27">
        <v>21915.977866175963</v>
      </c>
      <c r="K1121" s="27">
        <v>43514.184049344884</v>
      </c>
      <c r="L1121" s="27">
        <v>116789.55939107711</v>
      </c>
      <c r="M1121" s="27">
        <v>223348.15200103723</v>
      </c>
    </row>
    <row r="1122" spans="1:13" x14ac:dyDescent="0.75">
      <c r="A1122" s="40">
        <v>1120</v>
      </c>
      <c r="B1122" s="27">
        <v>1453.1706566581997</v>
      </c>
      <c r="C1122" s="27">
        <v>2078.1669866042066</v>
      </c>
      <c r="D1122" s="27">
        <v>2980.3025293746468</v>
      </c>
      <c r="E1122" s="27">
        <v>4310.2372105369432</v>
      </c>
      <c r="F1122" s="27">
        <v>6399.3657882541593</v>
      </c>
      <c r="G1122" s="27">
        <v>8855.0033272935834</v>
      </c>
      <c r="H1122" s="27">
        <v>11543.956287316134</v>
      </c>
      <c r="I1122" s="27">
        <v>15476.048975296319</v>
      </c>
      <c r="J1122" s="27">
        <v>25177.535164454486</v>
      </c>
      <c r="K1122" s="27">
        <v>48977.651506727649</v>
      </c>
      <c r="L1122" s="27">
        <v>110042.85418235659</v>
      </c>
      <c r="M1122" s="27">
        <v>237294.29261487292</v>
      </c>
    </row>
    <row r="1123" spans="1:13" x14ac:dyDescent="0.75">
      <c r="A1123" s="40">
        <v>1121</v>
      </c>
      <c r="B1123" s="27">
        <v>920.93131789863401</v>
      </c>
      <c r="C1123" s="27">
        <v>1225.2699401389546</v>
      </c>
      <c r="D1123" s="27">
        <v>2028.0110065397021</v>
      </c>
      <c r="E1123" s="27">
        <v>3169.1614231758431</v>
      </c>
      <c r="F1123" s="27">
        <v>4910.3772165357077</v>
      </c>
      <c r="G1123" s="27">
        <v>7296.6110531583545</v>
      </c>
      <c r="H1123" s="27">
        <v>9927.3579176217027</v>
      </c>
      <c r="I1123" s="27">
        <v>14588.686767482111</v>
      </c>
      <c r="J1123" s="27">
        <v>22485.490711039063</v>
      </c>
      <c r="K1123" s="27">
        <v>46361.079058887466</v>
      </c>
      <c r="L1123" s="27">
        <v>109551.55466901601</v>
      </c>
      <c r="M1123" s="27">
        <v>222464.53108149354</v>
      </c>
    </row>
    <row r="1124" spans="1:13" x14ac:dyDescent="0.75">
      <c r="A1124" s="40">
        <v>1122</v>
      </c>
      <c r="B1124" s="27">
        <v>639.60044151262264</v>
      </c>
      <c r="C1124" s="27">
        <v>950.86104798193264</v>
      </c>
      <c r="D1124" s="27">
        <v>1805.0383806141908</v>
      </c>
      <c r="E1124" s="27">
        <v>2665.4243236791226</v>
      </c>
      <c r="F1124" s="27">
        <v>4452.189289833681</v>
      </c>
      <c r="G1124" s="27">
        <v>6400.9385391791002</v>
      </c>
      <c r="H1124" s="27">
        <v>9475.1970729757741</v>
      </c>
      <c r="I1124" s="27">
        <v>14251.712308114249</v>
      </c>
      <c r="J1124" s="27">
        <v>22322.637752881012</v>
      </c>
      <c r="K1124" s="27">
        <v>46608.382743691065</v>
      </c>
      <c r="L1124" s="27">
        <v>107751.60990356823</v>
      </c>
      <c r="M1124" s="27">
        <v>217323.59180403099</v>
      </c>
    </row>
    <row r="1125" spans="1:13" x14ac:dyDescent="0.75">
      <c r="A1125" s="40">
        <v>1123</v>
      </c>
      <c r="B1125" s="27">
        <v>688.03083523044188</v>
      </c>
      <c r="C1125" s="27">
        <v>1210.2263639881858</v>
      </c>
      <c r="D1125" s="27">
        <v>2290.5522704669565</v>
      </c>
      <c r="E1125" s="27">
        <v>3208.931006668703</v>
      </c>
      <c r="F1125" s="27">
        <v>5113.6495203269587</v>
      </c>
      <c r="G1125" s="27">
        <v>7391.1738724324096</v>
      </c>
      <c r="H1125" s="27">
        <v>10128.228003001888</v>
      </c>
      <c r="I1125" s="27">
        <v>14081.555357517413</v>
      </c>
      <c r="J1125" s="27">
        <v>22687.043189900403</v>
      </c>
      <c r="K1125" s="27">
        <v>46071.177490192043</v>
      </c>
      <c r="L1125" s="27">
        <v>117120.50429412584</v>
      </c>
      <c r="M1125" s="27">
        <v>229991.07220385125</v>
      </c>
    </row>
    <row r="1126" spans="1:13" x14ac:dyDescent="0.75">
      <c r="A1126" s="40">
        <v>1124</v>
      </c>
      <c r="B1126" s="27">
        <v>568.59806839298108</v>
      </c>
      <c r="C1126" s="27">
        <v>1103.7274983690731</v>
      </c>
      <c r="D1126" s="27">
        <v>2013.613174234546</v>
      </c>
      <c r="E1126" s="27">
        <v>3218.4463246082159</v>
      </c>
      <c r="F1126" s="27">
        <v>5328.5237135647621</v>
      </c>
      <c r="G1126" s="27">
        <v>7639.8353356545849</v>
      </c>
      <c r="H1126" s="27">
        <v>9756.131129558431</v>
      </c>
      <c r="I1126" s="27">
        <v>14124.594182957473</v>
      </c>
      <c r="J1126" s="27">
        <v>23515.118864084739</v>
      </c>
      <c r="K1126" s="27">
        <v>46617.126774955846</v>
      </c>
      <c r="L1126" s="27">
        <v>118783.20711592425</v>
      </c>
      <c r="M1126" s="27">
        <v>232668.9221823049</v>
      </c>
    </row>
    <row r="1127" spans="1:13" x14ac:dyDescent="0.75">
      <c r="A1127" s="40">
        <v>1125</v>
      </c>
      <c r="B1127" s="27">
        <v>761.21252596387058</v>
      </c>
      <c r="C1127" s="27">
        <v>1251.1117362753139</v>
      </c>
      <c r="D1127" s="27">
        <v>2163.5863265003136</v>
      </c>
      <c r="E1127" s="27">
        <v>3402.9234107505472</v>
      </c>
      <c r="F1127" s="27">
        <v>5489.134420961549</v>
      </c>
      <c r="G1127" s="27">
        <v>7734.8125499514572</v>
      </c>
      <c r="H1127" s="27">
        <v>9966.1810701129143</v>
      </c>
      <c r="I1127" s="27">
        <v>14907.42754605574</v>
      </c>
      <c r="J1127" s="27">
        <v>24086.679038691771</v>
      </c>
      <c r="K1127" s="27">
        <v>49150.097995541088</v>
      </c>
      <c r="L1127" s="27">
        <v>119321.34242502437</v>
      </c>
      <c r="M1127" s="27">
        <v>238234.50904582895</v>
      </c>
    </row>
    <row r="1128" spans="1:13" x14ac:dyDescent="0.75">
      <c r="A1128" s="40">
        <v>1126</v>
      </c>
      <c r="B1128" s="27">
        <v>723.3881973115349</v>
      </c>
      <c r="C1128" s="27">
        <v>1317.5162086927157</v>
      </c>
      <c r="D1128" s="27">
        <v>2270.912128420503</v>
      </c>
      <c r="E1128" s="27">
        <v>3107.1574960743601</v>
      </c>
      <c r="F1128" s="27">
        <v>5302.2608972199087</v>
      </c>
      <c r="G1128" s="27">
        <v>7738.0149341546639</v>
      </c>
      <c r="H1128" s="27">
        <v>11098.926948464301</v>
      </c>
      <c r="I1128" s="27">
        <v>15346.22018227214</v>
      </c>
      <c r="J1128" s="27">
        <v>23566.674511754172</v>
      </c>
      <c r="K1128" s="27">
        <v>45024.92365059389</v>
      </c>
      <c r="L1128" s="27">
        <v>109217.10155441225</v>
      </c>
      <c r="M1128" s="27">
        <v>224713.09670937044</v>
      </c>
    </row>
    <row r="1129" spans="1:13" x14ac:dyDescent="0.75">
      <c r="A1129" s="40">
        <v>1127</v>
      </c>
      <c r="B1129" s="27">
        <v>851.36395859032928</v>
      </c>
      <c r="C1129" s="27">
        <v>1294.0975801427412</v>
      </c>
      <c r="D1129" s="27">
        <v>1898.6432817089371</v>
      </c>
      <c r="E1129" s="27">
        <v>2950.0525916016486</v>
      </c>
      <c r="F1129" s="27">
        <v>5137.6739517552778</v>
      </c>
      <c r="G1129" s="27">
        <v>6828.9998570216994</v>
      </c>
      <c r="H1129" s="27">
        <v>9828.9283573353168</v>
      </c>
      <c r="I1129" s="27">
        <v>14434.627969091831</v>
      </c>
      <c r="J1129" s="27">
        <v>23085.559759207128</v>
      </c>
      <c r="K1129" s="27">
        <v>46740.749360004644</v>
      </c>
      <c r="L1129" s="27">
        <v>114187.42161218148</v>
      </c>
      <c r="M1129" s="27">
        <v>227238.11827864102</v>
      </c>
    </row>
    <row r="1130" spans="1:13" x14ac:dyDescent="0.75">
      <c r="A1130" s="40">
        <v>1128</v>
      </c>
      <c r="B1130" s="27">
        <v>1168.0328475146962</v>
      </c>
      <c r="C1130" s="27">
        <v>1451.9191967527877</v>
      </c>
      <c r="D1130" s="27">
        <v>2162.4480886221572</v>
      </c>
      <c r="E1130" s="27">
        <v>3412.7980150569492</v>
      </c>
      <c r="F1130" s="27">
        <v>5226.8210872493655</v>
      </c>
      <c r="G1130" s="27">
        <v>7867.8384021491511</v>
      </c>
      <c r="H1130" s="27">
        <v>10771.561656055943</v>
      </c>
      <c r="I1130" s="27">
        <v>15025.799508910626</v>
      </c>
      <c r="J1130" s="27">
        <v>22070.570017679827</v>
      </c>
      <c r="K1130" s="27">
        <v>45375.517342641047</v>
      </c>
      <c r="L1130" s="27">
        <v>118741.4157655952</v>
      </c>
      <c r="M1130" s="27">
        <v>233274.72192822775</v>
      </c>
    </row>
    <row r="1131" spans="1:13" x14ac:dyDescent="0.75">
      <c r="A1131" s="40">
        <v>1129</v>
      </c>
      <c r="B1131" s="27">
        <v>526.65471171603713</v>
      </c>
      <c r="C1131" s="27">
        <v>959.61772600741824</v>
      </c>
      <c r="D1131" s="27">
        <v>2052.4537179206964</v>
      </c>
      <c r="E1131" s="27">
        <v>3272.4389413351746</v>
      </c>
      <c r="F1131" s="27">
        <v>5054.5449813361338</v>
      </c>
      <c r="G1131" s="27">
        <v>7741.6564879975922</v>
      </c>
      <c r="H1131" s="27">
        <v>10691.331521661865</v>
      </c>
      <c r="I1131" s="27">
        <v>13920.191723746335</v>
      </c>
      <c r="J1131" s="27">
        <v>23147.060048449421</v>
      </c>
      <c r="K1131" s="27">
        <v>49784.836865023011</v>
      </c>
      <c r="L1131" s="27">
        <v>111497.70159919502</v>
      </c>
      <c r="M1131" s="27">
        <v>228648.48832438869</v>
      </c>
    </row>
    <row r="1132" spans="1:13" x14ac:dyDescent="0.75">
      <c r="A1132" s="40">
        <v>1130</v>
      </c>
      <c r="B1132" s="27">
        <v>916.82365116903384</v>
      </c>
      <c r="C1132" s="27">
        <v>1553.8450352205691</v>
      </c>
      <c r="D1132" s="27">
        <v>2755.167415966891</v>
      </c>
      <c r="E1132" s="27">
        <v>3781.4193275050056</v>
      </c>
      <c r="F1132" s="27">
        <v>5842.6459850438114</v>
      </c>
      <c r="G1132" s="27">
        <v>7928.6666441607813</v>
      </c>
      <c r="H1132" s="27">
        <v>11199.971826346184</v>
      </c>
      <c r="I1132" s="27">
        <v>14915.602604605738</v>
      </c>
      <c r="J1132" s="27">
        <v>23174.217310236942</v>
      </c>
      <c r="K1132" s="27">
        <v>47656.169748115091</v>
      </c>
      <c r="L1132" s="27">
        <v>108574.15638067501</v>
      </c>
      <c r="M1132" s="27">
        <v>228298.68592904505</v>
      </c>
    </row>
    <row r="1133" spans="1:13" x14ac:dyDescent="0.75">
      <c r="A1133" s="40">
        <v>1131</v>
      </c>
      <c r="B1133" s="27">
        <v>591.87017876200844</v>
      </c>
      <c r="C1133" s="27">
        <v>1050.0685805143148</v>
      </c>
      <c r="D1133" s="27">
        <v>1724.4381416690449</v>
      </c>
      <c r="E1133" s="27">
        <v>2942.0041297930729</v>
      </c>
      <c r="F1133" s="27">
        <v>4807.022336621565</v>
      </c>
      <c r="G1133" s="27">
        <v>6674.2629750174528</v>
      </c>
      <c r="H1133" s="27">
        <v>9226.7248481351126</v>
      </c>
      <c r="I1133" s="27">
        <v>14365.475221585279</v>
      </c>
      <c r="J1133" s="27">
        <v>23256.145026106547</v>
      </c>
      <c r="K1133" s="27">
        <v>44516.919074729783</v>
      </c>
      <c r="L1133" s="27">
        <v>114577.18885426839</v>
      </c>
      <c r="M1133" s="27">
        <v>223732.11936720257</v>
      </c>
    </row>
    <row r="1134" spans="1:13" x14ac:dyDescent="0.75">
      <c r="A1134" s="40">
        <v>1132</v>
      </c>
      <c r="B1134" s="27">
        <v>1095.2916296146286</v>
      </c>
      <c r="C1134" s="27">
        <v>1987.180258771943</v>
      </c>
      <c r="D1134" s="27">
        <v>2843.0644679805409</v>
      </c>
      <c r="E1134" s="27">
        <v>4148.3904206465377</v>
      </c>
      <c r="F1134" s="27">
        <v>5776.651804660738</v>
      </c>
      <c r="G1134" s="27">
        <v>8514.5129840367881</v>
      </c>
      <c r="H1134" s="27">
        <v>10990.170022983599</v>
      </c>
      <c r="I1134" s="27">
        <v>15420.841905795285</v>
      </c>
      <c r="J1134" s="27">
        <v>23098.181331368469</v>
      </c>
      <c r="K1134" s="27">
        <v>48216.841254924278</v>
      </c>
      <c r="L1134" s="27">
        <v>116547.11220159713</v>
      </c>
      <c r="M1134" s="27">
        <v>238638.23828237993</v>
      </c>
    </row>
    <row r="1135" spans="1:13" x14ac:dyDescent="0.75">
      <c r="A1135" s="40">
        <v>1133</v>
      </c>
      <c r="B1135" s="27">
        <v>754.35705339747074</v>
      </c>
      <c r="C1135" s="27">
        <v>1217.2276794086938</v>
      </c>
      <c r="D1135" s="27">
        <v>2125.5372855124151</v>
      </c>
      <c r="E1135" s="27">
        <v>3205.6023239035858</v>
      </c>
      <c r="F1135" s="27">
        <v>4898.2810230634495</v>
      </c>
      <c r="G1135" s="27">
        <v>7020.4080787723942</v>
      </c>
      <c r="H1135" s="27">
        <v>10065.7590195222</v>
      </c>
      <c r="I1135" s="27">
        <v>13695.935557950259</v>
      </c>
      <c r="J1135" s="27">
        <v>22820.826108895038</v>
      </c>
      <c r="K1135" s="27">
        <v>46612.051275343721</v>
      </c>
      <c r="L1135" s="27">
        <v>110706.3451846973</v>
      </c>
      <c r="M1135" s="27">
        <v>223122.33059046653</v>
      </c>
    </row>
    <row r="1136" spans="1:13" x14ac:dyDescent="0.75">
      <c r="A1136" s="40">
        <v>1134</v>
      </c>
      <c r="B1136" s="27">
        <v>631.98128625324171</v>
      </c>
      <c r="C1136" s="27">
        <v>1340.1613322060439</v>
      </c>
      <c r="D1136" s="27">
        <v>1996.5178787791956</v>
      </c>
      <c r="E1136" s="27">
        <v>3270.9648988857371</v>
      </c>
      <c r="F1136" s="27">
        <v>5108.2696371663915</v>
      </c>
      <c r="G1136" s="27">
        <v>7863.8449575202249</v>
      </c>
      <c r="H1136" s="27">
        <v>10329.570756637797</v>
      </c>
      <c r="I1136" s="27">
        <v>15145.339618333397</v>
      </c>
      <c r="J1136" s="27">
        <v>23243.823582688055</v>
      </c>
      <c r="K1136" s="27">
        <v>48588.084221321071</v>
      </c>
      <c r="L1136" s="27">
        <v>121847.40404456004</v>
      </c>
      <c r="M1136" s="27">
        <v>239365.9622143512</v>
      </c>
    </row>
    <row r="1137" spans="1:13" x14ac:dyDescent="0.75">
      <c r="A1137" s="40">
        <v>1135</v>
      </c>
      <c r="B1137" s="27">
        <v>763.13491881614027</v>
      </c>
      <c r="C1137" s="27">
        <v>1355.5566947491461</v>
      </c>
      <c r="D1137" s="27">
        <v>2141.5947596373881</v>
      </c>
      <c r="E1137" s="27">
        <v>3451.3312723147974</v>
      </c>
      <c r="F1137" s="27">
        <v>5307.275810371968</v>
      </c>
      <c r="G1137" s="27">
        <v>8009.5859660122369</v>
      </c>
      <c r="H1137" s="27">
        <v>10490.073053422733</v>
      </c>
      <c r="I1137" s="27">
        <v>14560.380377812806</v>
      </c>
      <c r="J1137" s="27">
        <v>23599.14337196968</v>
      </c>
      <c r="K1137" s="27">
        <v>47611.482677160355</v>
      </c>
      <c r="L1137" s="27">
        <v>104052.23840773274</v>
      </c>
      <c r="M1137" s="27">
        <v>221341.79730999999</v>
      </c>
    </row>
    <row r="1138" spans="1:13" x14ac:dyDescent="0.75">
      <c r="A1138" s="40">
        <v>1136</v>
      </c>
      <c r="B1138" s="27">
        <v>813.60813307453645</v>
      </c>
      <c r="C1138" s="27">
        <v>1280.6573543806007</v>
      </c>
      <c r="D1138" s="27">
        <v>2234.0795624809834</v>
      </c>
      <c r="E1138" s="27">
        <v>3304.4753674421227</v>
      </c>
      <c r="F1138" s="27">
        <v>5302.1039283772261</v>
      </c>
      <c r="G1138" s="27">
        <v>7808.2963259061507</v>
      </c>
      <c r="H1138" s="27">
        <v>9968.3839949647372</v>
      </c>
      <c r="I1138" s="27">
        <v>13976.36256026334</v>
      </c>
      <c r="J1138" s="27">
        <v>22596.234976972875</v>
      </c>
      <c r="K1138" s="27">
        <v>46534.306728975818</v>
      </c>
      <c r="L1138" s="27">
        <v>110932.14573676581</v>
      </c>
      <c r="M1138" s="27">
        <v>224750.65466960421</v>
      </c>
    </row>
    <row r="1139" spans="1:13" x14ac:dyDescent="0.75">
      <c r="A1139" s="40">
        <v>1137</v>
      </c>
      <c r="B1139" s="27">
        <v>544.00063247943763</v>
      </c>
      <c r="C1139" s="27">
        <v>962.47463750008319</v>
      </c>
      <c r="D1139" s="27">
        <v>1969.6133343141555</v>
      </c>
      <c r="E1139" s="27">
        <v>2899.539636974092</v>
      </c>
      <c r="F1139" s="27">
        <v>4881.2693925075582</v>
      </c>
      <c r="G1139" s="27">
        <v>7220.3767299166939</v>
      </c>
      <c r="H1139" s="27">
        <v>9385.4847845450422</v>
      </c>
      <c r="I1139" s="27">
        <v>13771.781862379969</v>
      </c>
      <c r="J1139" s="27">
        <v>24002.711922258764</v>
      </c>
      <c r="K1139" s="27">
        <v>48993.750084178027</v>
      </c>
      <c r="L1139" s="27">
        <v>112769.23772308775</v>
      </c>
      <c r="M1139" s="27">
        <v>227400.24074014157</v>
      </c>
    </row>
    <row r="1140" spans="1:13" x14ac:dyDescent="0.75">
      <c r="A1140" s="40">
        <v>1138</v>
      </c>
      <c r="B1140" s="27">
        <v>737.36014801969577</v>
      </c>
      <c r="C1140" s="27">
        <v>1398.5301470400882</v>
      </c>
      <c r="D1140" s="27">
        <v>2314.083791733894</v>
      </c>
      <c r="E1140" s="27">
        <v>3286.6089465480327</v>
      </c>
      <c r="F1140" s="27">
        <v>5343.8996132957109</v>
      </c>
      <c r="G1140" s="27">
        <v>7107.0328020001762</v>
      </c>
      <c r="H1140" s="27">
        <v>9899.9237677465571</v>
      </c>
      <c r="I1140" s="27">
        <v>14632.866536923859</v>
      </c>
      <c r="J1140" s="27">
        <v>22712.228002537915</v>
      </c>
      <c r="K1140" s="27">
        <v>47095.153539870153</v>
      </c>
      <c r="L1140" s="27">
        <v>113654.56737215335</v>
      </c>
      <c r="M1140" s="27">
        <v>228182.25466786942</v>
      </c>
    </row>
    <row r="1141" spans="1:13" x14ac:dyDescent="0.75">
      <c r="A1141" s="40">
        <v>1139</v>
      </c>
      <c r="B1141" s="27">
        <v>853.51268939187867</v>
      </c>
      <c r="C1141" s="27">
        <v>1333.8202890416287</v>
      </c>
      <c r="D1141" s="27">
        <v>2071.3518860726908</v>
      </c>
      <c r="E1141" s="27">
        <v>2974.079436185275</v>
      </c>
      <c r="F1141" s="27">
        <v>4903.935184050235</v>
      </c>
      <c r="G1141" s="27">
        <v>7282.3434112877876</v>
      </c>
      <c r="H1141" s="27">
        <v>9743.5264629274316</v>
      </c>
      <c r="I1141" s="27">
        <v>14619.88974593961</v>
      </c>
      <c r="J1141" s="27">
        <v>23881.832659147985</v>
      </c>
      <c r="K1141" s="27">
        <v>45083.394629580871</v>
      </c>
      <c r="L1141" s="27">
        <v>117181.40013534002</v>
      </c>
      <c r="M1141" s="27">
        <v>229929.08652896542</v>
      </c>
    </row>
    <row r="1142" spans="1:13" x14ac:dyDescent="0.75">
      <c r="A1142" s="40">
        <v>1140</v>
      </c>
      <c r="B1142" s="27">
        <v>636.68869567850197</v>
      </c>
      <c r="C1142" s="27">
        <v>1387.9274941590993</v>
      </c>
      <c r="D1142" s="27">
        <v>2484.6868014739302</v>
      </c>
      <c r="E1142" s="27">
        <v>3822.9884814477409</v>
      </c>
      <c r="F1142" s="27">
        <v>5447.0340353054053</v>
      </c>
      <c r="G1142" s="27">
        <v>8318.4399807117297</v>
      </c>
      <c r="H1142" s="27">
        <v>10681.458823641195</v>
      </c>
      <c r="I1142" s="27">
        <v>14426.29552828653</v>
      </c>
      <c r="J1142" s="27">
        <v>24276.669452039336</v>
      </c>
      <c r="K1142" s="27">
        <v>46627.449416329953</v>
      </c>
      <c r="L1142" s="27">
        <v>110927.65434993261</v>
      </c>
      <c r="M1142" s="27">
        <v>229037.29305900604</v>
      </c>
    </row>
    <row r="1143" spans="1:13" x14ac:dyDescent="0.75">
      <c r="A1143" s="40">
        <v>1141</v>
      </c>
      <c r="B1143" s="27">
        <v>1080.250081616774</v>
      </c>
      <c r="C1143" s="27">
        <v>1365.8249185717577</v>
      </c>
      <c r="D1143" s="27">
        <v>2418.2353963542409</v>
      </c>
      <c r="E1143" s="27">
        <v>3739.7740523622633</v>
      </c>
      <c r="F1143" s="27">
        <v>5281.0354080397228</v>
      </c>
      <c r="G1143" s="27">
        <v>7641.0116291037411</v>
      </c>
      <c r="H1143" s="27">
        <v>10634.121086343162</v>
      </c>
      <c r="I1143" s="27">
        <v>13993.636310099217</v>
      </c>
      <c r="J1143" s="27">
        <v>22692.003461054352</v>
      </c>
      <c r="K1143" s="27">
        <v>44974.668914580107</v>
      </c>
      <c r="L1143" s="27">
        <v>115267.33636269525</v>
      </c>
      <c r="M1143" s="27">
        <v>229087.89762082059</v>
      </c>
    </row>
    <row r="1144" spans="1:13" x14ac:dyDescent="0.75">
      <c r="A1144" s="40">
        <v>1142</v>
      </c>
      <c r="B1144" s="27">
        <v>1029.0785438429011</v>
      </c>
      <c r="C1144" s="27">
        <v>1499.6413175407797</v>
      </c>
      <c r="D1144" s="27">
        <v>2286.6165122713282</v>
      </c>
      <c r="E1144" s="27">
        <v>3431.0983354512282</v>
      </c>
      <c r="F1144" s="27">
        <v>5617.0201779765484</v>
      </c>
      <c r="G1144" s="27">
        <v>8044.0020571429632</v>
      </c>
      <c r="H1144" s="27">
        <v>10844.615723061244</v>
      </c>
      <c r="I1144" s="27">
        <v>15571.013518795211</v>
      </c>
      <c r="J1144" s="27">
        <v>23158.567079788161</v>
      </c>
      <c r="K1144" s="27">
        <v>45023.206285353896</v>
      </c>
      <c r="L1144" s="27">
        <v>115988.1315499395</v>
      </c>
      <c r="M1144" s="27">
        <v>232492.99110116376</v>
      </c>
    </row>
    <row r="1145" spans="1:13" x14ac:dyDescent="0.75">
      <c r="A1145" s="40">
        <v>1143</v>
      </c>
      <c r="B1145" s="27">
        <v>693.22419379952771</v>
      </c>
      <c r="C1145" s="27">
        <v>1118.3090272484988</v>
      </c>
      <c r="D1145" s="27">
        <v>2076.0963979611988</v>
      </c>
      <c r="E1145" s="27">
        <v>3260.5388561015425</v>
      </c>
      <c r="F1145" s="27">
        <v>5379.3570715749083</v>
      </c>
      <c r="G1145" s="27">
        <v>7725.9365423251875</v>
      </c>
      <c r="H1145" s="27">
        <v>10404.625399497469</v>
      </c>
      <c r="I1145" s="27">
        <v>14366.31913998774</v>
      </c>
      <c r="J1145" s="27">
        <v>22846.33507379792</v>
      </c>
      <c r="K1145" s="27">
        <v>46197.306871149573</v>
      </c>
      <c r="L1145" s="27">
        <v>108949.53242335035</v>
      </c>
      <c r="M1145" s="27">
        <v>223017.58099679393</v>
      </c>
    </row>
    <row r="1146" spans="1:13" x14ac:dyDescent="0.75">
      <c r="A1146" s="40">
        <v>1144</v>
      </c>
      <c r="B1146" s="27">
        <v>752.8699027615221</v>
      </c>
      <c r="C1146" s="27">
        <v>1101.5885083678877</v>
      </c>
      <c r="D1146" s="27">
        <v>1877.9456545018329</v>
      </c>
      <c r="E1146" s="27">
        <v>3139.3549714135443</v>
      </c>
      <c r="F1146" s="27">
        <v>4907.3118396742502</v>
      </c>
      <c r="G1146" s="27">
        <v>7536.1515670780209</v>
      </c>
      <c r="H1146" s="27">
        <v>10011.325057505659</v>
      </c>
      <c r="I1146" s="27">
        <v>13739.076353840501</v>
      </c>
      <c r="J1146" s="27">
        <v>21908.07372942823</v>
      </c>
      <c r="K1146" s="27">
        <v>46640.31506217178</v>
      </c>
      <c r="L1146" s="27">
        <v>114740.82580905757</v>
      </c>
      <c r="M1146" s="27">
        <v>226354.83845580078</v>
      </c>
    </row>
    <row r="1147" spans="1:13" x14ac:dyDescent="0.75">
      <c r="A1147" s="40">
        <v>1145</v>
      </c>
      <c r="B1147" s="27">
        <v>1211.4488641212083</v>
      </c>
      <c r="C1147" s="27">
        <v>1560.0506587014243</v>
      </c>
      <c r="D1147" s="27">
        <v>2398.0039091821673</v>
      </c>
      <c r="E1147" s="27">
        <v>3613.5509914012218</v>
      </c>
      <c r="F1147" s="27">
        <v>5791.7641750989133</v>
      </c>
      <c r="G1147" s="27">
        <v>7956.8047183682793</v>
      </c>
      <c r="H1147" s="27">
        <v>10921.368588891113</v>
      </c>
      <c r="I1147" s="27">
        <v>14773.956873713512</v>
      </c>
      <c r="J1147" s="27">
        <v>24319.522661343246</v>
      </c>
      <c r="K1147" s="27">
        <v>47605.23140272696</v>
      </c>
      <c r="L1147" s="27">
        <v>114462.80231688473</v>
      </c>
      <c r="M1147" s="27">
        <v>234614.50516043277</v>
      </c>
    </row>
    <row r="1148" spans="1:13" x14ac:dyDescent="0.75">
      <c r="A1148" s="40">
        <v>1146</v>
      </c>
      <c r="B1148" s="27">
        <v>776.02575117633387</v>
      </c>
      <c r="C1148" s="27">
        <v>1156.0558430516685</v>
      </c>
      <c r="D1148" s="27">
        <v>2194.601542293196</v>
      </c>
      <c r="E1148" s="27">
        <v>3106.7274679759284</v>
      </c>
      <c r="F1148" s="27">
        <v>4797.9555977251002</v>
      </c>
      <c r="G1148" s="27">
        <v>7619.0184346115275</v>
      </c>
      <c r="H1148" s="27">
        <v>11145.098603893013</v>
      </c>
      <c r="I1148" s="27">
        <v>14506.71382992639</v>
      </c>
      <c r="J1148" s="27">
        <v>24296.879998310644</v>
      </c>
      <c r="K1148" s="27">
        <v>48348.828721753598</v>
      </c>
      <c r="L1148" s="27">
        <v>122813.74389246272</v>
      </c>
      <c r="M1148" s="27">
        <v>240761.64968318012</v>
      </c>
    </row>
    <row r="1149" spans="1:13" x14ac:dyDescent="0.75">
      <c r="A1149" s="40">
        <v>1147</v>
      </c>
      <c r="B1149" s="27">
        <v>724.02613824071886</v>
      </c>
      <c r="C1149" s="27">
        <v>1454.212493326384</v>
      </c>
      <c r="D1149" s="27">
        <v>1988.4462781512848</v>
      </c>
      <c r="E1149" s="27">
        <v>3155.572984639075</v>
      </c>
      <c r="F1149" s="27">
        <v>4834.5620785576029</v>
      </c>
      <c r="G1149" s="27">
        <v>6887.3486981694004</v>
      </c>
      <c r="H1149" s="27">
        <v>10186.503291118075</v>
      </c>
      <c r="I1149" s="27">
        <v>14032.137160992905</v>
      </c>
      <c r="J1149" s="27">
        <v>21830.514174750599</v>
      </c>
      <c r="K1149" s="27">
        <v>44002.069229098153</v>
      </c>
      <c r="L1149" s="27">
        <v>115786.25986011463</v>
      </c>
      <c r="M1149" s="27">
        <v>224881.65238715883</v>
      </c>
    </row>
    <row r="1150" spans="1:13" x14ac:dyDescent="0.75">
      <c r="A1150" s="40">
        <v>1148</v>
      </c>
      <c r="B1150" s="27">
        <v>769.69094043440418</v>
      </c>
      <c r="C1150" s="27">
        <v>1055.9867269526439</v>
      </c>
      <c r="D1150" s="27">
        <v>1791.5537940766371</v>
      </c>
      <c r="E1150" s="27">
        <v>2766.7225163703988</v>
      </c>
      <c r="F1150" s="27">
        <v>4697.0703658531711</v>
      </c>
      <c r="G1150" s="27">
        <v>7136.0371610701259</v>
      </c>
      <c r="H1150" s="27">
        <v>9303.3512534456822</v>
      </c>
      <c r="I1150" s="27">
        <v>13086.867087377017</v>
      </c>
      <c r="J1150" s="27">
        <v>22974.434562546958</v>
      </c>
      <c r="K1150" s="27">
        <v>44952.809814556997</v>
      </c>
      <c r="L1150" s="27">
        <v>106733.12651030454</v>
      </c>
      <c r="M1150" s="27">
        <v>215267.65073298858</v>
      </c>
    </row>
    <row r="1151" spans="1:13" x14ac:dyDescent="0.75">
      <c r="A1151" s="40">
        <v>1149</v>
      </c>
      <c r="B1151" s="27">
        <v>733.56692257705436</v>
      </c>
      <c r="C1151" s="27">
        <v>1268.5816730916267</v>
      </c>
      <c r="D1151" s="27">
        <v>2542.4075592129666</v>
      </c>
      <c r="E1151" s="27">
        <v>3658.2124993751931</v>
      </c>
      <c r="F1151" s="27">
        <v>5586.5498463592667</v>
      </c>
      <c r="G1151" s="27">
        <v>8271.5332877392939</v>
      </c>
      <c r="H1151" s="27">
        <v>11164.308045440761</v>
      </c>
      <c r="I1151" s="27">
        <v>13854.645156783925</v>
      </c>
      <c r="J1151" s="27">
        <v>21801.879512473504</v>
      </c>
      <c r="K1151" s="27">
        <v>46476.287889250481</v>
      </c>
      <c r="L1151" s="27">
        <v>113896.35014846059</v>
      </c>
      <c r="M1151" s="27">
        <v>229254.32254076467</v>
      </c>
    </row>
    <row r="1152" spans="1:13" x14ac:dyDescent="0.75">
      <c r="A1152" s="40">
        <v>1150</v>
      </c>
      <c r="B1152" s="27">
        <v>1246.4417885460425</v>
      </c>
      <c r="C1152" s="27">
        <v>1790.2669994427124</v>
      </c>
      <c r="D1152" s="27">
        <v>2656.1551944542443</v>
      </c>
      <c r="E1152" s="27">
        <v>3630.7867944284808</v>
      </c>
      <c r="F1152" s="27">
        <v>5360.6969425118878</v>
      </c>
      <c r="G1152" s="27">
        <v>7935.6337063059618</v>
      </c>
      <c r="H1152" s="27">
        <v>10860.072124371407</v>
      </c>
      <c r="I1152" s="27">
        <v>14755.392828176715</v>
      </c>
      <c r="J1152" s="27">
        <v>25232.210900923281</v>
      </c>
      <c r="K1152" s="27">
        <v>47140.684916181024</v>
      </c>
      <c r="L1152" s="27">
        <v>111471.60376427262</v>
      </c>
      <c r="M1152" s="27">
        <v>232079.94595961436</v>
      </c>
    </row>
    <row r="1153" spans="1:13" x14ac:dyDescent="0.75">
      <c r="A1153" s="40">
        <v>1151</v>
      </c>
      <c r="B1153" s="27">
        <v>912.55142542126123</v>
      </c>
      <c r="C1153" s="27">
        <v>1444.0519760450552</v>
      </c>
      <c r="D1153" s="27">
        <v>2181.6398451999557</v>
      </c>
      <c r="E1153" s="27">
        <v>3175.7246466878714</v>
      </c>
      <c r="F1153" s="27">
        <v>5241.7090843465412</v>
      </c>
      <c r="G1153" s="27">
        <v>7641.7199830989703</v>
      </c>
      <c r="H1153" s="27">
        <v>9730.2204774632119</v>
      </c>
      <c r="I1153" s="27">
        <v>13142.168285762047</v>
      </c>
      <c r="J1153" s="27">
        <v>23711.044870393176</v>
      </c>
      <c r="K1153" s="27">
        <v>44906.136955586713</v>
      </c>
      <c r="L1153" s="27">
        <v>116198.23017773034</v>
      </c>
      <c r="M1153" s="27">
        <v>228285.19772773515</v>
      </c>
    </row>
    <row r="1154" spans="1:13" x14ac:dyDescent="0.75">
      <c r="A1154" s="40">
        <v>1152</v>
      </c>
      <c r="B1154" s="27">
        <v>789.13420318068529</v>
      </c>
      <c r="C1154" s="27">
        <v>1201.4915235807421</v>
      </c>
      <c r="D1154" s="27">
        <v>2140.5580683965673</v>
      </c>
      <c r="E1154" s="27">
        <v>3226.3074578761152</v>
      </c>
      <c r="F1154" s="27">
        <v>5412.841604206289</v>
      </c>
      <c r="G1154" s="27">
        <v>7956.7013541238848</v>
      </c>
      <c r="H1154" s="27">
        <v>10253.801537482344</v>
      </c>
      <c r="I1154" s="27">
        <v>14570.12347288194</v>
      </c>
      <c r="J1154" s="27">
        <v>22422.434556464752</v>
      </c>
      <c r="K1154" s="27">
        <v>45859.223282063758</v>
      </c>
      <c r="L1154" s="27">
        <v>110031.18090006155</v>
      </c>
      <c r="M1154" s="27">
        <v>223863.79796031862</v>
      </c>
    </row>
    <row r="1155" spans="1:13" x14ac:dyDescent="0.75">
      <c r="A1155" s="40">
        <v>1153</v>
      </c>
      <c r="B1155" s="27">
        <v>659.12774204161542</v>
      </c>
      <c r="C1155" s="27">
        <v>1187.0517683660146</v>
      </c>
      <c r="D1155" s="27">
        <v>2220.5325422981114</v>
      </c>
      <c r="E1155" s="27">
        <v>3208.6560472978017</v>
      </c>
      <c r="F1155" s="27">
        <v>5304.748140721902</v>
      </c>
      <c r="G1155" s="27">
        <v>7531.8570025820227</v>
      </c>
      <c r="H1155" s="27">
        <v>10709.577294532908</v>
      </c>
      <c r="I1155" s="27">
        <v>13883.884422528849</v>
      </c>
      <c r="J1155" s="27">
        <v>23651.572934905125</v>
      </c>
      <c r="K1155" s="27">
        <v>47258.574971676979</v>
      </c>
      <c r="L1155" s="27">
        <v>113277.63952793033</v>
      </c>
      <c r="M1155" s="27">
        <v>228893.22239488165</v>
      </c>
    </row>
    <row r="1156" spans="1:13" x14ac:dyDescent="0.75">
      <c r="A1156" s="40">
        <v>1154</v>
      </c>
      <c r="B1156" s="27">
        <v>751.24336625768046</v>
      </c>
      <c r="C1156" s="27">
        <v>1304.0990117699112</v>
      </c>
      <c r="D1156" s="27">
        <v>2163.2901489036012</v>
      </c>
      <c r="E1156" s="27">
        <v>3472.7729776411143</v>
      </c>
      <c r="F1156" s="27">
        <v>5572.5780475453066</v>
      </c>
      <c r="G1156" s="27">
        <v>8192.4530343289662</v>
      </c>
      <c r="H1156" s="27">
        <v>10644.639161619649</v>
      </c>
      <c r="I1156" s="27">
        <v>15770.485122561717</v>
      </c>
      <c r="J1156" s="27">
        <v>24243.908934846797</v>
      </c>
      <c r="K1156" s="27">
        <v>48236.175514568284</v>
      </c>
      <c r="L1156" s="27">
        <v>117123.10172839112</v>
      </c>
      <c r="M1156" s="27">
        <v>237474.74704843416</v>
      </c>
    </row>
    <row r="1157" spans="1:13" x14ac:dyDescent="0.75">
      <c r="A1157" s="40">
        <v>1155</v>
      </c>
      <c r="B1157" s="27">
        <v>894.53650159826793</v>
      </c>
      <c r="C1157" s="27">
        <v>1399.8528871084854</v>
      </c>
      <c r="D1157" s="27">
        <v>2195.0542850937054</v>
      </c>
      <c r="E1157" s="27">
        <v>3095.687018107943</v>
      </c>
      <c r="F1157" s="27">
        <v>5267.2004177064518</v>
      </c>
      <c r="G1157" s="27">
        <v>7511.1328585612937</v>
      </c>
      <c r="H1157" s="27">
        <v>9410.5452263854531</v>
      </c>
      <c r="I1157" s="27">
        <v>13619.016017831163</v>
      </c>
      <c r="J1157" s="27">
        <v>23160.77793406148</v>
      </c>
      <c r="K1157" s="27">
        <v>47301.385495592869</v>
      </c>
      <c r="L1157" s="27">
        <v>114451.04796877313</v>
      </c>
      <c r="M1157" s="27">
        <v>228306.23661082023</v>
      </c>
    </row>
    <row r="1158" spans="1:13" x14ac:dyDescent="0.75">
      <c r="A1158" s="40">
        <v>1156</v>
      </c>
      <c r="B1158" s="27">
        <v>705.86918629071442</v>
      </c>
      <c r="C1158" s="27">
        <v>1063.4163236915192</v>
      </c>
      <c r="D1158" s="27">
        <v>1553.7311407956295</v>
      </c>
      <c r="E1158" s="27">
        <v>2393.2794848040794</v>
      </c>
      <c r="F1158" s="27">
        <v>3899.3068543332047</v>
      </c>
      <c r="G1158" s="27">
        <v>6080.3515141859825</v>
      </c>
      <c r="H1158" s="27">
        <v>8389.5832661117893</v>
      </c>
      <c r="I1158" s="27">
        <v>12346.844174195779</v>
      </c>
      <c r="J1158" s="27">
        <v>22263.170554624012</v>
      </c>
      <c r="K1158" s="27">
        <v>45669.711414773745</v>
      </c>
      <c r="L1158" s="27">
        <v>108550.85132704838</v>
      </c>
      <c r="M1158" s="27">
        <v>212916.11524085485</v>
      </c>
    </row>
    <row r="1159" spans="1:13" x14ac:dyDescent="0.75">
      <c r="A1159" s="40">
        <v>1157</v>
      </c>
      <c r="B1159" s="27">
        <v>630.56746496789856</v>
      </c>
      <c r="C1159" s="27">
        <v>1128.5947400026635</v>
      </c>
      <c r="D1159" s="27">
        <v>2054.2382922950928</v>
      </c>
      <c r="E1159" s="27">
        <v>2947.0773559188092</v>
      </c>
      <c r="F1159" s="27">
        <v>4855.3671231966291</v>
      </c>
      <c r="G1159" s="27">
        <v>7162.8033494184492</v>
      </c>
      <c r="H1159" s="27">
        <v>9572.45774372702</v>
      </c>
      <c r="I1159" s="27">
        <v>13163.227986857819</v>
      </c>
      <c r="J1159" s="27">
        <v>22182.231925891247</v>
      </c>
      <c r="K1159" s="27">
        <v>44861.529578822199</v>
      </c>
      <c r="L1159" s="27">
        <v>110972.25844345975</v>
      </c>
      <c r="M1159" s="27">
        <v>219530.35400455759</v>
      </c>
    </row>
    <row r="1160" spans="1:13" x14ac:dyDescent="0.75">
      <c r="A1160" s="40">
        <v>1158</v>
      </c>
      <c r="B1160" s="27">
        <v>736.47037907598133</v>
      </c>
      <c r="C1160" s="27">
        <v>1187.9338758995582</v>
      </c>
      <c r="D1160" s="27">
        <v>1783.4969420216657</v>
      </c>
      <c r="E1160" s="27">
        <v>2904.4584126343107</v>
      </c>
      <c r="F1160" s="27">
        <v>4742.3748846362578</v>
      </c>
      <c r="G1160" s="27">
        <v>7132.9364624428272</v>
      </c>
      <c r="H1160" s="27">
        <v>9853.513994559602</v>
      </c>
      <c r="I1160" s="27">
        <v>12840.540838298301</v>
      </c>
      <c r="J1160" s="27">
        <v>21564.489472044617</v>
      </c>
      <c r="K1160" s="27">
        <v>47812.763321740596</v>
      </c>
      <c r="L1160" s="27">
        <v>108563.53722895107</v>
      </c>
      <c r="M1160" s="27">
        <v>219122.5158123048</v>
      </c>
    </row>
    <row r="1161" spans="1:13" x14ac:dyDescent="0.75">
      <c r="A1161" s="40">
        <v>1159</v>
      </c>
      <c r="B1161" s="27">
        <v>574.32082586172328</v>
      </c>
      <c r="C1161" s="27">
        <v>988.45561282352719</v>
      </c>
      <c r="D1161" s="27">
        <v>1835.1828936340316</v>
      </c>
      <c r="E1161" s="27">
        <v>3092.7563457598735</v>
      </c>
      <c r="F1161" s="27">
        <v>5135.09217723443</v>
      </c>
      <c r="G1161" s="27">
        <v>7339.8427008315048</v>
      </c>
      <c r="H1161" s="27">
        <v>9810.8939619599987</v>
      </c>
      <c r="I1161" s="27">
        <v>14272.950255433199</v>
      </c>
      <c r="J1161" s="27">
        <v>23836.910776389923</v>
      </c>
      <c r="K1161" s="27">
        <v>46558.810999592621</v>
      </c>
      <c r="L1161" s="27">
        <v>111815.24229283605</v>
      </c>
      <c r="M1161" s="27">
        <v>225260.45884235686</v>
      </c>
    </row>
    <row r="1162" spans="1:13" x14ac:dyDescent="0.75">
      <c r="A1162" s="40">
        <v>1160</v>
      </c>
      <c r="B1162" s="27">
        <v>1103.1027564768738</v>
      </c>
      <c r="C1162" s="27">
        <v>1754.2915850801801</v>
      </c>
      <c r="D1162" s="27">
        <v>2540.468749323205</v>
      </c>
      <c r="E1162" s="27">
        <v>3699.5094689431426</v>
      </c>
      <c r="F1162" s="27">
        <v>6077.8362877795589</v>
      </c>
      <c r="G1162" s="27">
        <v>8259.9647271597642</v>
      </c>
      <c r="H1162" s="27">
        <v>11019.638192222119</v>
      </c>
      <c r="I1162" s="27">
        <v>15088.501776933641</v>
      </c>
      <c r="J1162" s="27">
        <v>23797.232139264161</v>
      </c>
      <c r="K1162" s="27">
        <v>45463.243175020703</v>
      </c>
      <c r="L1162" s="27">
        <v>115318.22967834372</v>
      </c>
      <c r="M1162" s="27">
        <v>234122.01853654708</v>
      </c>
    </row>
    <row r="1163" spans="1:13" x14ac:dyDescent="0.75">
      <c r="A1163" s="40">
        <v>1161</v>
      </c>
      <c r="B1163" s="27">
        <v>559.00763233558973</v>
      </c>
      <c r="C1163" s="27">
        <v>877.22328371180629</v>
      </c>
      <c r="D1163" s="27">
        <v>1768.9199641533924</v>
      </c>
      <c r="E1163" s="27">
        <v>2691.2070070811751</v>
      </c>
      <c r="F1163" s="27">
        <v>4521.3012085118098</v>
      </c>
      <c r="G1163" s="27">
        <v>7050.8616165066487</v>
      </c>
      <c r="H1163" s="27">
        <v>9912.9954479899025</v>
      </c>
      <c r="I1163" s="27">
        <v>13600.505615149115</v>
      </c>
      <c r="J1163" s="27">
        <v>22210.629476515896</v>
      </c>
      <c r="K1163" s="27">
        <v>48003.503823300736</v>
      </c>
      <c r="L1163" s="27">
        <v>113257.95629089723</v>
      </c>
      <c r="M1163" s="27">
        <v>224454.11136615329</v>
      </c>
    </row>
    <row r="1164" spans="1:13" x14ac:dyDescent="0.75">
      <c r="A1164" s="40">
        <v>1162</v>
      </c>
      <c r="B1164" s="27">
        <v>1174.3576944364759</v>
      </c>
      <c r="C1164" s="27">
        <v>1789.5956251322204</v>
      </c>
      <c r="D1164" s="27">
        <v>2593.3805119030731</v>
      </c>
      <c r="E1164" s="27">
        <v>3606.4444434083853</v>
      </c>
      <c r="F1164" s="27">
        <v>5611.1644392556627</v>
      </c>
      <c r="G1164" s="27">
        <v>7809.468312247569</v>
      </c>
      <c r="H1164" s="27">
        <v>10501.988287772343</v>
      </c>
      <c r="I1164" s="27">
        <v>14444.501321481875</v>
      </c>
      <c r="J1164" s="27">
        <v>23412.991751244248</v>
      </c>
      <c r="K1164" s="27">
        <v>47256.7321470803</v>
      </c>
      <c r="L1164" s="27">
        <v>116428.9330949568</v>
      </c>
      <c r="M1164" s="27">
        <v>234629.55762891896</v>
      </c>
    </row>
    <row r="1165" spans="1:13" x14ac:dyDescent="0.75">
      <c r="A1165" s="40">
        <v>1163</v>
      </c>
      <c r="B1165" s="27">
        <v>631.09630965105316</v>
      </c>
      <c r="C1165" s="27">
        <v>1008.3264134277706</v>
      </c>
      <c r="D1165" s="27">
        <v>2063.8125416769326</v>
      </c>
      <c r="E1165" s="27">
        <v>3662.606931639195</v>
      </c>
      <c r="F1165" s="27">
        <v>5446.6352325536427</v>
      </c>
      <c r="G1165" s="27">
        <v>7630.9155198382214</v>
      </c>
      <c r="H1165" s="27">
        <v>10972.002146809245</v>
      </c>
      <c r="I1165" s="27">
        <v>14428.046093146273</v>
      </c>
      <c r="J1165" s="27">
        <v>23519.029864941476</v>
      </c>
      <c r="K1165" s="27">
        <v>47174.382286713575</v>
      </c>
      <c r="L1165" s="27">
        <v>110291.9228995122</v>
      </c>
      <c r="M1165" s="27">
        <v>226828.77623990958</v>
      </c>
    </row>
    <row r="1166" spans="1:13" x14ac:dyDescent="0.75">
      <c r="A1166" s="40">
        <v>1164</v>
      </c>
      <c r="B1166" s="27">
        <v>1066.3528068068117</v>
      </c>
      <c r="C1166" s="27">
        <v>1571.2539425169962</v>
      </c>
      <c r="D1166" s="27">
        <v>2530.8539349788189</v>
      </c>
      <c r="E1166" s="27">
        <v>3609.1943551062868</v>
      </c>
      <c r="F1166" s="27">
        <v>5649.7388089143351</v>
      </c>
      <c r="G1166" s="27">
        <v>8255.49698377811</v>
      </c>
      <c r="H1166" s="27">
        <v>11352.664055131958</v>
      </c>
      <c r="I1166" s="27">
        <v>15573.137300071787</v>
      </c>
      <c r="J1166" s="27">
        <v>24053.006436349693</v>
      </c>
      <c r="K1166" s="27">
        <v>48804.148472766101</v>
      </c>
      <c r="L1166" s="27">
        <v>118147.15967393127</v>
      </c>
      <c r="M1166" s="27">
        <v>240613.00677035216</v>
      </c>
    </row>
    <row r="1167" spans="1:13" x14ac:dyDescent="0.75">
      <c r="A1167" s="40">
        <v>1165</v>
      </c>
      <c r="B1167" s="27">
        <v>652.04301187189412</v>
      </c>
      <c r="C1167" s="27">
        <v>1113.6513273951568</v>
      </c>
      <c r="D1167" s="27">
        <v>1797.585974895992</v>
      </c>
      <c r="E1167" s="27">
        <v>2901.9369996313762</v>
      </c>
      <c r="F1167" s="27">
        <v>4754.4476289011363</v>
      </c>
      <c r="G1167" s="27">
        <v>7248.5582559121831</v>
      </c>
      <c r="H1167" s="27">
        <v>9671.9502679972793</v>
      </c>
      <c r="I1167" s="27">
        <v>13826.791399818147</v>
      </c>
      <c r="J1167" s="27">
        <v>22681.212202803756</v>
      </c>
      <c r="K1167" s="27">
        <v>45163.412387045537</v>
      </c>
      <c r="L1167" s="27">
        <v>108549.37799543155</v>
      </c>
      <c r="M1167" s="27">
        <v>218360.96745170403</v>
      </c>
    </row>
    <row r="1168" spans="1:13" x14ac:dyDescent="0.75">
      <c r="A1168" s="40">
        <v>1166</v>
      </c>
      <c r="B1168" s="27">
        <v>1264.3182297211461</v>
      </c>
      <c r="C1168" s="27">
        <v>1636.3469057750772</v>
      </c>
      <c r="D1168" s="27">
        <v>2674.9546657307656</v>
      </c>
      <c r="E1168" s="27">
        <v>3835.6309653231147</v>
      </c>
      <c r="F1168" s="27">
        <v>5829.9726396834012</v>
      </c>
      <c r="G1168" s="27">
        <v>8867.6194635353459</v>
      </c>
      <c r="H1168" s="27">
        <v>11419.643826456828</v>
      </c>
      <c r="I1168" s="27">
        <v>15215.235429588574</v>
      </c>
      <c r="J1168" s="27">
        <v>24570.325427072079</v>
      </c>
      <c r="K1168" s="27">
        <v>48573.746894662792</v>
      </c>
      <c r="L1168" s="27">
        <v>108230.12831427174</v>
      </c>
      <c r="M1168" s="27">
        <v>232117.92276182087</v>
      </c>
    </row>
    <row r="1169" spans="1:13" x14ac:dyDescent="0.75">
      <c r="A1169" s="40">
        <v>1167</v>
      </c>
      <c r="B1169" s="27">
        <v>1054.5695088008215</v>
      </c>
      <c r="C1169" s="27">
        <v>1350.1173178699974</v>
      </c>
      <c r="D1169" s="27">
        <v>2271.301888800881</v>
      </c>
      <c r="E1169" s="27">
        <v>3259.4146593513869</v>
      </c>
      <c r="F1169" s="27">
        <v>5251.3178496198088</v>
      </c>
      <c r="G1169" s="27">
        <v>7304.086044943484</v>
      </c>
      <c r="H1169" s="27">
        <v>9650.6962007682014</v>
      </c>
      <c r="I1169" s="27">
        <v>13551.916801871776</v>
      </c>
      <c r="J1169" s="27">
        <v>22287.570400666489</v>
      </c>
      <c r="K1169" s="27">
        <v>46400.670860909915</v>
      </c>
      <c r="L1169" s="27">
        <v>111951.06444661724</v>
      </c>
      <c r="M1169" s="27">
        <v>224332.72598022001</v>
      </c>
    </row>
    <row r="1170" spans="1:13" x14ac:dyDescent="0.75">
      <c r="A1170" s="40">
        <v>1168</v>
      </c>
      <c r="B1170" s="27">
        <v>1171.9778085494472</v>
      </c>
      <c r="C1170" s="27">
        <v>1638.5851602860348</v>
      </c>
      <c r="D1170" s="27">
        <v>2589.8937438796274</v>
      </c>
      <c r="E1170" s="27">
        <v>3260.3850867082947</v>
      </c>
      <c r="F1170" s="27">
        <v>5043.1865022080601</v>
      </c>
      <c r="G1170" s="27">
        <v>7451.8581281579391</v>
      </c>
      <c r="H1170" s="27">
        <v>10272.466298719926</v>
      </c>
      <c r="I1170" s="27">
        <v>13962.74446950265</v>
      </c>
      <c r="J1170" s="27">
        <v>22325.646092712734</v>
      </c>
      <c r="K1170" s="27">
        <v>46540.445168225473</v>
      </c>
      <c r="L1170" s="27">
        <v>121696.08365642959</v>
      </c>
      <c r="M1170" s="27">
        <v>235953.27211537978</v>
      </c>
    </row>
    <row r="1171" spans="1:13" x14ac:dyDescent="0.75">
      <c r="A1171" s="40">
        <v>1169</v>
      </c>
      <c r="B1171" s="27">
        <v>827.43229143576173</v>
      </c>
      <c r="C1171" s="27">
        <v>1311.6678099634591</v>
      </c>
      <c r="D1171" s="27">
        <v>2157.0143316107424</v>
      </c>
      <c r="E1171" s="27">
        <v>3125.1318297156686</v>
      </c>
      <c r="F1171" s="27">
        <v>5099.7632009848603</v>
      </c>
      <c r="G1171" s="27">
        <v>7466.8738138260378</v>
      </c>
      <c r="H1171" s="27">
        <v>10409.196722732711</v>
      </c>
      <c r="I1171" s="27">
        <v>14867.995799340235</v>
      </c>
      <c r="J1171" s="27">
        <v>24604.490234487515</v>
      </c>
      <c r="K1171" s="27">
        <v>46967.744445980468</v>
      </c>
      <c r="L1171" s="27">
        <v>116725.21125659293</v>
      </c>
      <c r="M1171" s="27">
        <v>233562.5217366704</v>
      </c>
    </row>
    <row r="1172" spans="1:13" x14ac:dyDescent="0.75">
      <c r="A1172" s="40">
        <v>1170</v>
      </c>
      <c r="B1172" s="27">
        <v>727.97988287229964</v>
      </c>
      <c r="C1172" s="27">
        <v>1148.4823784535693</v>
      </c>
      <c r="D1172" s="27">
        <v>1956.612031900353</v>
      </c>
      <c r="E1172" s="27">
        <v>2983.3129882973881</v>
      </c>
      <c r="F1172" s="27">
        <v>4683.7738139497524</v>
      </c>
      <c r="G1172" s="27">
        <v>7418.0654386225215</v>
      </c>
      <c r="H1172" s="27">
        <v>10118.724086105911</v>
      </c>
      <c r="I1172" s="27">
        <v>14496.559308890064</v>
      </c>
      <c r="J1172" s="27">
        <v>23553.210467028577</v>
      </c>
      <c r="K1172" s="27">
        <v>46258.504352894612</v>
      </c>
      <c r="L1172" s="27">
        <v>111437.51505363554</v>
      </c>
      <c r="M1172" s="27">
        <v>224782.73980265058</v>
      </c>
    </row>
    <row r="1173" spans="1:13" x14ac:dyDescent="0.75">
      <c r="A1173" s="40">
        <v>1171</v>
      </c>
      <c r="B1173" s="27">
        <v>487.45809178549098</v>
      </c>
      <c r="C1173" s="27">
        <v>908.62676636793185</v>
      </c>
      <c r="D1173" s="27">
        <v>1876.7018806212145</v>
      </c>
      <c r="E1173" s="27">
        <v>3428.1473313415481</v>
      </c>
      <c r="F1173" s="27">
        <v>5357.652365145972</v>
      </c>
      <c r="G1173" s="27">
        <v>7504.5726767388114</v>
      </c>
      <c r="H1173" s="27">
        <v>10463.742527425231</v>
      </c>
      <c r="I1173" s="27">
        <v>14378.664851575755</v>
      </c>
      <c r="J1173" s="27">
        <v>24458.529995663732</v>
      </c>
      <c r="K1173" s="27">
        <v>48050.48005234357</v>
      </c>
      <c r="L1173" s="27">
        <v>110049.79872531758</v>
      </c>
      <c r="M1173" s="27">
        <v>226964.37526432684</v>
      </c>
    </row>
    <row r="1174" spans="1:13" x14ac:dyDescent="0.75">
      <c r="A1174" s="40">
        <v>1172</v>
      </c>
      <c r="B1174" s="27">
        <v>493.11821620682895</v>
      </c>
      <c r="C1174" s="27">
        <v>1048.3379862440779</v>
      </c>
      <c r="D1174" s="27">
        <v>1704.2850012476702</v>
      </c>
      <c r="E1174" s="27">
        <v>2706.310082778713</v>
      </c>
      <c r="F1174" s="27">
        <v>4293.58809078591</v>
      </c>
      <c r="G1174" s="27">
        <v>6416.1191736573528</v>
      </c>
      <c r="H1174" s="27">
        <v>9406.6905992610846</v>
      </c>
      <c r="I1174" s="27">
        <v>14018.429717050603</v>
      </c>
      <c r="J1174" s="27">
        <v>22064.151842289779</v>
      </c>
      <c r="K1174" s="27">
        <v>46930.542648916977</v>
      </c>
      <c r="L1174" s="27">
        <v>113853.52247060453</v>
      </c>
      <c r="M1174" s="27">
        <v>222935.09582904354</v>
      </c>
    </row>
    <row r="1175" spans="1:13" x14ac:dyDescent="0.75">
      <c r="A1175" s="40">
        <v>1173</v>
      </c>
      <c r="B1175" s="27">
        <v>1287.582374127378</v>
      </c>
      <c r="C1175" s="27">
        <v>1542.7525082480279</v>
      </c>
      <c r="D1175" s="27">
        <v>2623.0685177175474</v>
      </c>
      <c r="E1175" s="27">
        <v>3591.5758635029633</v>
      </c>
      <c r="F1175" s="27">
        <v>5838.4830003619427</v>
      </c>
      <c r="G1175" s="27">
        <v>8464.4218871282064</v>
      </c>
      <c r="H1175" s="27">
        <v>10591.047104906043</v>
      </c>
      <c r="I1175" s="27">
        <v>14499.739296427957</v>
      </c>
      <c r="J1175" s="27">
        <v>23726.457105219917</v>
      </c>
      <c r="K1175" s="27">
        <v>47109.135087541334</v>
      </c>
      <c r="L1175" s="27">
        <v>107944.32515071523</v>
      </c>
      <c r="M1175" s="27">
        <v>227218.58789589655</v>
      </c>
    </row>
    <row r="1176" spans="1:13" x14ac:dyDescent="0.75">
      <c r="A1176" s="40">
        <v>1174</v>
      </c>
      <c r="B1176" s="27">
        <v>890.19711981753062</v>
      </c>
      <c r="C1176" s="27">
        <v>1594.1441115672205</v>
      </c>
      <c r="D1176" s="27">
        <v>2466.8630272170703</v>
      </c>
      <c r="E1176" s="27">
        <v>3838.5755626601749</v>
      </c>
      <c r="F1176" s="27">
        <v>5638.4998280949076</v>
      </c>
      <c r="G1176" s="27">
        <v>7663.3130135253014</v>
      </c>
      <c r="H1176" s="27">
        <v>10629.017699354299</v>
      </c>
      <c r="I1176" s="27">
        <v>14702.009125723504</v>
      </c>
      <c r="J1176" s="27">
        <v>22388.70360382623</v>
      </c>
      <c r="K1176" s="27">
        <v>46993.560132474973</v>
      </c>
      <c r="L1176" s="27">
        <v>109473.38813091238</v>
      </c>
      <c r="M1176" s="27">
        <v>226278.27135517361</v>
      </c>
    </row>
    <row r="1177" spans="1:13" x14ac:dyDescent="0.75">
      <c r="A1177" s="40">
        <v>1175</v>
      </c>
      <c r="B1177" s="27">
        <v>864.08287458735867</v>
      </c>
      <c r="C1177" s="27">
        <v>1591.5864544993819</v>
      </c>
      <c r="D1177" s="27">
        <v>2646.6035331357707</v>
      </c>
      <c r="E1177" s="27">
        <v>3815.3785960104578</v>
      </c>
      <c r="F1177" s="27">
        <v>5976.2928366492852</v>
      </c>
      <c r="G1177" s="27">
        <v>8567.9793353274581</v>
      </c>
      <c r="H1177" s="27">
        <v>11807.902021838498</v>
      </c>
      <c r="I1177" s="27">
        <v>15232.648672672862</v>
      </c>
      <c r="J1177" s="27">
        <v>24242.074001765664</v>
      </c>
      <c r="K1177" s="27">
        <v>50580.558363227989</v>
      </c>
      <c r="L1177" s="27">
        <v>119471.48403951174</v>
      </c>
      <c r="M1177" s="27">
        <v>244796.59072922647</v>
      </c>
    </row>
    <row r="1178" spans="1:13" x14ac:dyDescent="0.75">
      <c r="A1178" s="40">
        <v>1176</v>
      </c>
      <c r="B1178" s="27">
        <v>942.58557512699917</v>
      </c>
      <c r="C1178" s="27">
        <v>1291.2214632118412</v>
      </c>
      <c r="D1178" s="27">
        <v>2364.9828172785055</v>
      </c>
      <c r="E1178" s="27">
        <v>3871.0232892129134</v>
      </c>
      <c r="F1178" s="27">
        <v>6079.753380471433</v>
      </c>
      <c r="G1178" s="27">
        <v>7981.6767429108149</v>
      </c>
      <c r="H1178" s="27">
        <v>10708.854828252865</v>
      </c>
      <c r="I1178" s="27">
        <v>14590.234785491484</v>
      </c>
      <c r="J1178" s="27">
        <v>23491.654291500818</v>
      </c>
      <c r="K1178" s="27">
        <v>47372.607917399786</v>
      </c>
      <c r="L1178" s="27">
        <v>112232.11080831572</v>
      </c>
      <c r="M1178" s="27">
        <v>230926.70589917316</v>
      </c>
    </row>
    <row r="1179" spans="1:13" x14ac:dyDescent="0.75">
      <c r="A1179" s="40">
        <v>1177</v>
      </c>
      <c r="B1179" s="27">
        <v>624.38312823847809</v>
      </c>
      <c r="C1179" s="27">
        <v>1078.5138854075922</v>
      </c>
      <c r="D1179" s="27">
        <v>1662.8474380817497</v>
      </c>
      <c r="E1179" s="27">
        <v>2968.6391169538401</v>
      </c>
      <c r="F1179" s="27">
        <v>4948.4978969740478</v>
      </c>
      <c r="G1179" s="27">
        <v>7844.111501056148</v>
      </c>
      <c r="H1179" s="27">
        <v>10366.120316672692</v>
      </c>
      <c r="I1179" s="27">
        <v>14324.348193001089</v>
      </c>
      <c r="J1179" s="27">
        <v>21736.856076186115</v>
      </c>
      <c r="K1179" s="27">
        <v>45750.844688083569</v>
      </c>
      <c r="L1179" s="27">
        <v>102187.47094190971</v>
      </c>
      <c r="M1179" s="27">
        <v>213492.63318256504</v>
      </c>
    </row>
    <row r="1180" spans="1:13" x14ac:dyDescent="0.75">
      <c r="A1180" s="40">
        <v>1178</v>
      </c>
      <c r="B1180" s="27">
        <v>1152.8527698779071</v>
      </c>
      <c r="C1180" s="27">
        <v>1707.8767840028013</v>
      </c>
      <c r="D1180" s="27">
        <v>2683.1554066010431</v>
      </c>
      <c r="E1180" s="27">
        <v>4100.0151851791306</v>
      </c>
      <c r="F1180" s="27">
        <v>6033.6200165522168</v>
      </c>
      <c r="G1180" s="27">
        <v>8567.8015512395359</v>
      </c>
      <c r="H1180" s="27">
        <v>10466.784374897441</v>
      </c>
      <c r="I1180" s="27">
        <v>15702.924193623403</v>
      </c>
      <c r="J1180" s="27">
        <v>23783.87242045562</v>
      </c>
      <c r="K1180" s="27">
        <v>47955.724844897079</v>
      </c>
      <c r="L1180" s="27">
        <v>109620.43676622651</v>
      </c>
      <c r="M1180" s="27">
        <v>231775.06431355269</v>
      </c>
    </row>
    <row r="1181" spans="1:13" x14ac:dyDescent="0.75">
      <c r="A1181" s="40">
        <v>1179</v>
      </c>
      <c r="B1181" s="27">
        <v>1502.9854457664042</v>
      </c>
      <c r="C1181" s="27">
        <v>2200.5533866142796</v>
      </c>
      <c r="D1181" s="27">
        <v>3187.0801306359499</v>
      </c>
      <c r="E1181" s="27">
        <v>4318.6314590563707</v>
      </c>
      <c r="F1181" s="27">
        <v>6214.8294208242733</v>
      </c>
      <c r="G1181" s="27">
        <v>8435.4698500560189</v>
      </c>
      <c r="H1181" s="27">
        <v>10311.396120903082</v>
      </c>
      <c r="I1181" s="27">
        <v>15115.394938985002</v>
      </c>
      <c r="J1181" s="27">
        <v>23520.686475337803</v>
      </c>
      <c r="K1181" s="27">
        <v>48970.266981747962</v>
      </c>
      <c r="L1181" s="27">
        <v>110955.65214310389</v>
      </c>
      <c r="M1181" s="27">
        <v>234732.94635303103</v>
      </c>
    </row>
    <row r="1182" spans="1:13" x14ac:dyDescent="0.75">
      <c r="A1182" s="40">
        <v>1180</v>
      </c>
      <c r="B1182" s="27">
        <v>481.09143873761059</v>
      </c>
      <c r="C1182" s="27">
        <v>1083.8828829644481</v>
      </c>
      <c r="D1182" s="27">
        <v>1973.1136500841531</v>
      </c>
      <c r="E1182" s="27">
        <v>2918.3813018828077</v>
      </c>
      <c r="F1182" s="27">
        <v>4690.5223809930903</v>
      </c>
      <c r="G1182" s="27">
        <v>6835.3796738734527</v>
      </c>
      <c r="H1182" s="27">
        <v>9520.3178383662307</v>
      </c>
      <c r="I1182" s="27">
        <v>13435.212434661982</v>
      </c>
      <c r="J1182" s="27">
        <v>22254.846178256586</v>
      </c>
      <c r="K1182" s="27">
        <v>47515.683041349519</v>
      </c>
      <c r="L1182" s="27">
        <v>109795.44891208396</v>
      </c>
      <c r="M1182" s="27">
        <v>220503.87973325385</v>
      </c>
    </row>
    <row r="1183" spans="1:13" x14ac:dyDescent="0.75">
      <c r="A1183" s="40">
        <v>1181</v>
      </c>
      <c r="B1183" s="27">
        <v>951.06460873688047</v>
      </c>
      <c r="C1183" s="27">
        <v>1493.0498969404725</v>
      </c>
      <c r="D1183" s="27">
        <v>2748.0780319280166</v>
      </c>
      <c r="E1183" s="27">
        <v>3972.1198647606507</v>
      </c>
      <c r="F1183" s="27">
        <v>6090.9311684040003</v>
      </c>
      <c r="G1183" s="27">
        <v>8037.760764892475</v>
      </c>
      <c r="H1183" s="27">
        <v>10799.788374949072</v>
      </c>
      <c r="I1183" s="27">
        <v>14291.156730287039</v>
      </c>
      <c r="J1183" s="27">
        <v>23065.167833551444</v>
      </c>
      <c r="K1183" s="27">
        <v>49629.654849331753</v>
      </c>
      <c r="L1183" s="27">
        <v>102798.41115816019</v>
      </c>
      <c r="M1183" s="27">
        <v>223877.18328194198</v>
      </c>
    </row>
    <row r="1184" spans="1:13" x14ac:dyDescent="0.75">
      <c r="A1184" s="40">
        <v>1182</v>
      </c>
      <c r="B1184" s="27">
        <v>622.65571899489441</v>
      </c>
      <c r="C1184" s="27">
        <v>990.2491581546783</v>
      </c>
      <c r="D1184" s="27">
        <v>1821.3499700254615</v>
      </c>
      <c r="E1184" s="27">
        <v>2943.8847310685669</v>
      </c>
      <c r="F1184" s="27">
        <v>4952.5369310882816</v>
      </c>
      <c r="G1184" s="27">
        <v>7221.3455822510296</v>
      </c>
      <c r="H1184" s="27">
        <v>9757.2963758312399</v>
      </c>
      <c r="I1184" s="27">
        <v>14094.83596044367</v>
      </c>
      <c r="J1184" s="27">
        <v>23514.546331423189</v>
      </c>
      <c r="K1184" s="27">
        <v>46134.716756037349</v>
      </c>
      <c r="L1184" s="27">
        <v>111238.88649923372</v>
      </c>
      <c r="M1184" s="27">
        <v>223292.30401455209</v>
      </c>
    </row>
    <row r="1185" spans="1:13" x14ac:dyDescent="0.75">
      <c r="A1185" s="40">
        <v>1183</v>
      </c>
      <c r="B1185" s="27">
        <v>724.88375780376373</v>
      </c>
      <c r="C1185" s="27">
        <v>1251.7456342289515</v>
      </c>
      <c r="D1185" s="27">
        <v>2078.7515256736078</v>
      </c>
      <c r="E1185" s="27">
        <v>3039.7819422710454</v>
      </c>
      <c r="F1185" s="27">
        <v>4879.4391703913279</v>
      </c>
      <c r="G1185" s="27">
        <v>7242.5642212778039</v>
      </c>
      <c r="H1185" s="27">
        <v>9587.3453186472325</v>
      </c>
      <c r="I1185" s="27">
        <v>13918.986514714488</v>
      </c>
      <c r="J1185" s="27">
        <v>23141.070299256433</v>
      </c>
      <c r="K1185" s="27">
        <v>47444.700251869566</v>
      </c>
      <c r="L1185" s="27">
        <v>106027.39047129551</v>
      </c>
      <c r="M1185" s="27">
        <v>219336.65910742973</v>
      </c>
    </row>
    <row r="1186" spans="1:13" x14ac:dyDescent="0.75">
      <c r="A1186" s="40">
        <v>1184</v>
      </c>
      <c r="B1186" s="27">
        <v>800.19062581770413</v>
      </c>
      <c r="C1186" s="27">
        <v>1144.5704131973616</v>
      </c>
      <c r="D1186" s="27">
        <v>1892.8501350466831</v>
      </c>
      <c r="E1186" s="27">
        <v>2987.9157230814744</v>
      </c>
      <c r="F1186" s="27">
        <v>4820.7779435949051</v>
      </c>
      <c r="G1186" s="27">
        <v>7586.8796450964874</v>
      </c>
      <c r="H1186" s="27">
        <v>10681.915451366745</v>
      </c>
      <c r="I1186" s="27">
        <v>14598.930337264537</v>
      </c>
      <c r="J1186" s="27">
        <v>24025.001350089035</v>
      </c>
      <c r="K1186" s="27">
        <v>45430.625735465757</v>
      </c>
      <c r="L1186" s="27">
        <v>117721.53253373696</v>
      </c>
      <c r="M1186" s="27">
        <v>231691.18989375763</v>
      </c>
    </row>
    <row r="1187" spans="1:13" x14ac:dyDescent="0.75">
      <c r="A1187" s="40">
        <v>1185</v>
      </c>
      <c r="B1187" s="27">
        <v>783.2698035514768</v>
      </c>
      <c r="C1187" s="27">
        <v>1340.1401842762134</v>
      </c>
      <c r="D1187" s="27">
        <v>2076.8362831640843</v>
      </c>
      <c r="E1187" s="27">
        <v>3350.8315230622247</v>
      </c>
      <c r="F1187" s="27">
        <v>5263.6470253798179</v>
      </c>
      <c r="G1187" s="27">
        <v>7928.4478099903208</v>
      </c>
      <c r="H1187" s="27">
        <v>10721.926182272582</v>
      </c>
      <c r="I1187" s="27">
        <v>14411.527405037108</v>
      </c>
      <c r="J1187" s="27">
        <v>22789.529282730349</v>
      </c>
      <c r="K1187" s="27">
        <v>47947.712235437401</v>
      </c>
      <c r="L1187" s="27">
        <v>112544.41480861937</v>
      </c>
      <c r="M1187" s="27">
        <v>229158.28254352097</v>
      </c>
    </row>
    <row r="1188" spans="1:13" x14ac:dyDescent="0.75">
      <c r="A1188" s="40">
        <v>1186</v>
      </c>
      <c r="B1188" s="27">
        <v>1048.9608716748044</v>
      </c>
      <c r="C1188" s="27">
        <v>1424.3388425770972</v>
      </c>
      <c r="D1188" s="27">
        <v>2215.0828257494868</v>
      </c>
      <c r="E1188" s="27">
        <v>3576.6999817248143</v>
      </c>
      <c r="F1188" s="27">
        <v>5528.7669221338874</v>
      </c>
      <c r="G1188" s="27">
        <v>7653.6964301232947</v>
      </c>
      <c r="H1188" s="27">
        <v>9723.5114449522225</v>
      </c>
      <c r="I1188" s="27">
        <v>14149.657191761202</v>
      </c>
      <c r="J1188" s="27">
        <v>24458.107496263692</v>
      </c>
      <c r="K1188" s="27">
        <v>44661.187061258126</v>
      </c>
      <c r="L1188" s="27">
        <v>111524.70905336089</v>
      </c>
      <c r="M1188" s="27">
        <v>225964.7181215795</v>
      </c>
    </row>
    <row r="1189" spans="1:13" x14ac:dyDescent="0.75">
      <c r="A1189" s="40">
        <v>1187</v>
      </c>
      <c r="B1189" s="27">
        <v>864.91538140455668</v>
      </c>
      <c r="C1189" s="27">
        <v>1148.8810991912178</v>
      </c>
      <c r="D1189" s="27">
        <v>2106.2680633183918</v>
      </c>
      <c r="E1189" s="27">
        <v>3229.9268120532361</v>
      </c>
      <c r="F1189" s="27">
        <v>5119.7545175148407</v>
      </c>
      <c r="G1189" s="27">
        <v>7677.3361926882062</v>
      </c>
      <c r="H1189" s="27">
        <v>10232.265022723615</v>
      </c>
      <c r="I1189" s="27">
        <v>13940.21604357328</v>
      </c>
      <c r="J1189" s="27">
        <v>24406.707479955672</v>
      </c>
      <c r="K1189" s="27">
        <v>46315.059401395498</v>
      </c>
      <c r="L1189" s="27">
        <v>111817.15217287415</v>
      </c>
      <c r="M1189" s="27">
        <v>226858.48218669265</v>
      </c>
    </row>
    <row r="1190" spans="1:13" x14ac:dyDescent="0.75">
      <c r="A1190" s="40">
        <v>1188</v>
      </c>
      <c r="B1190" s="27">
        <v>797.65181239422236</v>
      </c>
      <c r="C1190" s="27">
        <v>1554.8385258586786</v>
      </c>
      <c r="D1190" s="27">
        <v>2722.7830700988707</v>
      </c>
      <c r="E1190" s="27">
        <v>3959.4772667682264</v>
      </c>
      <c r="F1190" s="27">
        <v>5810.9561989804788</v>
      </c>
      <c r="G1190" s="27">
        <v>8529.3605422302498</v>
      </c>
      <c r="H1190" s="27">
        <v>10640.758165110296</v>
      </c>
      <c r="I1190" s="27">
        <v>14251.018739942592</v>
      </c>
      <c r="J1190" s="27">
        <v>23072.039833731586</v>
      </c>
      <c r="K1190" s="27">
        <v>49779.219193469471</v>
      </c>
      <c r="L1190" s="27">
        <v>104565.4715284688</v>
      </c>
      <c r="M1190" s="27">
        <v>225683.57487705347</v>
      </c>
    </row>
    <row r="1191" spans="1:13" x14ac:dyDescent="0.75">
      <c r="A1191" s="40">
        <v>1189</v>
      </c>
      <c r="B1191" s="27">
        <v>973.29662547247426</v>
      </c>
      <c r="C1191" s="27">
        <v>1777.3986505509238</v>
      </c>
      <c r="D1191" s="27">
        <v>2556.9032049552188</v>
      </c>
      <c r="E1191" s="27">
        <v>4048.2751760931715</v>
      </c>
      <c r="F1191" s="27">
        <v>6061.1558034199988</v>
      </c>
      <c r="G1191" s="27">
        <v>8103.9195977611525</v>
      </c>
      <c r="H1191" s="27">
        <v>10838.653655447371</v>
      </c>
      <c r="I1191" s="27">
        <v>15402.471223214714</v>
      </c>
      <c r="J1191" s="27">
        <v>23121.54608983529</v>
      </c>
      <c r="K1191" s="27">
        <v>45095.282871966512</v>
      </c>
      <c r="L1191" s="27">
        <v>112781.56684308534</v>
      </c>
      <c r="M1191" s="27">
        <v>230760.46974180217</v>
      </c>
    </row>
    <row r="1192" spans="1:13" x14ac:dyDescent="0.75">
      <c r="A1192" s="40">
        <v>1190</v>
      </c>
      <c r="B1192" s="27">
        <v>1145.1486904365447</v>
      </c>
      <c r="C1192" s="27">
        <v>1433.9942395615508</v>
      </c>
      <c r="D1192" s="27">
        <v>2733.2621150285559</v>
      </c>
      <c r="E1192" s="27">
        <v>4024.1799811027013</v>
      </c>
      <c r="F1192" s="27">
        <v>5808.1983393927803</v>
      </c>
      <c r="G1192" s="27">
        <v>8400.2264657036576</v>
      </c>
      <c r="H1192" s="27">
        <v>10750.319104395647</v>
      </c>
      <c r="I1192" s="27">
        <v>14863.306557988879</v>
      </c>
      <c r="J1192" s="27">
        <v>22908.83784790372</v>
      </c>
      <c r="K1192" s="27">
        <v>48351.784883185523</v>
      </c>
      <c r="L1192" s="27">
        <v>103193.67270993255</v>
      </c>
      <c r="M1192" s="27">
        <v>223612.93093463211</v>
      </c>
    </row>
    <row r="1193" spans="1:13" x14ac:dyDescent="0.75">
      <c r="A1193" s="40">
        <v>1191</v>
      </c>
      <c r="B1193" s="27">
        <v>1322.2930011135904</v>
      </c>
      <c r="C1193" s="27">
        <v>1783.9783509967674</v>
      </c>
      <c r="D1193" s="27">
        <v>3017.6666513724922</v>
      </c>
      <c r="E1193" s="27">
        <v>3930.6249758223421</v>
      </c>
      <c r="F1193" s="27">
        <v>6301.5010619798559</v>
      </c>
      <c r="G1193" s="27">
        <v>8587.3734768673021</v>
      </c>
      <c r="H1193" s="27">
        <v>11007.685530377639</v>
      </c>
      <c r="I1193" s="27">
        <v>15010.288852453639</v>
      </c>
      <c r="J1193" s="27">
        <v>24172.637316635752</v>
      </c>
      <c r="K1193" s="27">
        <v>50325.316468570993</v>
      </c>
      <c r="L1193" s="27">
        <v>111402.54179840832</v>
      </c>
      <c r="M1193" s="27">
        <v>236861.90748459869</v>
      </c>
    </row>
    <row r="1194" spans="1:13" x14ac:dyDescent="0.75">
      <c r="A1194" s="40">
        <v>1192</v>
      </c>
      <c r="B1194" s="27">
        <v>1117.8653926548141</v>
      </c>
      <c r="C1194" s="27">
        <v>1590.838574477486</v>
      </c>
      <c r="D1194" s="27">
        <v>2406.9653580888262</v>
      </c>
      <c r="E1194" s="27">
        <v>3593.6604245277413</v>
      </c>
      <c r="F1194" s="27">
        <v>5552.0000428528292</v>
      </c>
      <c r="G1194" s="27">
        <v>7509.5979155069508</v>
      </c>
      <c r="H1194" s="27">
        <v>10210.971165737603</v>
      </c>
      <c r="I1194" s="27">
        <v>14371.165145661464</v>
      </c>
      <c r="J1194" s="27">
        <v>22790.283398237894</v>
      </c>
      <c r="K1194" s="27">
        <v>48474.536780898401</v>
      </c>
      <c r="L1194" s="27">
        <v>111332.14451810054</v>
      </c>
      <c r="M1194" s="27">
        <v>228950.02871674456</v>
      </c>
    </row>
    <row r="1195" spans="1:13" x14ac:dyDescent="0.75">
      <c r="A1195" s="40">
        <v>1193</v>
      </c>
      <c r="B1195" s="27">
        <v>689.37187550633098</v>
      </c>
      <c r="C1195" s="27">
        <v>922.86217317711271</v>
      </c>
      <c r="D1195" s="27">
        <v>1779.0978817365831</v>
      </c>
      <c r="E1195" s="27">
        <v>2836.1276873117458</v>
      </c>
      <c r="F1195" s="27">
        <v>4334.4327959266666</v>
      </c>
      <c r="G1195" s="27">
        <v>6448.9443409751693</v>
      </c>
      <c r="H1195" s="27">
        <v>9256.5520985602925</v>
      </c>
      <c r="I1195" s="27">
        <v>12663.26223858133</v>
      </c>
      <c r="J1195" s="27">
        <v>21474.334225130384</v>
      </c>
      <c r="K1195" s="27">
        <v>44156.766515244744</v>
      </c>
      <c r="L1195" s="27">
        <v>105611.99123098305</v>
      </c>
      <c r="M1195" s="27">
        <v>210173.74306313341</v>
      </c>
    </row>
    <row r="1196" spans="1:13" x14ac:dyDescent="0.75">
      <c r="A1196" s="40">
        <v>1194</v>
      </c>
      <c r="B1196" s="27">
        <v>276.05584923810966</v>
      </c>
      <c r="C1196" s="27">
        <v>1127.5977762709372</v>
      </c>
      <c r="D1196" s="27">
        <v>1750.7142192725732</v>
      </c>
      <c r="E1196" s="27">
        <v>2981.5951538181253</v>
      </c>
      <c r="F1196" s="27">
        <v>4799.4072066764929</v>
      </c>
      <c r="G1196" s="27">
        <v>7036.9443614787888</v>
      </c>
      <c r="H1196" s="27">
        <v>9677.1068974842783</v>
      </c>
      <c r="I1196" s="27">
        <v>13049.142080773498</v>
      </c>
      <c r="J1196" s="27">
        <v>21449.031246766157</v>
      </c>
      <c r="K1196" s="27">
        <v>45626.199597009807</v>
      </c>
      <c r="L1196" s="27">
        <v>119589.60374695683</v>
      </c>
      <c r="M1196" s="27">
        <v>227363.39813574561</v>
      </c>
    </row>
    <row r="1197" spans="1:13" x14ac:dyDescent="0.75">
      <c r="A1197" s="40">
        <v>1195</v>
      </c>
      <c r="B1197" s="27">
        <v>791.8736743851623</v>
      </c>
      <c r="C1197" s="27">
        <v>1464.543853804862</v>
      </c>
      <c r="D1197" s="27">
        <v>2333.2642598254897</v>
      </c>
      <c r="E1197" s="27">
        <v>3405.0043827790505</v>
      </c>
      <c r="F1197" s="27">
        <v>5355.0140012304473</v>
      </c>
      <c r="G1197" s="27">
        <v>7679.8585212061007</v>
      </c>
      <c r="H1197" s="27">
        <v>9928.4440748243651</v>
      </c>
      <c r="I1197" s="27">
        <v>13902.359644354292</v>
      </c>
      <c r="J1197" s="27">
        <v>23125.853691448836</v>
      </c>
      <c r="K1197" s="27">
        <v>45925.659506602547</v>
      </c>
      <c r="L1197" s="27">
        <v>116131.23183490141</v>
      </c>
      <c r="M1197" s="27">
        <v>230043.10744536255</v>
      </c>
    </row>
    <row r="1198" spans="1:13" x14ac:dyDescent="0.75">
      <c r="A1198" s="40">
        <v>1196</v>
      </c>
      <c r="B1198" s="27">
        <v>706.16245533143228</v>
      </c>
      <c r="C1198" s="27">
        <v>1088.4305597971834</v>
      </c>
      <c r="D1198" s="27">
        <v>2073.3351620899048</v>
      </c>
      <c r="E1198" s="27">
        <v>3191.9657163710071</v>
      </c>
      <c r="F1198" s="27">
        <v>5595.8088367467863</v>
      </c>
      <c r="G1198" s="27">
        <v>7686.059251683706</v>
      </c>
      <c r="H1198" s="27">
        <v>10816.27575170307</v>
      </c>
      <c r="I1198" s="27">
        <v>15100.711609220263</v>
      </c>
      <c r="J1198" s="27">
        <v>24405.182651803465</v>
      </c>
      <c r="K1198" s="27">
        <v>46102.541932371882</v>
      </c>
      <c r="L1198" s="27">
        <v>115541.68644020372</v>
      </c>
      <c r="M1198" s="27">
        <v>232308.16036732242</v>
      </c>
    </row>
    <row r="1199" spans="1:13" x14ac:dyDescent="0.75">
      <c r="A1199" s="40">
        <v>1197</v>
      </c>
      <c r="B1199" s="27">
        <v>633.06257592377369</v>
      </c>
      <c r="C1199" s="27">
        <v>1297.2071522611077</v>
      </c>
      <c r="D1199" s="27">
        <v>2161.60033504694</v>
      </c>
      <c r="E1199" s="27">
        <v>3257.3807594900136</v>
      </c>
      <c r="F1199" s="27">
        <v>5534.7061668543029</v>
      </c>
      <c r="G1199" s="27">
        <v>7915.8019599299878</v>
      </c>
      <c r="H1199" s="27">
        <v>10679.339479717106</v>
      </c>
      <c r="I1199" s="27">
        <v>13827.319920405731</v>
      </c>
      <c r="J1199" s="27">
        <v>22410.072941701001</v>
      </c>
      <c r="K1199" s="27">
        <v>46878.249165615212</v>
      </c>
      <c r="L1199" s="27">
        <v>115866.13767200107</v>
      </c>
      <c r="M1199" s="27">
        <v>230460.87812894623</v>
      </c>
    </row>
    <row r="1200" spans="1:13" x14ac:dyDescent="0.75">
      <c r="A1200" s="40">
        <v>1198</v>
      </c>
      <c r="B1200" s="27">
        <v>1125.8377268252079</v>
      </c>
      <c r="C1200" s="27">
        <v>1697.6354152927815</v>
      </c>
      <c r="D1200" s="27">
        <v>2653.3342429885961</v>
      </c>
      <c r="E1200" s="27">
        <v>3916.5163508968835</v>
      </c>
      <c r="F1200" s="27">
        <v>5622.9862338360545</v>
      </c>
      <c r="G1200" s="27">
        <v>7991.8120042657829</v>
      </c>
      <c r="H1200" s="27">
        <v>10873.6116294276</v>
      </c>
      <c r="I1200" s="27">
        <v>15261.552109933589</v>
      </c>
      <c r="J1200" s="27">
        <v>24946.958416316033</v>
      </c>
      <c r="K1200" s="27">
        <v>49710.887058234541</v>
      </c>
      <c r="L1200" s="27">
        <v>116468.25576077451</v>
      </c>
      <c r="M1200" s="27">
        <v>240269.38694879157</v>
      </c>
    </row>
    <row r="1201" spans="1:13" x14ac:dyDescent="0.75">
      <c r="A1201" s="40">
        <v>1199</v>
      </c>
      <c r="B1201" s="27">
        <v>524.42652833407919</v>
      </c>
      <c r="C1201" s="27">
        <v>1042.6360222856893</v>
      </c>
      <c r="D1201" s="27">
        <v>1856.8773253614345</v>
      </c>
      <c r="E1201" s="27">
        <v>2852.0539113906416</v>
      </c>
      <c r="F1201" s="27">
        <v>5153.4470887152711</v>
      </c>
      <c r="G1201" s="27">
        <v>7375.6225747371791</v>
      </c>
      <c r="H1201" s="27">
        <v>9830.3864744423481</v>
      </c>
      <c r="I1201" s="27">
        <v>14373.367742019109</v>
      </c>
      <c r="J1201" s="27">
        <v>23227.504507543432</v>
      </c>
      <c r="K1201" s="27">
        <v>45038.35988504329</v>
      </c>
      <c r="L1201" s="27">
        <v>114201.35429121905</v>
      </c>
      <c r="M1201" s="27">
        <v>225476.03635109152</v>
      </c>
    </row>
    <row r="1202" spans="1:13" x14ac:dyDescent="0.75">
      <c r="A1202" s="40">
        <v>1200</v>
      </c>
      <c r="B1202" s="27">
        <v>728.28989353284123</v>
      </c>
      <c r="C1202" s="27">
        <v>870.82385186775355</v>
      </c>
      <c r="D1202" s="27">
        <v>1794.2608256900567</v>
      </c>
      <c r="E1202" s="27">
        <v>2849.8351389503514</v>
      </c>
      <c r="F1202" s="27">
        <v>4394.2808882258541</v>
      </c>
      <c r="G1202" s="27">
        <v>7051.2780006515677</v>
      </c>
      <c r="H1202" s="27">
        <v>9371.0350173119223</v>
      </c>
      <c r="I1202" s="27">
        <v>12856.424009779512</v>
      </c>
      <c r="J1202" s="27">
        <v>22563.918724853502</v>
      </c>
      <c r="K1202" s="27">
        <v>41801.493611436526</v>
      </c>
      <c r="L1202" s="27">
        <v>107053.96019402644</v>
      </c>
      <c r="M1202" s="27">
        <v>211335.60015632631</v>
      </c>
    </row>
    <row r="1203" spans="1:13" x14ac:dyDescent="0.75">
      <c r="A1203" s="40">
        <v>1201</v>
      </c>
      <c r="B1203" s="27">
        <v>562.07123285620764</v>
      </c>
      <c r="C1203" s="27">
        <v>937.32994329590292</v>
      </c>
      <c r="D1203" s="27">
        <v>1790.8345128514193</v>
      </c>
      <c r="E1203" s="27">
        <v>3078.5411646809662</v>
      </c>
      <c r="F1203" s="27">
        <v>4922.5735237027402</v>
      </c>
      <c r="G1203" s="27">
        <v>7441.8370931654063</v>
      </c>
      <c r="H1203" s="27">
        <v>9849.5906560708972</v>
      </c>
      <c r="I1203" s="27">
        <v>14213.437642738849</v>
      </c>
      <c r="J1203" s="27">
        <v>22773.104919676465</v>
      </c>
      <c r="K1203" s="27">
        <v>45699.632417318033</v>
      </c>
      <c r="L1203" s="27">
        <v>112724.74763681101</v>
      </c>
      <c r="M1203" s="27">
        <v>223993.70074316789</v>
      </c>
    </row>
    <row r="1204" spans="1:13" x14ac:dyDescent="0.75">
      <c r="A1204" s="40">
        <v>1202</v>
      </c>
      <c r="B1204" s="27">
        <v>1217.8482640611473</v>
      </c>
      <c r="C1204" s="27">
        <v>1985.4959344237868</v>
      </c>
      <c r="D1204" s="27">
        <v>2995.6562835710065</v>
      </c>
      <c r="E1204" s="27">
        <v>4236.5420985508681</v>
      </c>
      <c r="F1204" s="27">
        <v>6513.7065034642292</v>
      </c>
      <c r="G1204" s="27">
        <v>8568.1396771660657</v>
      </c>
      <c r="H1204" s="27">
        <v>11811.596169604571</v>
      </c>
      <c r="I1204" s="27">
        <v>15522.814399215116</v>
      </c>
      <c r="J1204" s="27">
        <v>23922.51122790901</v>
      </c>
      <c r="K1204" s="27">
        <v>49270.62299881925</v>
      </c>
      <c r="L1204" s="27">
        <v>118128.93092814588</v>
      </c>
      <c r="M1204" s="27">
        <v>244173.86448493093</v>
      </c>
    </row>
    <row r="1205" spans="1:13" x14ac:dyDescent="0.75">
      <c r="A1205" s="40">
        <v>1203</v>
      </c>
      <c r="B1205" s="27">
        <v>1094.4338512114482</v>
      </c>
      <c r="C1205" s="27">
        <v>1781.2842968204932</v>
      </c>
      <c r="D1205" s="27">
        <v>2403.6370650840545</v>
      </c>
      <c r="E1205" s="27">
        <v>3825.8830238884984</v>
      </c>
      <c r="F1205" s="27">
        <v>5355.5576877829735</v>
      </c>
      <c r="G1205" s="27">
        <v>7727.9824699858436</v>
      </c>
      <c r="H1205" s="27">
        <v>9932.4316617807344</v>
      </c>
      <c r="I1205" s="27">
        <v>14484.202800362778</v>
      </c>
      <c r="J1205" s="27">
        <v>23714.049931530928</v>
      </c>
      <c r="K1205" s="27">
        <v>46394.679429511147</v>
      </c>
      <c r="L1205" s="27">
        <v>111332.89590864407</v>
      </c>
      <c r="M1205" s="27">
        <v>228047.03812660297</v>
      </c>
    </row>
    <row r="1206" spans="1:13" x14ac:dyDescent="0.75">
      <c r="A1206" s="40">
        <v>1204</v>
      </c>
      <c r="B1206" s="27">
        <v>537.80569980970176</v>
      </c>
      <c r="C1206" s="27">
        <v>998.12474212459347</v>
      </c>
      <c r="D1206" s="27">
        <v>1660.0212088864209</v>
      </c>
      <c r="E1206" s="27">
        <v>2689.4527757622564</v>
      </c>
      <c r="F1206" s="27">
        <v>4758.9848332234542</v>
      </c>
      <c r="G1206" s="27">
        <v>7026.1570509578742</v>
      </c>
      <c r="H1206" s="27">
        <v>9645.3043925045931</v>
      </c>
      <c r="I1206" s="27">
        <v>14201.920223579262</v>
      </c>
      <c r="J1206" s="27">
        <v>23642.664456429658</v>
      </c>
      <c r="K1206" s="27">
        <v>48380.818579827406</v>
      </c>
      <c r="L1206" s="27">
        <v>106323.86880603308</v>
      </c>
      <c r="M1206" s="27">
        <v>219865.12276913831</v>
      </c>
    </row>
    <row r="1207" spans="1:13" x14ac:dyDescent="0.75">
      <c r="A1207" s="40">
        <v>1205</v>
      </c>
      <c r="B1207" s="27">
        <v>213.22848576035176</v>
      </c>
      <c r="C1207" s="27">
        <v>877.43443776579807</v>
      </c>
      <c r="D1207" s="27">
        <v>1701.3800620604452</v>
      </c>
      <c r="E1207" s="27">
        <v>2999.2317011254199</v>
      </c>
      <c r="F1207" s="27">
        <v>5101.1376854682167</v>
      </c>
      <c r="G1207" s="27">
        <v>7069.4556016877468</v>
      </c>
      <c r="H1207" s="27">
        <v>10049.912665694545</v>
      </c>
      <c r="I1207" s="27">
        <v>14430.641613612344</v>
      </c>
      <c r="J1207" s="27">
        <v>23160.263592593416</v>
      </c>
      <c r="K1207" s="27">
        <v>46138.288506956218</v>
      </c>
      <c r="L1207" s="27">
        <v>106704.7910448917</v>
      </c>
      <c r="M1207" s="27">
        <v>218445.7653976162</v>
      </c>
    </row>
    <row r="1208" spans="1:13" x14ac:dyDescent="0.75">
      <c r="A1208" s="40">
        <v>1206</v>
      </c>
      <c r="B1208" s="27">
        <v>1211.8338301940676</v>
      </c>
      <c r="C1208" s="27">
        <v>1962.5328328171308</v>
      </c>
      <c r="D1208" s="27">
        <v>2681.6132473062025</v>
      </c>
      <c r="E1208" s="27">
        <v>3831.5312432346691</v>
      </c>
      <c r="F1208" s="27">
        <v>6416.7215273397451</v>
      </c>
      <c r="G1208" s="27">
        <v>8353.6462316337856</v>
      </c>
      <c r="H1208" s="27">
        <v>10960.484384790296</v>
      </c>
      <c r="I1208" s="27">
        <v>14671.269241761009</v>
      </c>
      <c r="J1208" s="27">
        <v>22760.67406751524</v>
      </c>
      <c r="K1208" s="27">
        <v>45494.981076231023</v>
      </c>
      <c r="L1208" s="27">
        <v>111749.92983141732</v>
      </c>
      <c r="M1208" s="27">
        <v>230095.21751424047</v>
      </c>
    </row>
    <row r="1209" spans="1:13" x14ac:dyDescent="0.75">
      <c r="A1209" s="40">
        <v>1207</v>
      </c>
      <c r="B1209" s="27">
        <v>632.09648836406996</v>
      </c>
      <c r="C1209" s="27">
        <v>881.43681305089558</v>
      </c>
      <c r="D1209" s="27">
        <v>1761.2728481265367</v>
      </c>
      <c r="E1209" s="27">
        <v>2655.6192437632126</v>
      </c>
      <c r="F1209" s="27">
        <v>4402.0880325362086</v>
      </c>
      <c r="G1209" s="27">
        <v>6347.4157254196471</v>
      </c>
      <c r="H1209" s="27">
        <v>9291.5524806060857</v>
      </c>
      <c r="I1209" s="27">
        <v>13511.980351509381</v>
      </c>
      <c r="J1209" s="27">
        <v>22430.511848860478</v>
      </c>
      <c r="K1209" s="27">
        <v>44396.156912987295</v>
      </c>
      <c r="L1209" s="27">
        <v>113047.43405282719</v>
      </c>
      <c r="M1209" s="27">
        <v>219357.564798051</v>
      </c>
    </row>
    <row r="1210" spans="1:13" x14ac:dyDescent="0.75">
      <c r="A1210" s="40">
        <v>1208</v>
      </c>
      <c r="B1210" s="27">
        <v>683.24134062437224</v>
      </c>
      <c r="C1210" s="27">
        <v>820.20232304379169</v>
      </c>
      <c r="D1210" s="27">
        <v>1720.2852622167411</v>
      </c>
      <c r="E1210" s="27">
        <v>3138.7071265336126</v>
      </c>
      <c r="F1210" s="27">
        <v>5045.014830304819</v>
      </c>
      <c r="G1210" s="27">
        <v>7285.8028724659816</v>
      </c>
      <c r="H1210" s="27">
        <v>10561.642846100411</v>
      </c>
      <c r="I1210" s="27">
        <v>13952.92461349869</v>
      </c>
      <c r="J1210" s="27">
        <v>22943.693587950766</v>
      </c>
      <c r="K1210" s="27">
        <v>45892.610985450825</v>
      </c>
      <c r="L1210" s="27">
        <v>110661.39905452539</v>
      </c>
      <c r="M1210" s="27">
        <v>222705.52484271541</v>
      </c>
    </row>
    <row r="1211" spans="1:13" x14ac:dyDescent="0.75">
      <c r="A1211" s="40">
        <v>1209</v>
      </c>
      <c r="B1211" s="27">
        <v>494.56993711553514</v>
      </c>
      <c r="C1211" s="27">
        <v>1125.9069925723452</v>
      </c>
      <c r="D1211" s="27">
        <v>2146.8304006813123</v>
      </c>
      <c r="E1211" s="27">
        <v>2885.1459203117556</v>
      </c>
      <c r="F1211" s="27">
        <v>4847.8088874213281</v>
      </c>
      <c r="G1211" s="27">
        <v>7486.8602270162373</v>
      </c>
      <c r="H1211" s="27">
        <v>10431.912868131796</v>
      </c>
      <c r="I1211" s="27">
        <v>14226.754637770398</v>
      </c>
      <c r="J1211" s="27">
        <v>24009.643863487043</v>
      </c>
      <c r="K1211" s="27">
        <v>46615.206491052406</v>
      </c>
      <c r="L1211" s="27">
        <v>110002.28670907731</v>
      </c>
      <c r="M1211" s="27">
        <v>224272.92693463748</v>
      </c>
    </row>
    <row r="1212" spans="1:13" x14ac:dyDescent="0.75">
      <c r="A1212" s="40">
        <v>1210</v>
      </c>
      <c r="B1212" s="27">
        <v>741.88161096833937</v>
      </c>
      <c r="C1212" s="27">
        <v>1128.0276764367009</v>
      </c>
      <c r="D1212" s="27">
        <v>2333.3435465779912</v>
      </c>
      <c r="E1212" s="27">
        <v>3592.870566956728</v>
      </c>
      <c r="F1212" s="27">
        <v>5627.0385967803013</v>
      </c>
      <c r="G1212" s="27">
        <v>7683.8605240069446</v>
      </c>
      <c r="H1212" s="27">
        <v>10260.421350105084</v>
      </c>
      <c r="I1212" s="27">
        <v>14765.692396571336</v>
      </c>
      <c r="J1212" s="27">
        <v>23716.985072688782</v>
      </c>
      <c r="K1212" s="27">
        <v>47520.094776212703</v>
      </c>
      <c r="L1212" s="27">
        <v>110071.62036735316</v>
      </c>
      <c r="M1212" s="27">
        <v>227441.83648465807</v>
      </c>
    </row>
    <row r="1213" spans="1:13" x14ac:dyDescent="0.75">
      <c r="A1213" s="40">
        <v>1211</v>
      </c>
      <c r="B1213" s="27">
        <v>1058.4623877635604</v>
      </c>
      <c r="C1213" s="27">
        <v>1975.6354182648065</v>
      </c>
      <c r="D1213" s="27">
        <v>2994.3608263916103</v>
      </c>
      <c r="E1213" s="27">
        <v>4245.3952091047395</v>
      </c>
      <c r="F1213" s="27">
        <v>6310.7491768611071</v>
      </c>
      <c r="G1213" s="27">
        <v>8470.8974528787367</v>
      </c>
      <c r="H1213" s="27">
        <v>11561.238074117355</v>
      </c>
      <c r="I1213" s="27">
        <v>16561.901458827037</v>
      </c>
      <c r="J1213" s="27">
        <v>24687.794720331061</v>
      </c>
      <c r="K1213" s="27">
        <v>49333.859779424689</v>
      </c>
      <c r="L1213" s="27">
        <v>109705.93361972157</v>
      </c>
      <c r="M1213" s="27">
        <v>236906.22812368628</v>
      </c>
    </row>
    <row r="1214" spans="1:13" x14ac:dyDescent="0.75">
      <c r="A1214" s="40">
        <v>1212</v>
      </c>
      <c r="B1214" s="27">
        <v>1150.3859686969809</v>
      </c>
      <c r="C1214" s="27">
        <v>1536.3906312386534</v>
      </c>
      <c r="D1214" s="27">
        <v>2874.047931768393</v>
      </c>
      <c r="E1214" s="27">
        <v>3912.2309295433661</v>
      </c>
      <c r="F1214" s="27">
        <v>5847.2068354684452</v>
      </c>
      <c r="G1214" s="27">
        <v>8080.749281373719</v>
      </c>
      <c r="H1214" s="27">
        <v>10234.734411207275</v>
      </c>
      <c r="I1214" s="27">
        <v>14094.7569893451</v>
      </c>
      <c r="J1214" s="27">
        <v>23088.725467487282</v>
      </c>
      <c r="K1214" s="27">
        <v>47430.446676618201</v>
      </c>
      <c r="L1214" s="27">
        <v>108080.73623515986</v>
      </c>
      <c r="M1214" s="27">
        <v>226330.41135790729</v>
      </c>
    </row>
    <row r="1215" spans="1:13" x14ac:dyDescent="0.75">
      <c r="A1215" s="40">
        <v>1213</v>
      </c>
      <c r="B1215" s="27">
        <v>378.58877915619814</v>
      </c>
      <c r="C1215" s="27">
        <v>714.48778339353157</v>
      </c>
      <c r="D1215" s="27">
        <v>1247.324223757867</v>
      </c>
      <c r="E1215" s="27">
        <v>2494.4203417198587</v>
      </c>
      <c r="F1215" s="27">
        <v>4372.1260272203945</v>
      </c>
      <c r="G1215" s="27">
        <v>6254.8196927036333</v>
      </c>
      <c r="H1215" s="27">
        <v>9791.6889371376601</v>
      </c>
      <c r="I1215" s="27">
        <v>13949.626669147983</v>
      </c>
      <c r="J1215" s="27">
        <v>22387.09571957044</v>
      </c>
      <c r="K1215" s="27">
        <v>45377.33492232248</v>
      </c>
      <c r="L1215" s="27">
        <v>113657.71520252047</v>
      </c>
      <c r="M1215" s="27">
        <v>220625.22829865053</v>
      </c>
    </row>
    <row r="1216" spans="1:13" x14ac:dyDescent="0.75">
      <c r="A1216" s="40">
        <v>1214</v>
      </c>
      <c r="B1216" s="27">
        <v>470.55850575731893</v>
      </c>
      <c r="C1216" s="27">
        <v>1282.9042747053027</v>
      </c>
      <c r="D1216" s="27">
        <v>2065.1155822373694</v>
      </c>
      <c r="E1216" s="27">
        <v>2923.7424824098707</v>
      </c>
      <c r="F1216" s="27">
        <v>4972.0518211669405</v>
      </c>
      <c r="G1216" s="27">
        <v>7338.3424928916793</v>
      </c>
      <c r="H1216" s="27">
        <v>9938.1454957358219</v>
      </c>
      <c r="I1216" s="27">
        <v>13617.627777973656</v>
      </c>
      <c r="J1216" s="27">
        <v>22098.282950655062</v>
      </c>
      <c r="K1216" s="27">
        <v>46871.43688372281</v>
      </c>
      <c r="L1216" s="27">
        <v>106152.31488172407</v>
      </c>
      <c r="M1216" s="27">
        <v>217730.5231489799</v>
      </c>
    </row>
    <row r="1217" spans="1:13" x14ac:dyDescent="0.75">
      <c r="A1217" s="40">
        <v>1215</v>
      </c>
      <c r="B1217" s="27">
        <v>463.20656503217469</v>
      </c>
      <c r="C1217" s="27">
        <v>910.73257034906419</v>
      </c>
      <c r="D1217" s="27">
        <v>1809.3027698525257</v>
      </c>
      <c r="E1217" s="27">
        <v>2567.0059025475784</v>
      </c>
      <c r="F1217" s="27">
        <v>4560.0457296349341</v>
      </c>
      <c r="G1217" s="27">
        <v>6503.5392182753421</v>
      </c>
      <c r="H1217" s="27">
        <v>9724.7161258885462</v>
      </c>
      <c r="I1217" s="27">
        <v>12777.71782078965</v>
      </c>
      <c r="J1217" s="27">
        <v>23767.39752950336</v>
      </c>
      <c r="K1217" s="27">
        <v>47898.366218157142</v>
      </c>
      <c r="L1217" s="27">
        <v>109163.21327294526</v>
      </c>
      <c r="M1217" s="27">
        <v>220145.24372297557</v>
      </c>
    </row>
    <row r="1218" spans="1:13" x14ac:dyDescent="0.75">
      <c r="A1218" s="40">
        <v>1216</v>
      </c>
      <c r="B1218" s="27">
        <v>572.77374337472429</v>
      </c>
      <c r="C1218" s="27">
        <v>1002.2541496093036</v>
      </c>
      <c r="D1218" s="27">
        <v>2110.9248463195836</v>
      </c>
      <c r="E1218" s="27">
        <v>3204.1096486761817</v>
      </c>
      <c r="F1218" s="27">
        <v>5519.8768576578295</v>
      </c>
      <c r="G1218" s="27">
        <v>7956.100696192676</v>
      </c>
      <c r="H1218" s="27">
        <v>9823.6456561688974</v>
      </c>
      <c r="I1218" s="27">
        <v>14597.301871825999</v>
      </c>
      <c r="J1218" s="27">
        <v>22619.372389289041</v>
      </c>
      <c r="K1218" s="27">
        <v>44535.798394133657</v>
      </c>
      <c r="L1218" s="27">
        <v>111496.85003435638</v>
      </c>
      <c r="M1218" s="27">
        <v>223439.00828760426</v>
      </c>
    </row>
    <row r="1219" spans="1:13" x14ac:dyDescent="0.75">
      <c r="A1219" s="40">
        <v>1217</v>
      </c>
      <c r="B1219" s="27">
        <v>1193.0840440657485</v>
      </c>
      <c r="C1219" s="27">
        <v>1983.49299501309</v>
      </c>
      <c r="D1219" s="27">
        <v>3028.3586833759473</v>
      </c>
      <c r="E1219" s="27">
        <v>4291.8074339799787</v>
      </c>
      <c r="F1219" s="27">
        <v>5996.3129460911441</v>
      </c>
      <c r="G1219" s="27">
        <v>9026.9253840087331</v>
      </c>
      <c r="H1219" s="27">
        <v>10807.80806112304</v>
      </c>
      <c r="I1219" s="27">
        <v>15565.165339544939</v>
      </c>
      <c r="J1219" s="27">
        <v>24337.161751579915</v>
      </c>
      <c r="K1219" s="27">
        <v>45154.973036888972</v>
      </c>
      <c r="L1219" s="27">
        <v>116141.29116759211</v>
      </c>
      <c r="M1219" s="27">
        <v>237526.38084326361</v>
      </c>
    </row>
    <row r="1220" spans="1:13" x14ac:dyDescent="0.75">
      <c r="A1220" s="40">
        <v>1218</v>
      </c>
      <c r="B1220" s="27">
        <v>961.54905667684216</v>
      </c>
      <c r="C1220" s="27">
        <v>1654.5049163908843</v>
      </c>
      <c r="D1220" s="27">
        <v>2289.7522584212129</v>
      </c>
      <c r="E1220" s="27">
        <v>3341.0254066541384</v>
      </c>
      <c r="F1220" s="27">
        <v>5195.6358906864771</v>
      </c>
      <c r="G1220" s="27">
        <v>7904.9059874932864</v>
      </c>
      <c r="H1220" s="27">
        <v>10424.537462128632</v>
      </c>
      <c r="I1220" s="27">
        <v>14784.65711576886</v>
      </c>
      <c r="J1220" s="27">
        <v>23670.700725770934</v>
      </c>
      <c r="K1220" s="27">
        <v>46838.147980663605</v>
      </c>
      <c r="L1220" s="27">
        <v>109756.64513365284</v>
      </c>
      <c r="M1220" s="27">
        <v>226822.06193430771</v>
      </c>
    </row>
    <row r="1221" spans="1:13" x14ac:dyDescent="0.75">
      <c r="A1221" s="40">
        <v>1219</v>
      </c>
      <c r="B1221" s="27">
        <v>369.40068877347221</v>
      </c>
      <c r="C1221" s="27">
        <v>848.59525784950529</v>
      </c>
      <c r="D1221" s="27">
        <v>1484.2091674158437</v>
      </c>
      <c r="E1221" s="27">
        <v>2095.0633393760509</v>
      </c>
      <c r="F1221" s="27">
        <v>3770.87672322453</v>
      </c>
      <c r="G1221" s="27">
        <v>6206.8953464049555</v>
      </c>
      <c r="H1221" s="27">
        <v>8728.8034977972711</v>
      </c>
      <c r="I1221" s="27">
        <v>13277.585581577951</v>
      </c>
      <c r="J1221" s="27">
        <v>21949.622835709102</v>
      </c>
      <c r="K1221" s="27">
        <v>45146.348748893826</v>
      </c>
      <c r="L1221" s="27">
        <v>113832.6431053156</v>
      </c>
      <c r="M1221" s="27">
        <v>217710.04429233811</v>
      </c>
    </row>
    <row r="1222" spans="1:13" x14ac:dyDescent="0.75">
      <c r="A1222" s="40">
        <v>1220</v>
      </c>
      <c r="B1222" s="27">
        <v>1050.8954533088399</v>
      </c>
      <c r="C1222" s="27">
        <v>1709.9811587227305</v>
      </c>
      <c r="D1222" s="27">
        <v>2840.655017392899</v>
      </c>
      <c r="E1222" s="27">
        <v>3995.382118150068</v>
      </c>
      <c r="F1222" s="27">
        <v>5546.4526029468107</v>
      </c>
      <c r="G1222" s="27">
        <v>7982.3178050196439</v>
      </c>
      <c r="H1222" s="27">
        <v>10559.357997999294</v>
      </c>
      <c r="I1222" s="27">
        <v>14860.328436400829</v>
      </c>
      <c r="J1222" s="27">
        <v>23765.456428901118</v>
      </c>
      <c r="K1222" s="27">
        <v>47524.994920755882</v>
      </c>
      <c r="L1222" s="27">
        <v>112490.94805675981</v>
      </c>
      <c r="M1222" s="27">
        <v>232326.76999635791</v>
      </c>
    </row>
    <row r="1223" spans="1:13" x14ac:dyDescent="0.75">
      <c r="A1223" s="40">
        <v>1221</v>
      </c>
      <c r="B1223" s="27">
        <v>1255.0134430837352</v>
      </c>
      <c r="C1223" s="27">
        <v>1742.8145878602809</v>
      </c>
      <c r="D1223" s="27">
        <v>2692.8163279662986</v>
      </c>
      <c r="E1223" s="27">
        <v>3841.2191469914978</v>
      </c>
      <c r="F1223" s="27">
        <v>5503.6537061011622</v>
      </c>
      <c r="G1223" s="27">
        <v>8377.1821824010694</v>
      </c>
      <c r="H1223" s="27">
        <v>10720.760055009683</v>
      </c>
      <c r="I1223" s="27">
        <v>14664.400470819877</v>
      </c>
      <c r="J1223" s="27">
        <v>22966.319935973486</v>
      </c>
      <c r="K1223" s="27">
        <v>47446.153055891758</v>
      </c>
      <c r="L1223" s="27">
        <v>113092.78280984584</v>
      </c>
      <c r="M1223" s="27">
        <v>232303.11572194469</v>
      </c>
    </row>
    <row r="1224" spans="1:13" x14ac:dyDescent="0.75">
      <c r="A1224" s="40">
        <v>1222</v>
      </c>
      <c r="B1224" s="27">
        <v>213.57825225342822</v>
      </c>
      <c r="C1224" s="27">
        <v>787.93816354041337</v>
      </c>
      <c r="D1224" s="27">
        <v>1293.1642842810543</v>
      </c>
      <c r="E1224" s="27">
        <v>2454.7730772890354</v>
      </c>
      <c r="F1224" s="27">
        <v>4222.5416984087642</v>
      </c>
      <c r="G1224" s="27">
        <v>6672.335784506402</v>
      </c>
      <c r="H1224" s="27">
        <v>8969.5960148856684</v>
      </c>
      <c r="I1224" s="27">
        <v>13984.937738290828</v>
      </c>
      <c r="J1224" s="27">
        <v>22761.975474712628</v>
      </c>
      <c r="K1224" s="27">
        <v>46714.050678937347</v>
      </c>
      <c r="L1224" s="27">
        <v>113064.04818791604</v>
      </c>
      <c r="M1224" s="27">
        <v>221138.9393550216</v>
      </c>
    </row>
    <row r="1225" spans="1:13" x14ac:dyDescent="0.75">
      <c r="A1225" s="40">
        <v>1223</v>
      </c>
      <c r="B1225" s="27">
        <v>941.34405967492785</v>
      </c>
      <c r="C1225" s="27">
        <v>1419.2938648548879</v>
      </c>
      <c r="D1225" s="27">
        <v>1855.5809704246349</v>
      </c>
      <c r="E1225" s="27">
        <v>2828.2232268589723</v>
      </c>
      <c r="F1225" s="27">
        <v>4776.6186278028763</v>
      </c>
      <c r="G1225" s="27">
        <v>7236.3206949047453</v>
      </c>
      <c r="H1225" s="27">
        <v>9599.058340476593</v>
      </c>
      <c r="I1225" s="27">
        <v>13054.034509968595</v>
      </c>
      <c r="J1225" s="27">
        <v>21885.453194095986</v>
      </c>
      <c r="K1225" s="27">
        <v>45617.262377867533</v>
      </c>
      <c r="L1225" s="27">
        <v>105254.16199812401</v>
      </c>
      <c r="M1225" s="27">
        <v>214467.35186505376</v>
      </c>
    </row>
    <row r="1226" spans="1:13" x14ac:dyDescent="0.75">
      <c r="A1226" s="40">
        <v>1224</v>
      </c>
      <c r="B1226" s="27">
        <v>1052.3964892914955</v>
      </c>
      <c r="C1226" s="27">
        <v>1874.1361948838749</v>
      </c>
      <c r="D1226" s="27">
        <v>2716.8711977849161</v>
      </c>
      <c r="E1226" s="27">
        <v>3860.9821324930672</v>
      </c>
      <c r="F1226" s="27">
        <v>5823.8211633802712</v>
      </c>
      <c r="G1226" s="27">
        <v>8390.3694862609555</v>
      </c>
      <c r="H1226" s="27">
        <v>11156.626719580294</v>
      </c>
      <c r="I1226" s="27">
        <v>14511.62916267135</v>
      </c>
      <c r="J1226" s="27">
        <v>24710.376703551534</v>
      </c>
      <c r="K1226" s="27">
        <v>48112.405109063722</v>
      </c>
      <c r="L1226" s="27">
        <v>118555.01934610838</v>
      </c>
      <c r="M1226" s="27">
        <v>240764.63370506986</v>
      </c>
    </row>
    <row r="1227" spans="1:13" x14ac:dyDescent="0.75">
      <c r="A1227" s="40">
        <v>1225</v>
      </c>
      <c r="B1227" s="27">
        <v>773.38642280700151</v>
      </c>
      <c r="C1227" s="27">
        <v>1317.3769607170107</v>
      </c>
      <c r="D1227" s="27">
        <v>2258.2521855266386</v>
      </c>
      <c r="E1227" s="27">
        <v>3311.7802870411251</v>
      </c>
      <c r="F1227" s="27">
        <v>5408.2193931141373</v>
      </c>
      <c r="G1227" s="27">
        <v>8065.6607089051395</v>
      </c>
      <c r="H1227" s="27">
        <v>10916.484428999014</v>
      </c>
      <c r="I1227" s="27">
        <v>14783.835194648826</v>
      </c>
      <c r="J1227" s="27">
        <v>24109.831034252609</v>
      </c>
      <c r="K1227" s="27">
        <v>46271.39779575658</v>
      </c>
      <c r="L1227" s="27">
        <v>112115.99755913185</v>
      </c>
      <c r="M1227" s="27">
        <v>229332.22197089993</v>
      </c>
    </row>
    <row r="1228" spans="1:13" x14ac:dyDescent="0.75">
      <c r="A1228" s="40">
        <v>1226</v>
      </c>
      <c r="B1228" s="27">
        <v>885.76940539338102</v>
      </c>
      <c r="C1228" s="27">
        <v>1548.4726692038384</v>
      </c>
      <c r="D1228" s="27">
        <v>2409.8509420260671</v>
      </c>
      <c r="E1228" s="27">
        <v>3459.4749069027603</v>
      </c>
      <c r="F1228" s="27">
        <v>5625.1925047899713</v>
      </c>
      <c r="G1228" s="27">
        <v>7127.9204262022104</v>
      </c>
      <c r="H1228" s="27">
        <v>9798.4210104014201</v>
      </c>
      <c r="I1228" s="27">
        <v>13818.668593413255</v>
      </c>
      <c r="J1228" s="27">
        <v>22553.772369988932</v>
      </c>
      <c r="K1228" s="27">
        <v>43800.770502674422</v>
      </c>
      <c r="L1228" s="27">
        <v>109797.51604529269</v>
      </c>
      <c r="M1228" s="27">
        <v>220825.82937628895</v>
      </c>
    </row>
    <row r="1229" spans="1:13" x14ac:dyDescent="0.75">
      <c r="A1229" s="40">
        <v>1227</v>
      </c>
      <c r="B1229" s="27">
        <v>372.55868302080489</v>
      </c>
      <c r="C1229" s="27">
        <v>787.42565505958919</v>
      </c>
      <c r="D1229" s="27">
        <v>1202.4868112271797</v>
      </c>
      <c r="E1229" s="27">
        <v>2275.633593778839</v>
      </c>
      <c r="F1229" s="27">
        <v>4114.8776510280295</v>
      </c>
      <c r="G1229" s="27">
        <v>6356.705980122264</v>
      </c>
      <c r="H1229" s="27">
        <v>9448.6600991958694</v>
      </c>
      <c r="I1229" s="27">
        <v>13139.656620036956</v>
      </c>
      <c r="J1229" s="27">
        <v>21202.42223292675</v>
      </c>
      <c r="K1229" s="27">
        <v>43868.611523492364</v>
      </c>
      <c r="L1229" s="27">
        <v>109239.63482239784</v>
      </c>
      <c r="M1229" s="27">
        <v>212008.6736722865</v>
      </c>
    </row>
    <row r="1230" spans="1:13" x14ac:dyDescent="0.75">
      <c r="A1230" s="40">
        <v>1228</v>
      </c>
      <c r="B1230" s="27">
        <v>734.59043987483892</v>
      </c>
      <c r="C1230" s="27">
        <v>1056.4102521197783</v>
      </c>
      <c r="D1230" s="27">
        <v>1950.5966457483446</v>
      </c>
      <c r="E1230" s="27">
        <v>3156.1638910567708</v>
      </c>
      <c r="F1230" s="27">
        <v>4974.3106392503978</v>
      </c>
      <c r="G1230" s="27">
        <v>7543.5439167559089</v>
      </c>
      <c r="H1230" s="27">
        <v>10797.44256353649</v>
      </c>
      <c r="I1230" s="27">
        <v>14606.523640152125</v>
      </c>
      <c r="J1230" s="27">
        <v>24047.62055568627</v>
      </c>
      <c r="K1230" s="27">
        <v>45013.740334346599</v>
      </c>
      <c r="L1230" s="27">
        <v>118883.39326295099</v>
      </c>
      <c r="M1230" s="27">
        <v>232764.3361414785</v>
      </c>
    </row>
    <row r="1231" spans="1:13" x14ac:dyDescent="0.75">
      <c r="A1231" s="40">
        <v>1229</v>
      </c>
      <c r="B1231" s="27">
        <v>961.85553197035915</v>
      </c>
      <c r="C1231" s="27">
        <v>1371.1331545499852</v>
      </c>
      <c r="D1231" s="27">
        <v>2400.4166734082246</v>
      </c>
      <c r="E1231" s="27">
        <v>3418.8443941916485</v>
      </c>
      <c r="F1231" s="27">
        <v>5636.7591731425782</v>
      </c>
      <c r="G1231" s="27">
        <v>8148.6825470182812</v>
      </c>
      <c r="H1231" s="27">
        <v>10397.198765597961</v>
      </c>
      <c r="I1231" s="27">
        <v>13512.129749354819</v>
      </c>
      <c r="J1231" s="27">
        <v>23481.634133707033</v>
      </c>
      <c r="K1231" s="27">
        <v>48275.581741461443</v>
      </c>
      <c r="L1231" s="27">
        <v>114112.26062162654</v>
      </c>
      <c r="M1231" s="27">
        <v>231716.49648602889</v>
      </c>
    </row>
    <row r="1232" spans="1:13" x14ac:dyDescent="0.75">
      <c r="A1232" s="40">
        <v>1230</v>
      </c>
      <c r="B1232" s="27">
        <v>1075.6159456714668</v>
      </c>
      <c r="C1232" s="27">
        <v>1452.8939458640962</v>
      </c>
      <c r="D1232" s="27">
        <v>2375.7307159643387</v>
      </c>
      <c r="E1232" s="27">
        <v>3562.1657252233563</v>
      </c>
      <c r="F1232" s="27">
        <v>5718.91116473492</v>
      </c>
      <c r="G1232" s="27">
        <v>8431.4813195037714</v>
      </c>
      <c r="H1232" s="27">
        <v>10813.537619786206</v>
      </c>
      <c r="I1232" s="27">
        <v>15208.780291604984</v>
      </c>
      <c r="J1232" s="27">
        <v>24719.042282792041</v>
      </c>
      <c r="K1232" s="27">
        <v>45175.785785270855</v>
      </c>
      <c r="L1232" s="27">
        <v>108846.3901536262</v>
      </c>
      <c r="M1232" s="27">
        <v>227380.33495004225</v>
      </c>
    </row>
    <row r="1233" spans="1:13" x14ac:dyDescent="0.75">
      <c r="A1233" s="40">
        <v>1231</v>
      </c>
      <c r="B1233" s="27">
        <v>772.2765343170322</v>
      </c>
      <c r="C1233" s="27">
        <v>1080.4712704705598</v>
      </c>
      <c r="D1233" s="27">
        <v>1984.4780945990788</v>
      </c>
      <c r="E1233" s="27">
        <v>2790.2593688550842</v>
      </c>
      <c r="F1233" s="27">
        <v>4862.693613813608</v>
      </c>
      <c r="G1233" s="27">
        <v>6865.565541632066</v>
      </c>
      <c r="H1233" s="27">
        <v>9360.0644897124293</v>
      </c>
      <c r="I1233" s="27">
        <v>13400.141396032923</v>
      </c>
      <c r="J1233" s="27">
        <v>22572.728334766172</v>
      </c>
      <c r="K1233" s="27">
        <v>44483.632855391072</v>
      </c>
      <c r="L1233" s="27">
        <v>106338.43927613944</v>
      </c>
      <c r="M1233" s="27">
        <v>214510.75077572948</v>
      </c>
    </row>
    <row r="1234" spans="1:13" x14ac:dyDescent="0.75">
      <c r="A1234" s="40">
        <v>1232</v>
      </c>
      <c r="B1234" s="27">
        <v>750.52614013860875</v>
      </c>
      <c r="C1234" s="27">
        <v>1333.2158619520342</v>
      </c>
      <c r="D1234" s="27">
        <v>2321.2319162913045</v>
      </c>
      <c r="E1234" s="27">
        <v>3515.3143634371081</v>
      </c>
      <c r="F1234" s="27">
        <v>5770.0496205522213</v>
      </c>
      <c r="G1234" s="27">
        <v>7982.1912641411182</v>
      </c>
      <c r="H1234" s="27">
        <v>11119.200072396343</v>
      </c>
      <c r="I1234" s="27">
        <v>15247.691798030384</v>
      </c>
      <c r="J1234" s="27">
        <v>24114.388722267409</v>
      </c>
      <c r="K1234" s="27">
        <v>49359.795210536569</v>
      </c>
      <c r="L1234" s="27">
        <v>107830.78070654132</v>
      </c>
      <c r="M1234" s="27">
        <v>229344.38567628444</v>
      </c>
    </row>
    <row r="1235" spans="1:13" x14ac:dyDescent="0.75">
      <c r="A1235" s="40">
        <v>1233</v>
      </c>
      <c r="B1235" s="27">
        <v>1045.5211681634246</v>
      </c>
      <c r="C1235" s="27">
        <v>1461.722825184188</v>
      </c>
      <c r="D1235" s="27">
        <v>2229.8009131602012</v>
      </c>
      <c r="E1235" s="27">
        <v>3402.8819741114567</v>
      </c>
      <c r="F1235" s="27">
        <v>5476.6620766171836</v>
      </c>
      <c r="G1235" s="27">
        <v>7127.7076683022024</v>
      </c>
      <c r="H1235" s="27">
        <v>10131.991667108785</v>
      </c>
      <c r="I1235" s="27">
        <v>14385.330296511296</v>
      </c>
      <c r="J1235" s="27">
        <v>22736.258643404988</v>
      </c>
      <c r="K1235" s="27">
        <v>47861.219539398619</v>
      </c>
      <c r="L1235" s="27">
        <v>109914.44207592601</v>
      </c>
      <c r="M1235" s="27">
        <v>225773.53884788835</v>
      </c>
    </row>
    <row r="1236" spans="1:13" x14ac:dyDescent="0.75">
      <c r="A1236" s="40">
        <v>1234</v>
      </c>
      <c r="B1236" s="27">
        <v>763.89509132469539</v>
      </c>
      <c r="C1236" s="27">
        <v>1029.1719770546042</v>
      </c>
      <c r="D1236" s="27">
        <v>2025.3021885280614</v>
      </c>
      <c r="E1236" s="27">
        <v>3132.2118853768043</v>
      </c>
      <c r="F1236" s="27">
        <v>4779.8326710281253</v>
      </c>
      <c r="G1236" s="27">
        <v>7161.6937930646236</v>
      </c>
      <c r="H1236" s="27">
        <v>9801.3450926668447</v>
      </c>
      <c r="I1236" s="27">
        <v>14156.620534027708</v>
      </c>
      <c r="J1236" s="27">
        <v>22144.722444247367</v>
      </c>
      <c r="K1236" s="27">
        <v>46290.362713271563</v>
      </c>
      <c r="L1236" s="27">
        <v>109564.52295368326</v>
      </c>
      <c r="M1236" s="27">
        <v>220849.68134427367</v>
      </c>
    </row>
    <row r="1237" spans="1:13" x14ac:dyDescent="0.75">
      <c r="A1237" s="40">
        <v>1235</v>
      </c>
      <c r="B1237" s="27">
        <v>641.83780256118916</v>
      </c>
      <c r="C1237" s="27">
        <v>1291.7702923600882</v>
      </c>
      <c r="D1237" s="27">
        <v>2055.0086944877257</v>
      </c>
      <c r="E1237" s="27">
        <v>3641.3243413928576</v>
      </c>
      <c r="F1237" s="27">
        <v>5590.0324003912247</v>
      </c>
      <c r="G1237" s="27">
        <v>8346.9410683527822</v>
      </c>
      <c r="H1237" s="27">
        <v>11036.819786956999</v>
      </c>
      <c r="I1237" s="27">
        <v>15293.503381234274</v>
      </c>
      <c r="J1237" s="27">
        <v>24660.446098103333</v>
      </c>
      <c r="K1237" s="27">
        <v>49702.486210729316</v>
      </c>
      <c r="L1237" s="27">
        <v>114328.55389986577</v>
      </c>
      <c r="M1237" s="27">
        <v>236588.72397643555</v>
      </c>
    </row>
    <row r="1238" spans="1:13" x14ac:dyDescent="0.75">
      <c r="A1238" s="40">
        <v>1236</v>
      </c>
      <c r="B1238" s="27">
        <v>458.72192567212915</v>
      </c>
      <c r="C1238" s="27">
        <v>807.69776088491199</v>
      </c>
      <c r="D1238" s="27">
        <v>1603.3937315758812</v>
      </c>
      <c r="E1238" s="27">
        <v>2468.5606514691754</v>
      </c>
      <c r="F1238" s="27">
        <v>4416.163751432905</v>
      </c>
      <c r="G1238" s="27">
        <v>6788.5968871570658</v>
      </c>
      <c r="H1238" s="27">
        <v>9459.6818132740882</v>
      </c>
      <c r="I1238" s="27">
        <v>13695.166421167713</v>
      </c>
      <c r="J1238" s="27">
        <v>23058.365425264972</v>
      </c>
      <c r="K1238" s="27">
        <v>44351.398036050232</v>
      </c>
      <c r="L1238" s="27">
        <v>114427.22005052783</v>
      </c>
      <c r="M1238" s="27">
        <v>221534.9664544769</v>
      </c>
    </row>
    <row r="1239" spans="1:13" x14ac:dyDescent="0.75">
      <c r="A1239" s="40">
        <v>1237</v>
      </c>
      <c r="B1239" s="27">
        <v>653.98274140842841</v>
      </c>
      <c r="C1239" s="27">
        <v>1057.9734455726866</v>
      </c>
      <c r="D1239" s="27">
        <v>1563.9253228314919</v>
      </c>
      <c r="E1239" s="27">
        <v>2745.868226749546</v>
      </c>
      <c r="F1239" s="27">
        <v>4662.2759894515621</v>
      </c>
      <c r="G1239" s="27">
        <v>6788.1596735020867</v>
      </c>
      <c r="H1239" s="27">
        <v>9810.4868884036405</v>
      </c>
      <c r="I1239" s="27">
        <v>13785.544725163374</v>
      </c>
      <c r="J1239" s="27">
        <v>21705.240472052479</v>
      </c>
      <c r="K1239" s="27">
        <v>44709.644199345552</v>
      </c>
      <c r="L1239" s="27">
        <v>107988.78902044192</v>
      </c>
      <c r="M1239" s="27">
        <v>215471.89070492279</v>
      </c>
    </row>
    <row r="1240" spans="1:13" x14ac:dyDescent="0.75">
      <c r="A1240" s="40">
        <v>1238</v>
      </c>
      <c r="B1240" s="27">
        <v>723.90054680299363</v>
      </c>
      <c r="C1240" s="27">
        <v>1171.5200953880703</v>
      </c>
      <c r="D1240" s="27">
        <v>2069.2682297639112</v>
      </c>
      <c r="E1240" s="27">
        <v>2992.3619432001287</v>
      </c>
      <c r="F1240" s="27">
        <v>4685.485734049289</v>
      </c>
      <c r="G1240" s="27">
        <v>6974.7708096416027</v>
      </c>
      <c r="H1240" s="27">
        <v>10250.929856468429</v>
      </c>
      <c r="I1240" s="27">
        <v>13377.941140607538</v>
      </c>
      <c r="J1240" s="27">
        <v>23119.354984366233</v>
      </c>
      <c r="K1240" s="27">
        <v>47021.30379026648</v>
      </c>
      <c r="L1240" s="27">
        <v>115265.15274474554</v>
      </c>
      <c r="M1240" s="27">
        <v>227651.98987530021</v>
      </c>
    </row>
    <row r="1241" spans="1:13" x14ac:dyDescent="0.75">
      <c r="A1241" s="40">
        <v>1239</v>
      </c>
      <c r="B1241" s="27">
        <v>1104.0308707098302</v>
      </c>
      <c r="C1241" s="27">
        <v>1754.7829260401049</v>
      </c>
      <c r="D1241" s="27">
        <v>2616.4744140540715</v>
      </c>
      <c r="E1241" s="27">
        <v>3821.8152438427787</v>
      </c>
      <c r="F1241" s="27">
        <v>5890.1797187351185</v>
      </c>
      <c r="G1241" s="27">
        <v>8449.3803846403607</v>
      </c>
      <c r="H1241" s="27">
        <v>10190.248128735402</v>
      </c>
      <c r="I1241" s="27">
        <v>14474.288459833479</v>
      </c>
      <c r="J1241" s="27">
        <v>23132.390911739887</v>
      </c>
      <c r="K1241" s="27">
        <v>45908.445728282299</v>
      </c>
      <c r="L1241" s="27">
        <v>117658.03213494146</v>
      </c>
      <c r="M1241" s="27">
        <v>235000.06892155478</v>
      </c>
    </row>
    <row r="1242" spans="1:13" x14ac:dyDescent="0.75">
      <c r="A1242" s="40">
        <v>1240</v>
      </c>
      <c r="B1242" s="27">
        <v>575.26135007251287</v>
      </c>
      <c r="C1242" s="27">
        <v>846.85684064879024</v>
      </c>
      <c r="D1242" s="27">
        <v>1657.5062531694275</v>
      </c>
      <c r="E1242" s="27">
        <v>2975.5896596671373</v>
      </c>
      <c r="F1242" s="27">
        <v>5140.0847351734992</v>
      </c>
      <c r="G1242" s="27">
        <v>7072.8982116151892</v>
      </c>
      <c r="H1242" s="27">
        <v>9507.7533706076356</v>
      </c>
      <c r="I1242" s="27">
        <v>13244.585447780846</v>
      </c>
      <c r="J1242" s="27">
        <v>22667.176754300817</v>
      </c>
      <c r="K1242" s="27">
        <v>47389.297307090426</v>
      </c>
      <c r="L1242" s="27">
        <v>112836.34766898098</v>
      </c>
      <c r="M1242" s="27">
        <v>223913.35759910726</v>
      </c>
    </row>
    <row r="1243" spans="1:13" x14ac:dyDescent="0.75">
      <c r="A1243" s="40">
        <v>1241</v>
      </c>
      <c r="B1243" s="27">
        <v>718.87081439488975</v>
      </c>
      <c r="C1243" s="27">
        <v>1147.2165855491767</v>
      </c>
      <c r="D1243" s="27">
        <v>2290.4054960340727</v>
      </c>
      <c r="E1243" s="27">
        <v>3288.0943438826071</v>
      </c>
      <c r="F1243" s="27">
        <v>5246.3639584317862</v>
      </c>
      <c r="G1243" s="27">
        <v>7930.2910091446247</v>
      </c>
      <c r="H1243" s="27">
        <v>10447.613208097551</v>
      </c>
      <c r="I1243" s="27">
        <v>13674.390357744473</v>
      </c>
      <c r="J1243" s="27">
        <v>22432.61974336009</v>
      </c>
      <c r="K1243" s="27">
        <v>47035.874982611975</v>
      </c>
      <c r="L1243" s="27">
        <v>112364.3715289883</v>
      </c>
      <c r="M1243" s="27">
        <v>226576.11202823953</v>
      </c>
    </row>
    <row r="1244" spans="1:13" x14ac:dyDescent="0.75">
      <c r="A1244" s="40">
        <v>1242</v>
      </c>
      <c r="B1244" s="27">
        <v>731.98396369890543</v>
      </c>
      <c r="C1244" s="27">
        <v>1362.0611668639322</v>
      </c>
      <c r="D1244" s="27">
        <v>2494.0616152708099</v>
      </c>
      <c r="E1244" s="27">
        <v>3570.1259323832928</v>
      </c>
      <c r="F1244" s="27">
        <v>5735.4477736823173</v>
      </c>
      <c r="G1244" s="27">
        <v>8589.6878747695882</v>
      </c>
      <c r="H1244" s="27">
        <v>10326.620756351709</v>
      </c>
      <c r="I1244" s="27">
        <v>14719.531673805352</v>
      </c>
      <c r="J1244" s="27">
        <v>23083.890635324889</v>
      </c>
      <c r="K1244" s="27">
        <v>47636.241801009353</v>
      </c>
      <c r="L1244" s="27">
        <v>110411.33833838059</v>
      </c>
      <c r="M1244" s="27">
        <v>228660.99153154076</v>
      </c>
    </row>
    <row r="1245" spans="1:13" x14ac:dyDescent="0.75">
      <c r="A1245" s="40">
        <v>1243</v>
      </c>
      <c r="B1245" s="27">
        <v>719.98892637479003</v>
      </c>
      <c r="C1245" s="27">
        <v>1232.3613202510314</v>
      </c>
      <c r="D1245" s="27">
        <v>2346.8490712060739</v>
      </c>
      <c r="E1245" s="27">
        <v>3021.3902603109455</v>
      </c>
      <c r="F1245" s="27">
        <v>4690.7824059705163</v>
      </c>
      <c r="G1245" s="27">
        <v>7135.0254177260795</v>
      </c>
      <c r="H1245" s="27">
        <v>9709.4163576104911</v>
      </c>
      <c r="I1245" s="27">
        <v>13794.57106288163</v>
      </c>
      <c r="J1245" s="27">
        <v>23223.859747434006</v>
      </c>
      <c r="K1245" s="27">
        <v>45069.835665890438</v>
      </c>
      <c r="L1245" s="27">
        <v>107852.23410053784</v>
      </c>
      <c r="M1245" s="27">
        <v>218796.31433619384</v>
      </c>
    </row>
    <row r="1246" spans="1:13" x14ac:dyDescent="0.75">
      <c r="A1246" s="40">
        <v>1244</v>
      </c>
      <c r="B1246" s="27">
        <v>1015.246378166994</v>
      </c>
      <c r="C1246" s="27">
        <v>1446.5482780982129</v>
      </c>
      <c r="D1246" s="27">
        <v>2305.8758458864759</v>
      </c>
      <c r="E1246" s="27">
        <v>3383.3944913610903</v>
      </c>
      <c r="F1246" s="27">
        <v>5253.4725121629599</v>
      </c>
      <c r="G1246" s="27">
        <v>7205.1289785214467</v>
      </c>
      <c r="H1246" s="27">
        <v>10131.004242570139</v>
      </c>
      <c r="I1246" s="27">
        <v>14253.070574046971</v>
      </c>
      <c r="J1246" s="27">
        <v>22879.393698521235</v>
      </c>
      <c r="K1246" s="27">
        <v>47480.509675540641</v>
      </c>
      <c r="L1246" s="27">
        <v>108868.35252759961</v>
      </c>
      <c r="M1246" s="27">
        <v>224221.99720247579</v>
      </c>
    </row>
    <row r="1247" spans="1:13" x14ac:dyDescent="0.75">
      <c r="A1247" s="40">
        <v>1245</v>
      </c>
      <c r="B1247" s="27">
        <v>824.54620456224075</v>
      </c>
      <c r="C1247" s="27">
        <v>1157.8425682337547</v>
      </c>
      <c r="D1247" s="27">
        <v>2114.1671013695741</v>
      </c>
      <c r="E1247" s="27">
        <v>3342.4772959624534</v>
      </c>
      <c r="F1247" s="27">
        <v>5228.4962907100271</v>
      </c>
      <c r="G1247" s="27">
        <v>7042.1325512842159</v>
      </c>
      <c r="H1247" s="27">
        <v>10224.547999773029</v>
      </c>
      <c r="I1247" s="27">
        <v>14336.887118084356</v>
      </c>
      <c r="J1247" s="27">
        <v>21152.233710792556</v>
      </c>
      <c r="K1247" s="27">
        <v>44798.511034893891</v>
      </c>
      <c r="L1247" s="27">
        <v>116142.56759004101</v>
      </c>
      <c r="M1247" s="27">
        <v>226364.40946570711</v>
      </c>
    </row>
    <row r="1248" spans="1:13" x14ac:dyDescent="0.75">
      <c r="A1248" s="40">
        <v>1246</v>
      </c>
      <c r="B1248" s="27">
        <v>291.11433977469278</v>
      </c>
      <c r="C1248" s="27">
        <v>759.31769095612981</v>
      </c>
      <c r="D1248" s="27">
        <v>1408.3119923189224</v>
      </c>
      <c r="E1248" s="27">
        <v>2189.6147064684628</v>
      </c>
      <c r="F1248" s="27">
        <v>4034.4252192350104</v>
      </c>
      <c r="G1248" s="27">
        <v>6195.5516083831608</v>
      </c>
      <c r="H1248" s="27">
        <v>8854.3708971564192</v>
      </c>
      <c r="I1248" s="27">
        <v>12773.348339892895</v>
      </c>
      <c r="J1248" s="27">
        <v>20704.583864211978</v>
      </c>
      <c r="K1248" s="27">
        <v>42786.296856178</v>
      </c>
      <c r="L1248" s="27">
        <v>100086.78449919689</v>
      </c>
      <c r="M1248" s="27">
        <v>200083.72001377254</v>
      </c>
    </row>
    <row r="1249" spans="1:13" x14ac:dyDescent="0.75">
      <c r="A1249" s="40">
        <v>1247</v>
      </c>
      <c r="B1249" s="27">
        <v>888.51711340309703</v>
      </c>
      <c r="C1249" s="27">
        <v>1284.3789522704901</v>
      </c>
      <c r="D1249" s="27">
        <v>2532.3357391284662</v>
      </c>
      <c r="E1249" s="27">
        <v>3761.2049037356192</v>
      </c>
      <c r="F1249" s="27">
        <v>5321.397103027266</v>
      </c>
      <c r="G1249" s="27">
        <v>7521.2023237198882</v>
      </c>
      <c r="H1249" s="27">
        <v>10735.511807507544</v>
      </c>
      <c r="I1249" s="27">
        <v>14946.030178923087</v>
      </c>
      <c r="J1249" s="27">
        <v>24276.80939693407</v>
      </c>
      <c r="K1249" s="27">
        <v>47440.947857402396</v>
      </c>
      <c r="L1249" s="27">
        <v>111473.45006233556</v>
      </c>
      <c r="M1249" s="27">
        <v>230181.78543838748</v>
      </c>
    </row>
    <row r="1250" spans="1:13" x14ac:dyDescent="0.75">
      <c r="A1250" s="40">
        <v>1248</v>
      </c>
      <c r="B1250" s="27">
        <v>723.12533260653436</v>
      </c>
      <c r="C1250" s="27">
        <v>1141.0467440932407</v>
      </c>
      <c r="D1250" s="27">
        <v>1849.8651823228283</v>
      </c>
      <c r="E1250" s="27">
        <v>3101.1360253765597</v>
      </c>
      <c r="F1250" s="27">
        <v>4753.7906863575336</v>
      </c>
      <c r="G1250" s="27">
        <v>7314.1984823739913</v>
      </c>
      <c r="H1250" s="27">
        <v>9762.833516882034</v>
      </c>
      <c r="I1250" s="27">
        <v>13780.01555851828</v>
      </c>
      <c r="J1250" s="27">
        <v>22465.638609542599</v>
      </c>
      <c r="K1250" s="27">
        <v>46611.92532211513</v>
      </c>
      <c r="L1250" s="27">
        <v>111578.26279986846</v>
      </c>
      <c r="M1250" s="27">
        <v>223081.83826005721</v>
      </c>
    </row>
    <row r="1251" spans="1:13" x14ac:dyDescent="0.75">
      <c r="A1251" s="40">
        <v>1249</v>
      </c>
      <c r="B1251" s="27">
        <v>908.53699730057269</v>
      </c>
      <c r="C1251" s="27">
        <v>1386.2750678574084</v>
      </c>
      <c r="D1251" s="27">
        <v>2117.6007594463299</v>
      </c>
      <c r="E1251" s="27">
        <v>3326.8612424840394</v>
      </c>
      <c r="F1251" s="27">
        <v>5614.6142440160475</v>
      </c>
      <c r="G1251" s="27">
        <v>7886.8284521203313</v>
      </c>
      <c r="H1251" s="27">
        <v>11031.820390934154</v>
      </c>
      <c r="I1251" s="27">
        <v>14502.594741461799</v>
      </c>
      <c r="J1251" s="27">
        <v>24518.851623148483</v>
      </c>
      <c r="K1251" s="27">
        <v>47167.076136777585</v>
      </c>
      <c r="L1251" s="27">
        <v>111330.50032646523</v>
      </c>
      <c r="M1251" s="27">
        <v>229791.55998201197</v>
      </c>
    </row>
    <row r="1252" spans="1:13" x14ac:dyDescent="0.75">
      <c r="A1252" s="40">
        <v>1250</v>
      </c>
      <c r="B1252" s="27">
        <v>1111.1874779536447</v>
      </c>
      <c r="C1252" s="27">
        <v>1390.7889465507178</v>
      </c>
      <c r="D1252" s="27">
        <v>2471.1859662827774</v>
      </c>
      <c r="E1252" s="27">
        <v>3489.8918295077019</v>
      </c>
      <c r="F1252" s="27">
        <v>5146.4573013498157</v>
      </c>
      <c r="G1252" s="27">
        <v>6908.438778424781</v>
      </c>
      <c r="H1252" s="27">
        <v>9503.1033919892361</v>
      </c>
      <c r="I1252" s="27">
        <v>13592.368590844009</v>
      </c>
      <c r="J1252" s="27">
        <v>21897.672677997485</v>
      </c>
      <c r="K1252" s="27">
        <v>48956.310576282238</v>
      </c>
      <c r="L1252" s="27">
        <v>109061.14692542357</v>
      </c>
      <c r="M1252" s="27">
        <v>223528.55246260599</v>
      </c>
    </row>
    <row r="1253" spans="1:13" x14ac:dyDescent="0.75">
      <c r="A1253" s="40">
        <v>1251</v>
      </c>
      <c r="B1253" s="27">
        <v>434.48911250580568</v>
      </c>
      <c r="C1253" s="27">
        <v>890.19657676495262</v>
      </c>
      <c r="D1253" s="27">
        <v>1816.4779076512641</v>
      </c>
      <c r="E1253" s="27">
        <v>2740.3503051394218</v>
      </c>
      <c r="F1253" s="27">
        <v>4687.5994152383064</v>
      </c>
      <c r="G1253" s="27">
        <v>6988.8024540552578</v>
      </c>
      <c r="H1253" s="27">
        <v>9596.5801761256153</v>
      </c>
      <c r="I1253" s="27">
        <v>13244.971622462617</v>
      </c>
      <c r="J1253" s="27">
        <v>23365.824753252266</v>
      </c>
      <c r="K1253" s="27">
        <v>44687.632243969812</v>
      </c>
      <c r="L1253" s="27">
        <v>108186.03353440989</v>
      </c>
      <c r="M1253" s="27">
        <v>216638.9581015752</v>
      </c>
    </row>
    <row r="1254" spans="1:13" x14ac:dyDescent="0.75">
      <c r="A1254" s="40">
        <v>1252</v>
      </c>
      <c r="B1254" s="27">
        <v>207.33007908485888</v>
      </c>
      <c r="C1254" s="27">
        <v>851.06247379463457</v>
      </c>
      <c r="D1254" s="27">
        <v>1997.0705824865727</v>
      </c>
      <c r="E1254" s="27">
        <v>3084.8283039540984</v>
      </c>
      <c r="F1254" s="27">
        <v>4370.1197541695728</v>
      </c>
      <c r="G1254" s="27">
        <v>6785.327545167238</v>
      </c>
      <c r="H1254" s="27">
        <v>9173.0359944823867</v>
      </c>
      <c r="I1254" s="27">
        <v>12164.463829482469</v>
      </c>
      <c r="J1254" s="27">
        <v>20870.982687891039</v>
      </c>
      <c r="K1254" s="27">
        <v>44216.981533274899</v>
      </c>
      <c r="L1254" s="27">
        <v>105023.74329693735</v>
      </c>
      <c r="M1254" s="27">
        <v>208744.94608072512</v>
      </c>
    </row>
    <row r="1255" spans="1:13" x14ac:dyDescent="0.75">
      <c r="A1255" s="40">
        <v>1253</v>
      </c>
      <c r="B1255" s="27">
        <v>778.2553030965646</v>
      </c>
      <c r="C1255" s="27">
        <v>1049.4384099699964</v>
      </c>
      <c r="D1255" s="27">
        <v>1782.8028819030442</v>
      </c>
      <c r="E1255" s="27">
        <v>2821.3637391894445</v>
      </c>
      <c r="F1255" s="27">
        <v>4590.6882939003408</v>
      </c>
      <c r="G1255" s="27">
        <v>6937.9309025426919</v>
      </c>
      <c r="H1255" s="27">
        <v>9049.2635069761891</v>
      </c>
      <c r="I1255" s="27">
        <v>13547.701790605599</v>
      </c>
      <c r="J1255" s="27">
        <v>22181.906557718699</v>
      </c>
      <c r="K1255" s="27">
        <v>43679.461901309085</v>
      </c>
      <c r="L1255" s="27">
        <v>108849.81010992339</v>
      </c>
      <c r="M1255" s="27">
        <v>215268.62339713506</v>
      </c>
    </row>
    <row r="1256" spans="1:13" x14ac:dyDescent="0.75">
      <c r="A1256" s="40">
        <v>1254</v>
      </c>
      <c r="B1256" s="27">
        <v>780.4509866823937</v>
      </c>
      <c r="C1256" s="27">
        <v>1435.2319551212568</v>
      </c>
      <c r="D1256" s="27">
        <v>1964.3078099913837</v>
      </c>
      <c r="E1256" s="27">
        <v>2888.9806582042365</v>
      </c>
      <c r="F1256" s="27">
        <v>4692.2478045392199</v>
      </c>
      <c r="G1256" s="27">
        <v>7335.1888418035815</v>
      </c>
      <c r="H1256" s="27">
        <v>10031.288701653481</v>
      </c>
      <c r="I1256" s="27">
        <v>13702.396597548606</v>
      </c>
      <c r="J1256" s="27">
        <v>22445.04024405517</v>
      </c>
      <c r="K1256" s="27">
        <v>47786.282837703329</v>
      </c>
      <c r="L1256" s="27">
        <v>109873.24923731314</v>
      </c>
      <c r="M1256" s="27">
        <v>222934.6656746158</v>
      </c>
    </row>
    <row r="1257" spans="1:13" x14ac:dyDescent="0.75">
      <c r="A1257" s="40">
        <v>1255</v>
      </c>
      <c r="B1257" s="27">
        <v>564.48302530340152</v>
      </c>
      <c r="C1257" s="27">
        <v>1039.994580260216</v>
      </c>
      <c r="D1257" s="27">
        <v>1817.6994377328083</v>
      </c>
      <c r="E1257" s="27">
        <v>3045.682637206075</v>
      </c>
      <c r="F1257" s="27">
        <v>5069.2586400377913</v>
      </c>
      <c r="G1257" s="27">
        <v>7376.9069896914007</v>
      </c>
      <c r="H1257" s="27">
        <v>9837.0796480416029</v>
      </c>
      <c r="I1257" s="27">
        <v>14283.114950168543</v>
      </c>
      <c r="J1257" s="27">
        <v>22186.444829872504</v>
      </c>
      <c r="K1257" s="27">
        <v>47324.512989575334</v>
      </c>
      <c r="L1257" s="27">
        <v>112952.02643215418</v>
      </c>
      <c r="M1257" s="27">
        <v>225497.20416004385</v>
      </c>
    </row>
    <row r="1258" spans="1:13" x14ac:dyDescent="0.75">
      <c r="A1258" s="40">
        <v>1256</v>
      </c>
      <c r="B1258" s="27">
        <v>663.56155392230721</v>
      </c>
      <c r="C1258" s="27">
        <v>1275.241916219733</v>
      </c>
      <c r="D1258" s="27">
        <v>2120.6933622211363</v>
      </c>
      <c r="E1258" s="27">
        <v>3254.9540032079094</v>
      </c>
      <c r="F1258" s="27">
        <v>5081.3866413950163</v>
      </c>
      <c r="G1258" s="27">
        <v>7692.2647064338962</v>
      </c>
      <c r="H1258" s="27">
        <v>10389.621905795138</v>
      </c>
      <c r="I1258" s="27">
        <v>14154.1128083285</v>
      </c>
      <c r="J1258" s="27">
        <v>24534.562373935303</v>
      </c>
      <c r="K1258" s="27">
        <v>46334.977753424755</v>
      </c>
      <c r="L1258" s="27">
        <v>108240.83275557969</v>
      </c>
      <c r="M1258" s="27">
        <v>223742.20978046337</v>
      </c>
    </row>
    <row r="1259" spans="1:13" x14ac:dyDescent="0.75">
      <c r="A1259" s="40">
        <v>1257</v>
      </c>
      <c r="B1259" s="27">
        <v>1058.3975676974369</v>
      </c>
      <c r="C1259" s="27">
        <v>1713.7798650360492</v>
      </c>
      <c r="D1259" s="27">
        <v>2647.3821874264104</v>
      </c>
      <c r="E1259" s="27">
        <v>3834.4557888047566</v>
      </c>
      <c r="F1259" s="27">
        <v>5420.0544270421669</v>
      </c>
      <c r="G1259" s="27">
        <v>8048.0144871853408</v>
      </c>
      <c r="H1259" s="27">
        <v>11160.720020957757</v>
      </c>
      <c r="I1259" s="27">
        <v>14827.648800571071</v>
      </c>
      <c r="J1259" s="27">
        <v>24018.699948628753</v>
      </c>
      <c r="K1259" s="27">
        <v>48034.934717248514</v>
      </c>
      <c r="L1259" s="27">
        <v>115442.31506641867</v>
      </c>
      <c r="M1259" s="27">
        <v>236206.40287701692</v>
      </c>
    </row>
    <row r="1260" spans="1:13" x14ac:dyDescent="0.75">
      <c r="A1260" s="40">
        <v>1258</v>
      </c>
      <c r="B1260" s="27">
        <v>706.70363676913257</v>
      </c>
      <c r="C1260" s="27">
        <v>1200.6273014453327</v>
      </c>
      <c r="D1260" s="27">
        <v>2169.3741574353626</v>
      </c>
      <c r="E1260" s="27">
        <v>3642.1119429286628</v>
      </c>
      <c r="F1260" s="27">
        <v>5744.8961238646298</v>
      </c>
      <c r="G1260" s="27">
        <v>7737.593659936334</v>
      </c>
      <c r="H1260" s="27">
        <v>9748.6515017262282</v>
      </c>
      <c r="I1260" s="27">
        <v>14283.46623339389</v>
      </c>
      <c r="J1260" s="27">
        <v>23719.899200083368</v>
      </c>
      <c r="K1260" s="27">
        <v>46181.628637693007</v>
      </c>
      <c r="L1260" s="27">
        <v>108133.02222767338</v>
      </c>
      <c r="M1260" s="27">
        <v>223267.97462294932</v>
      </c>
    </row>
    <row r="1261" spans="1:13" x14ac:dyDescent="0.75">
      <c r="A1261" s="40">
        <v>1259</v>
      </c>
      <c r="B1261" s="27">
        <v>1181.1848531571304</v>
      </c>
      <c r="C1261" s="27">
        <v>1417.2928265327209</v>
      </c>
      <c r="D1261" s="27">
        <v>2415.2209832041262</v>
      </c>
      <c r="E1261" s="27">
        <v>3593.4021054615732</v>
      </c>
      <c r="F1261" s="27">
        <v>5264.1666155653365</v>
      </c>
      <c r="G1261" s="27">
        <v>8279.1095621768618</v>
      </c>
      <c r="H1261" s="27">
        <v>10664.841766698795</v>
      </c>
      <c r="I1261" s="27">
        <v>15879.155622677557</v>
      </c>
      <c r="J1261" s="27">
        <v>23163.263675255672</v>
      </c>
      <c r="K1261" s="27">
        <v>48058.353867695405</v>
      </c>
      <c r="L1261" s="27">
        <v>113677.97252357795</v>
      </c>
      <c r="M1261" s="27">
        <v>233593.96440200313</v>
      </c>
    </row>
    <row r="1262" spans="1:13" x14ac:dyDescent="0.75">
      <c r="A1262" s="40">
        <v>1260</v>
      </c>
      <c r="B1262" s="27">
        <v>640.60844681315939</v>
      </c>
      <c r="C1262" s="27">
        <v>1068.8856399803335</v>
      </c>
      <c r="D1262" s="27">
        <v>1727.27690530158</v>
      </c>
      <c r="E1262" s="27">
        <v>2718.4464833089005</v>
      </c>
      <c r="F1262" s="27">
        <v>4327.0706658083654</v>
      </c>
      <c r="G1262" s="27">
        <v>6736.9706155056483</v>
      </c>
      <c r="H1262" s="27">
        <v>9412.0107334534987</v>
      </c>
      <c r="I1262" s="27">
        <v>13807.297141431191</v>
      </c>
      <c r="J1262" s="27">
        <v>22117.477037729564</v>
      </c>
      <c r="K1262" s="27">
        <v>45516.882031032059</v>
      </c>
      <c r="L1262" s="27">
        <v>112090.54502328733</v>
      </c>
      <c r="M1262" s="27">
        <v>220163.47072365164</v>
      </c>
    </row>
    <row r="1263" spans="1:13" x14ac:dyDescent="0.75">
      <c r="A1263" s="40">
        <v>1261</v>
      </c>
      <c r="B1263" s="27">
        <v>775.00412078418594</v>
      </c>
      <c r="C1263" s="27">
        <v>1352.0479118615622</v>
      </c>
      <c r="D1263" s="27">
        <v>2212.3115856448712</v>
      </c>
      <c r="E1263" s="27">
        <v>3581.7239458960539</v>
      </c>
      <c r="F1263" s="27">
        <v>5426.3015318039106</v>
      </c>
      <c r="G1263" s="27">
        <v>7711.2673921200621</v>
      </c>
      <c r="H1263" s="27">
        <v>10390.307021043263</v>
      </c>
      <c r="I1263" s="27">
        <v>14464.89258466725</v>
      </c>
      <c r="J1263" s="27">
        <v>23145.60732140101</v>
      </c>
      <c r="K1263" s="27">
        <v>45466.722395893419</v>
      </c>
      <c r="L1263" s="27">
        <v>110870.06962955021</v>
      </c>
      <c r="M1263" s="27">
        <v>225396.25544066582</v>
      </c>
    </row>
    <row r="1264" spans="1:13" x14ac:dyDescent="0.75">
      <c r="A1264" s="40">
        <v>1262</v>
      </c>
      <c r="B1264" s="27">
        <v>716.52607483284373</v>
      </c>
      <c r="C1264" s="27">
        <v>918.98519946719171</v>
      </c>
      <c r="D1264" s="27">
        <v>1928.7443507314892</v>
      </c>
      <c r="E1264" s="27">
        <v>2818.5803798790002</v>
      </c>
      <c r="F1264" s="27">
        <v>5121.6209785389656</v>
      </c>
      <c r="G1264" s="27">
        <v>7360.3182649569062</v>
      </c>
      <c r="H1264" s="27">
        <v>9905.3242722206487</v>
      </c>
      <c r="I1264" s="27">
        <v>13677.23501153494</v>
      </c>
      <c r="J1264" s="27">
        <v>22626.202116179353</v>
      </c>
      <c r="K1264" s="27">
        <v>43058.765883320229</v>
      </c>
      <c r="L1264" s="27">
        <v>112099.76404825672</v>
      </c>
      <c r="M1264" s="27">
        <v>220232.06657991829</v>
      </c>
    </row>
    <row r="1265" spans="1:13" x14ac:dyDescent="0.75">
      <c r="A1265" s="40">
        <v>1263</v>
      </c>
      <c r="B1265" s="27">
        <v>1180.8333530639065</v>
      </c>
      <c r="C1265" s="27">
        <v>1647.674540490334</v>
      </c>
      <c r="D1265" s="27">
        <v>2578.9615755405248</v>
      </c>
      <c r="E1265" s="27">
        <v>3497.5621243947971</v>
      </c>
      <c r="F1265" s="27">
        <v>5256.3551024570188</v>
      </c>
      <c r="G1265" s="27">
        <v>7406.2655322347709</v>
      </c>
      <c r="H1265" s="27">
        <v>10204.398844875017</v>
      </c>
      <c r="I1265" s="27">
        <v>13946.524698335386</v>
      </c>
      <c r="J1265" s="27">
        <v>23158.747859075025</v>
      </c>
      <c r="K1265" s="27">
        <v>44600.582584312549</v>
      </c>
      <c r="L1265" s="27">
        <v>117883.50119663075</v>
      </c>
      <c r="M1265" s="27">
        <v>231361.40741141007</v>
      </c>
    </row>
    <row r="1266" spans="1:13" x14ac:dyDescent="0.75">
      <c r="A1266" s="40">
        <v>1264</v>
      </c>
      <c r="B1266" s="27">
        <v>1213.1805409005319</v>
      </c>
      <c r="C1266" s="27">
        <v>1765.6019842536189</v>
      </c>
      <c r="D1266" s="27">
        <v>2914.3402227930783</v>
      </c>
      <c r="E1266" s="27">
        <v>4098.3188923995476</v>
      </c>
      <c r="F1266" s="27">
        <v>5920.2921118577942</v>
      </c>
      <c r="G1266" s="27">
        <v>8655.0828511001309</v>
      </c>
      <c r="H1266" s="27">
        <v>11083.818045121603</v>
      </c>
      <c r="I1266" s="27">
        <v>14816.172107925959</v>
      </c>
      <c r="J1266" s="27">
        <v>23913.79904294273</v>
      </c>
      <c r="K1266" s="27">
        <v>47583.795070372144</v>
      </c>
      <c r="L1266" s="27">
        <v>111469.43715751675</v>
      </c>
      <c r="M1266" s="27">
        <v>233433.8380271839</v>
      </c>
    </row>
    <row r="1267" spans="1:13" x14ac:dyDescent="0.75">
      <c r="A1267" s="40">
        <v>1265</v>
      </c>
      <c r="B1267" s="27">
        <v>931.34943959787779</v>
      </c>
      <c r="C1267" s="27">
        <v>1596.1045222836838</v>
      </c>
      <c r="D1267" s="27">
        <v>2614.4963049227663</v>
      </c>
      <c r="E1267" s="27">
        <v>3586.3099521183613</v>
      </c>
      <c r="F1267" s="27">
        <v>5929.378390612459</v>
      </c>
      <c r="G1267" s="27">
        <v>8378.8095683283173</v>
      </c>
      <c r="H1267" s="27">
        <v>10503.425896642482</v>
      </c>
      <c r="I1267" s="27">
        <v>15784.800794927272</v>
      </c>
      <c r="J1267" s="27">
        <v>24352.397824410902</v>
      </c>
      <c r="K1267" s="27">
        <v>49181.683428678516</v>
      </c>
      <c r="L1267" s="27">
        <v>119958.91086754235</v>
      </c>
      <c r="M1267" s="27">
        <v>242817.66699006499</v>
      </c>
    </row>
    <row r="1268" spans="1:13" x14ac:dyDescent="0.75">
      <c r="A1268" s="40">
        <v>1266</v>
      </c>
      <c r="B1268" s="27">
        <v>463.62020751801901</v>
      </c>
      <c r="C1268" s="27">
        <v>1100.7096594518225</v>
      </c>
      <c r="D1268" s="27">
        <v>1932.1395450214768</v>
      </c>
      <c r="E1268" s="27">
        <v>3177.8864218071685</v>
      </c>
      <c r="F1268" s="27">
        <v>5045.4802667126351</v>
      </c>
      <c r="G1268" s="27">
        <v>7346.903069680935</v>
      </c>
      <c r="H1268" s="27">
        <v>9891.076052258577</v>
      </c>
      <c r="I1268" s="27">
        <v>13852.491589778088</v>
      </c>
      <c r="J1268" s="27">
        <v>22761.586868646933</v>
      </c>
      <c r="K1268" s="27">
        <v>44216.877679779616</v>
      </c>
      <c r="L1268" s="27">
        <v>108709.27636206502</v>
      </c>
      <c r="M1268" s="27">
        <v>218498.04772272031</v>
      </c>
    </row>
    <row r="1269" spans="1:13" x14ac:dyDescent="0.75">
      <c r="A1269" s="40">
        <v>1267</v>
      </c>
      <c r="B1269" s="27">
        <v>726.191531362565</v>
      </c>
      <c r="C1269" s="27">
        <v>1126.2738160864101</v>
      </c>
      <c r="D1269" s="27">
        <v>1940.0886215914506</v>
      </c>
      <c r="E1269" s="27">
        <v>3318.7158984684356</v>
      </c>
      <c r="F1269" s="27">
        <v>5087.3111174859223</v>
      </c>
      <c r="G1269" s="27">
        <v>7411.426968771033</v>
      </c>
      <c r="H1269" s="27">
        <v>9371.0909317234327</v>
      </c>
      <c r="I1269" s="27">
        <v>13975.569326220386</v>
      </c>
      <c r="J1269" s="27">
        <v>22885.226703027569</v>
      </c>
      <c r="K1269" s="27">
        <v>47452.298081677669</v>
      </c>
      <c r="L1269" s="27">
        <v>120363.41269008878</v>
      </c>
      <c r="M1269" s="27">
        <v>233657.60568650364</v>
      </c>
    </row>
    <row r="1270" spans="1:13" x14ac:dyDescent="0.75">
      <c r="A1270" s="40">
        <v>1268</v>
      </c>
      <c r="B1270" s="27">
        <v>750.51535919620073</v>
      </c>
      <c r="C1270" s="27">
        <v>1541.537447552284</v>
      </c>
      <c r="D1270" s="27">
        <v>2641.6034214420215</v>
      </c>
      <c r="E1270" s="27">
        <v>3698.6842599945376</v>
      </c>
      <c r="F1270" s="27">
        <v>5843.259277195757</v>
      </c>
      <c r="G1270" s="27">
        <v>8013.4735738086747</v>
      </c>
      <c r="H1270" s="27">
        <v>10938.311660387175</v>
      </c>
      <c r="I1270" s="27">
        <v>14293.581296795353</v>
      </c>
      <c r="J1270" s="27">
        <v>22649.622066683572</v>
      </c>
      <c r="K1270" s="27">
        <v>45942.460146685422</v>
      </c>
      <c r="L1270" s="27">
        <v>111377.4089991661</v>
      </c>
      <c r="M1270" s="27">
        <v>227690.4575089071</v>
      </c>
    </row>
    <row r="1271" spans="1:13" x14ac:dyDescent="0.75">
      <c r="A1271" s="40">
        <v>1269</v>
      </c>
      <c r="B1271" s="27">
        <v>648.02222202977282</v>
      </c>
      <c r="C1271" s="27">
        <v>1231.4374392785685</v>
      </c>
      <c r="D1271" s="27">
        <v>1971.7591482804419</v>
      </c>
      <c r="E1271" s="27">
        <v>2787.9424021362065</v>
      </c>
      <c r="F1271" s="27">
        <v>4653.3818992229499</v>
      </c>
      <c r="G1271" s="27">
        <v>6488.5216695731506</v>
      </c>
      <c r="H1271" s="27">
        <v>9289.7094311077817</v>
      </c>
      <c r="I1271" s="27">
        <v>13024.181053166118</v>
      </c>
      <c r="J1271" s="27">
        <v>22539.494196986707</v>
      </c>
      <c r="K1271" s="27">
        <v>45428.023571460391</v>
      </c>
      <c r="L1271" s="27">
        <v>105065.76126807854</v>
      </c>
      <c r="M1271" s="27">
        <v>213128.23430132063</v>
      </c>
    </row>
    <row r="1272" spans="1:13" x14ac:dyDescent="0.75">
      <c r="A1272" s="40">
        <v>1270</v>
      </c>
      <c r="B1272" s="27">
        <v>789.40317804022925</v>
      </c>
      <c r="C1272" s="27">
        <v>1596.3471795809164</v>
      </c>
      <c r="D1272" s="27">
        <v>2308.2740624390426</v>
      </c>
      <c r="E1272" s="27">
        <v>3441.9588520240941</v>
      </c>
      <c r="F1272" s="27">
        <v>5276.1247112463461</v>
      </c>
      <c r="G1272" s="27">
        <v>7467.4333743433235</v>
      </c>
      <c r="H1272" s="27">
        <v>9204.6596761890687</v>
      </c>
      <c r="I1272" s="27">
        <v>13809.297821788045</v>
      </c>
      <c r="J1272" s="27">
        <v>21431.172724387521</v>
      </c>
      <c r="K1272" s="27">
        <v>48561.699729628075</v>
      </c>
      <c r="L1272" s="27">
        <v>114590.49013308977</v>
      </c>
      <c r="M1272" s="27">
        <v>228476.86144275643</v>
      </c>
    </row>
    <row r="1273" spans="1:13" x14ac:dyDescent="0.75">
      <c r="A1273" s="40">
        <v>1271</v>
      </c>
      <c r="B1273" s="27">
        <v>860.13709392209421</v>
      </c>
      <c r="C1273" s="27">
        <v>1287.1068507238815</v>
      </c>
      <c r="D1273" s="27">
        <v>2319.8209214743547</v>
      </c>
      <c r="E1273" s="27">
        <v>3424.7433769123309</v>
      </c>
      <c r="F1273" s="27">
        <v>5745.4438463183178</v>
      </c>
      <c r="G1273" s="27">
        <v>8020.2816098901967</v>
      </c>
      <c r="H1273" s="27">
        <v>10928.886437916779</v>
      </c>
      <c r="I1273" s="27">
        <v>14315.654357043051</v>
      </c>
      <c r="J1273" s="27">
        <v>23133.29527902171</v>
      </c>
      <c r="K1273" s="27">
        <v>46664.0184343703</v>
      </c>
      <c r="L1273" s="27">
        <v>102415.91695092304</v>
      </c>
      <c r="M1273" s="27">
        <v>219115.30515851604</v>
      </c>
    </row>
    <row r="1274" spans="1:13" x14ac:dyDescent="0.75">
      <c r="A1274" s="40">
        <v>1272</v>
      </c>
      <c r="B1274" s="27">
        <v>630.9725695829984</v>
      </c>
      <c r="C1274" s="27">
        <v>1283.2159978344134</v>
      </c>
      <c r="D1274" s="27">
        <v>2168.0349519496522</v>
      </c>
      <c r="E1274" s="27">
        <v>2959.8165378944686</v>
      </c>
      <c r="F1274" s="27">
        <v>4598.5794692576892</v>
      </c>
      <c r="G1274" s="27">
        <v>7156.9911743125995</v>
      </c>
      <c r="H1274" s="27">
        <v>9691.6952143040689</v>
      </c>
      <c r="I1274" s="27">
        <v>13703.842194506578</v>
      </c>
      <c r="J1274" s="27">
        <v>21811.498238302986</v>
      </c>
      <c r="K1274" s="27">
        <v>44929.795711897837</v>
      </c>
      <c r="L1274" s="27">
        <v>112258.91248440897</v>
      </c>
      <c r="M1274" s="27">
        <v>221193.35454425227</v>
      </c>
    </row>
    <row r="1275" spans="1:13" x14ac:dyDescent="0.75">
      <c r="A1275" s="40">
        <v>1273</v>
      </c>
      <c r="B1275" s="27">
        <v>1263.0205908251519</v>
      </c>
      <c r="C1275" s="27">
        <v>1913.7182868544187</v>
      </c>
      <c r="D1275" s="27">
        <v>2892.8594445394119</v>
      </c>
      <c r="E1275" s="27">
        <v>4153.7840293159534</v>
      </c>
      <c r="F1275" s="27">
        <v>5908.3178069729474</v>
      </c>
      <c r="G1275" s="27">
        <v>8635.8449765702535</v>
      </c>
      <c r="H1275" s="27">
        <v>12006.862529006583</v>
      </c>
      <c r="I1275" s="27">
        <v>15845.622781992599</v>
      </c>
      <c r="J1275" s="27">
        <v>25373.263766336779</v>
      </c>
      <c r="K1275" s="27">
        <v>47907.119502006535</v>
      </c>
      <c r="L1275" s="27">
        <v>116058.20717902313</v>
      </c>
      <c r="M1275" s="27">
        <v>241958.62089344376</v>
      </c>
    </row>
    <row r="1276" spans="1:13" x14ac:dyDescent="0.75">
      <c r="A1276" s="40">
        <v>1274</v>
      </c>
      <c r="B1276" s="27">
        <v>794.65777600953879</v>
      </c>
      <c r="C1276" s="27">
        <v>1193.0639425766858</v>
      </c>
      <c r="D1276" s="27">
        <v>1932.87687959506</v>
      </c>
      <c r="E1276" s="27">
        <v>3035.8022649324994</v>
      </c>
      <c r="F1276" s="27">
        <v>5653.0968200424104</v>
      </c>
      <c r="G1276" s="27">
        <v>8083.8857011158543</v>
      </c>
      <c r="H1276" s="27">
        <v>10983.372328120982</v>
      </c>
      <c r="I1276" s="27">
        <v>14277.395698245338</v>
      </c>
      <c r="J1276" s="27">
        <v>24296.936124893662</v>
      </c>
      <c r="K1276" s="27">
        <v>48107.262667374511</v>
      </c>
      <c r="L1276" s="27">
        <v>110702.77264865713</v>
      </c>
      <c r="M1276" s="27">
        <v>229061.12285156368</v>
      </c>
    </row>
    <row r="1277" spans="1:13" x14ac:dyDescent="0.75">
      <c r="A1277" s="40">
        <v>1275</v>
      </c>
      <c r="B1277" s="27">
        <v>1129.0431000026729</v>
      </c>
      <c r="C1277" s="27">
        <v>1754.827160311208</v>
      </c>
      <c r="D1277" s="27">
        <v>2713.4843857039086</v>
      </c>
      <c r="E1277" s="27">
        <v>3725.9252927480411</v>
      </c>
      <c r="F1277" s="27">
        <v>5934.3770699417219</v>
      </c>
      <c r="G1277" s="27">
        <v>8623.9905778706016</v>
      </c>
      <c r="H1277" s="27">
        <v>10765.528312098511</v>
      </c>
      <c r="I1277" s="27">
        <v>14624.133874337975</v>
      </c>
      <c r="J1277" s="27">
        <v>23775.800811558467</v>
      </c>
      <c r="K1277" s="27">
        <v>49139.122059647736</v>
      </c>
      <c r="L1277" s="27">
        <v>114426.51437296957</v>
      </c>
      <c r="M1277" s="27">
        <v>236612.74701719041</v>
      </c>
    </row>
    <row r="1278" spans="1:13" x14ac:dyDescent="0.75">
      <c r="A1278" s="40">
        <v>1276</v>
      </c>
      <c r="B1278" s="27">
        <v>1231.9573715566803</v>
      </c>
      <c r="C1278" s="27">
        <v>1746.131017462656</v>
      </c>
      <c r="D1278" s="27">
        <v>2639.0358664788073</v>
      </c>
      <c r="E1278" s="27">
        <v>4079.9376193504868</v>
      </c>
      <c r="F1278" s="27">
        <v>5547.8720063565997</v>
      </c>
      <c r="G1278" s="27">
        <v>8240.6366818113311</v>
      </c>
      <c r="H1278" s="27">
        <v>10622.815984070839</v>
      </c>
      <c r="I1278" s="27">
        <v>15310.223920399119</v>
      </c>
      <c r="J1278" s="27">
        <v>22834.118758883676</v>
      </c>
      <c r="K1278" s="27">
        <v>49772.356598105747</v>
      </c>
      <c r="L1278" s="27">
        <v>104058.55519614901</v>
      </c>
      <c r="M1278" s="27">
        <v>226083.64102062496</v>
      </c>
    </row>
    <row r="1279" spans="1:13" x14ac:dyDescent="0.75">
      <c r="A1279" s="40">
        <v>1277</v>
      </c>
      <c r="B1279" s="27">
        <v>519.32109743780165</v>
      </c>
      <c r="C1279" s="27">
        <v>1240.5003411423386</v>
      </c>
      <c r="D1279" s="27">
        <v>2218.2720121121965</v>
      </c>
      <c r="E1279" s="27">
        <v>3350.957117455604</v>
      </c>
      <c r="F1279" s="27">
        <v>5718.0371352958609</v>
      </c>
      <c r="G1279" s="27">
        <v>8297.3563688100548</v>
      </c>
      <c r="H1279" s="27">
        <v>11021.449439332398</v>
      </c>
      <c r="I1279" s="27">
        <v>15311.974930620301</v>
      </c>
      <c r="J1279" s="27">
        <v>24408.956467222015</v>
      </c>
      <c r="K1279" s="27">
        <v>46463.354034945471</v>
      </c>
      <c r="L1279" s="27">
        <v>112670.98795646906</v>
      </c>
      <c r="M1279" s="27">
        <v>231221.16690084309</v>
      </c>
    </row>
    <row r="1280" spans="1:13" x14ac:dyDescent="0.75">
      <c r="A1280" s="40">
        <v>1278</v>
      </c>
      <c r="B1280" s="27">
        <v>808.12488832887902</v>
      </c>
      <c r="C1280" s="27">
        <v>1331.3855155582714</v>
      </c>
      <c r="D1280" s="27">
        <v>2044.5944803793827</v>
      </c>
      <c r="E1280" s="27">
        <v>3266.7407715824666</v>
      </c>
      <c r="F1280" s="27">
        <v>5136.4241047092073</v>
      </c>
      <c r="G1280" s="27">
        <v>7562.1435305341147</v>
      </c>
      <c r="H1280" s="27">
        <v>10316.875253354898</v>
      </c>
      <c r="I1280" s="27">
        <v>14414.577742753376</v>
      </c>
      <c r="J1280" s="27">
        <v>22767.517312088719</v>
      </c>
      <c r="K1280" s="27">
        <v>49449.131869771983</v>
      </c>
      <c r="L1280" s="27">
        <v>113128.77646063382</v>
      </c>
      <c r="M1280" s="27">
        <v>230226.29192969511</v>
      </c>
    </row>
    <row r="1281" spans="1:13" x14ac:dyDescent="0.75">
      <c r="A1281" s="40">
        <v>1279</v>
      </c>
      <c r="B1281" s="27">
        <v>851.60519435134484</v>
      </c>
      <c r="C1281" s="27">
        <v>1383.462532873833</v>
      </c>
      <c r="D1281" s="27">
        <v>2564.4315014029125</v>
      </c>
      <c r="E1281" s="27">
        <v>3623.8315323918068</v>
      </c>
      <c r="F1281" s="27">
        <v>5048.9738087201404</v>
      </c>
      <c r="G1281" s="27">
        <v>7235.7913575299463</v>
      </c>
      <c r="H1281" s="27">
        <v>10400.927157267492</v>
      </c>
      <c r="I1281" s="27">
        <v>15353.45401181998</v>
      </c>
      <c r="J1281" s="27">
        <v>24115.878659932627</v>
      </c>
      <c r="K1281" s="27">
        <v>46874.824786312733</v>
      </c>
      <c r="L1281" s="27">
        <v>118593.4314227517</v>
      </c>
      <c r="M1281" s="27">
        <v>236046.61196535453</v>
      </c>
    </row>
    <row r="1282" spans="1:13" x14ac:dyDescent="0.75">
      <c r="A1282" s="40">
        <v>1280</v>
      </c>
      <c r="B1282" s="27">
        <v>614.13080947834533</v>
      </c>
      <c r="C1282" s="27">
        <v>974.82465692465485</v>
      </c>
      <c r="D1282" s="27">
        <v>1453.585569970237</v>
      </c>
      <c r="E1282" s="27">
        <v>3216.7331829002796</v>
      </c>
      <c r="F1282" s="27">
        <v>5153.660554840666</v>
      </c>
      <c r="G1282" s="27">
        <v>7905.1507452412916</v>
      </c>
      <c r="H1282" s="27">
        <v>10279.661745190315</v>
      </c>
      <c r="I1282" s="27">
        <v>13669.889754793461</v>
      </c>
      <c r="J1282" s="27">
        <v>22288.896354392695</v>
      </c>
      <c r="K1282" s="27">
        <v>45230.95680182286</v>
      </c>
      <c r="L1282" s="27">
        <v>119196.74083603808</v>
      </c>
      <c r="M1282" s="27">
        <v>229984.2310115929</v>
      </c>
    </row>
    <row r="1283" spans="1:13" x14ac:dyDescent="0.75">
      <c r="A1283" s="40">
        <v>1281</v>
      </c>
      <c r="B1283" s="27">
        <v>1567.6953004970419</v>
      </c>
      <c r="C1283" s="27">
        <v>2080.9234501379397</v>
      </c>
      <c r="D1283" s="27">
        <v>2993.3375163253659</v>
      </c>
      <c r="E1283" s="27">
        <v>4223.9092027728766</v>
      </c>
      <c r="F1283" s="27">
        <v>6243.8121024344291</v>
      </c>
      <c r="G1283" s="27">
        <v>8847.2549646015977</v>
      </c>
      <c r="H1283" s="27">
        <v>11558.551205926138</v>
      </c>
      <c r="I1283" s="27">
        <v>15411.418920384021</v>
      </c>
      <c r="J1283" s="27">
        <v>23921.675800719255</v>
      </c>
      <c r="K1283" s="27">
        <v>48011.094591997738</v>
      </c>
      <c r="L1283" s="27">
        <v>115085.19350799041</v>
      </c>
      <c r="M1283" s="27">
        <v>239944.86656378681</v>
      </c>
    </row>
    <row r="1284" spans="1:13" x14ac:dyDescent="0.75">
      <c r="A1284" s="40">
        <v>1282</v>
      </c>
      <c r="B1284" s="27">
        <v>533.59254067769507</v>
      </c>
      <c r="C1284" s="27">
        <v>1100.5694055687345</v>
      </c>
      <c r="D1284" s="27">
        <v>1822.5990165696276</v>
      </c>
      <c r="E1284" s="27">
        <v>2759.5193335276563</v>
      </c>
      <c r="F1284" s="27">
        <v>4644.2245764698891</v>
      </c>
      <c r="G1284" s="27">
        <v>6930.4264882571588</v>
      </c>
      <c r="H1284" s="27">
        <v>9615.7234974029561</v>
      </c>
      <c r="I1284" s="27">
        <v>14004.198911742147</v>
      </c>
      <c r="J1284" s="27">
        <v>22765.980022979697</v>
      </c>
      <c r="K1284" s="27">
        <v>47791.459354873223</v>
      </c>
      <c r="L1284" s="27">
        <v>109027.56788198165</v>
      </c>
      <c r="M1284" s="27">
        <v>220995.86103005044</v>
      </c>
    </row>
    <row r="1285" spans="1:13" x14ac:dyDescent="0.75">
      <c r="A1285" s="40">
        <v>1283</v>
      </c>
      <c r="B1285" s="27">
        <v>866.03428107779473</v>
      </c>
      <c r="C1285" s="27">
        <v>1233.7689871965704</v>
      </c>
      <c r="D1285" s="27">
        <v>2034.5700719745801</v>
      </c>
      <c r="E1285" s="27">
        <v>3059.4212817631778</v>
      </c>
      <c r="F1285" s="27">
        <v>4722.4555685623345</v>
      </c>
      <c r="G1285" s="27">
        <v>7147.6477504612121</v>
      </c>
      <c r="H1285" s="27">
        <v>10037.988761434011</v>
      </c>
      <c r="I1285" s="27">
        <v>14770.650757547046</v>
      </c>
      <c r="J1285" s="27">
        <v>22976.670882476785</v>
      </c>
      <c r="K1285" s="27">
        <v>46515.576977356017</v>
      </c>
      <c r="L1285" s="27">
        <v>106825.34009659401</v>
      </c>
      <c r="M1285" s="27">
        <v>220190.12541644354</v>
      </c>
    </row>
    <row r="1286" spans="1:13" x14ac:dyDescent="0.75">
      <c r="A1286" s="40">
        <v>1284</v>
      </c>
      <c r="B1286" s="27">
        <v>882.90789523630519</v>
      </c>
      <c r="C1286" s="27">
        <v>1576.5399326664046</v>
      </c>
      <c r="D1286" s="27">
        <v>2655.8563930776436</v>
      </c>
      <c r="E1286" s="27">
        <v>3880.1846268994414</v>
      </c>
      <c r="F1286" s="27">
        <v>5707.2999144515197</v>
      </c>
      <c r="G1286" s="27">
        <v>8203.0104645582906</v>
      </c>
      <c r="H1286" s="27">
        <v>10786.99663102637</v>
      </c>
      <c r="I1286" s="27">
        <v>15070.01006496686</v>
      </c>
      <c r="J1286" s="27">
        <v>24344.546165788808</v>
      </c>
      <c r="K1286" s="27">
        <v>50504.322387439228</v>
      </c>
      <c r="L1286" s="27">
        <v>118558.35116046929</v>
      </c>
      <c r="M1286" s="27">
        <v>242170.02563658016</v>
      </c>
    </row>
    <row r="1287" spans="1:13" x14ac:dyDescent="0.75">
      <c r="A1287" s="40">
        <v>1285</v>
      </c>
      <c r="B1287" s="27">
        <v>544.16215088845638</v>
      </c>
      <c r="C1287" s="27">
        <v>953.64500672649592</v>
      </c>
      <c r="D1287" s="27">
        <v>1877.1628208687471</v>
      </c>
      <c r="E1287" s="27">
        <v>2888.158929677229</v>
      </c>
      <c r="F1287" s="27">
        <v>4840.3073661910312</v>
      </c>
      <c r="G1287" s="27">
        <v>6880.6140317721583</v>
      </c>
      <c r="H1287" s="27">
        <v>9254.3496615204931</v>
      </c>
      <c r="I1287" s="27">
        <v>13061.527028051321</v>
      </c>
      <c r="J1287" s="27">
        <v>22321.321812998576</v>
      </c>
      <c r="K1287" s="27">
        <v>44984.466667187851</v>
      </c>
      <c r="L1287" s="27">
        <v>106542.75543793998</v>
      </c>
      <c r="M1287" s="27">
        <v>214148.47091382236</v>
      </c>
    </row>
    <row r="1288" spans="1:13" x14ac:dyDescent="0.75">
      <c r="A1288" s="40">
        <v>1286</v>
      </c>
      <c r="B1288" s="27">
        <v>1533.7526464348921</v>
      </c>
      <c r="C1288" s="27">
        <v>2200.9748183181509</v>
      </c>
      <c r="D1288" s="27">
        <v>2920.658506224092</v>
      </c>
      <c r="E1288" s="27">
        <v>4521.8800468015543</v>
      </c>
      <c r="F1288" s="27">
        <v>6557.5402818441507</v>
      </c>
      <c r="G1288" s="27">
        <v>9577.3177085551724</v>
      </c>
      <c r="H1288" s="27">
        <v>11574.020081439667</v>
      </c>
      <c r="I1288" s="27">
        <v>15788.519048643851</v>
      </c>
      <c r="J1288" s="27">
        <v>23855.915182352095</v>
      </c>
      <c r="K1288" s="27">
        <v>46287.761177264765</v>
      </c>
      <c r="L1288" s="27">
        <v>110016.57657903066</v>
      </c>
      <c r="M1288" s="27">
        <v>234834.91607690905</v>
      </c>
    </row>
    <row r="1289" spans="1:13" x14ac:dyDescent="0.75">
      <c r="A1289" s="40">
        <v>1287</v>
      </c>
      <c r="B1289" s="27">
        <v>1144.1027452662383</v>
      </c>
      <c r="C1289" s="27">
        <v>1600.1684907871822</v>
      </c>
      <c r="D1289" s="27">
        <v>2905.7727557510661</v>
      </c>
      <c r="E1289" s="27">
        <v>3707.3295392429718</v>
      </c>
      <c r="F1289" s="27">
        <v>5509.0612352437893</v>
      </c>
      <c r="G1289" s="27">
        <v>8023.6462061362981</v>
      </c>
      <c r="H1289" s="27">
        <v>10107.526623447207</v>
      </c>
      <c r="I1289" s="27">
        <v>14458.367053866168</v>
      </c>
      <c r="J1289" s="27">
        <v>22916.980034572509</v>
      </c>
      <c r="K1289" s="27">
        <v>45214.866183328093</v>
      </c>
      <c r="L1289" s="27">
        <v>108638.96853820409</v>
      </c>
      <c r="M1289" s="27">
        <v>224226.78940584563</v>
      </c>
    </row>
    <row r="1290" spans="1:13" x14ac:dyDescent="0.75">
      <c r="A1290" s="40">
        <v>1288</v>
      </c>
      <c r="B1290" s="27">
        <v>1394.9142502092582</v>
      </c>
      <c r="C1290" s="27">
        <v>1861.6267524393043</v>
      </c>
      <c r="D1290" s="27">
        <v>2810.6174817319115</v>
      </c>
      <c r="E1290" s="27">
        <v>3875.2786759365117</v>
      </c>
      <c r="F1290" s="27">
        <v>6247.9453042903333</v>
      </c>
      <c r="G1290" s="27">
        <v>8776.7581952761684</v>
      </c>
      <c r="H1290" s="27">
        <v>11607.868108239883</v>
      </c>
      <c r="I1290" s="27">
        <v>15160.791714817125</v>
      </c>
      <c r="J1290" s="27">
        <v>25210.586595843386</v>
      </c>
      <c r="K1290" s="27">
        <v>47148.015013153083</v>
      </c>
      <c r="L1290" s="27">
        <v>109424.30305980684</v>
      </c>
      <c r="M1290" s="27">
        <v>233518.70515174381</v>
      </c>
    </row>
    <row r="1291" spans="1:13" x14ac:dyDescent="0.75">
      <c r="A1291" s="40">
        <v>1289</v>
      </c>
      <c r="B1291" s="27">
        <v>1073.7389800335659</v>
      </c>
      <c r="C1291" s="27">
        <v>1438.0563175643474</v>
      </c>
      <c r="D1291" s="27">
        <v>2341.2466187734681</v>
      </c>
      <c r="E1291" s="27">
        <v>3433.047159429334</v>
      </c>
      <c r="F1291" s="27">
        <v>5724.1251846133382</v>
      </c>
      <c r="G1291" s="27">
        <v>7943.493379927153</v>
      </c>
      <c r="H1291" s="27">
        <v>10512.201840115711</v>
      </c>
      <c r="I1291" s="27">
        <v>14515.25472657822</v>
      </c>
      <c r="J1291" s="27">
        <v>23615.60566394277</v>
      </c>
      <c r="K1291" s="27">
        <v>46881.059979293233</v>
      </c>
      <c r="L1291" s="27">
        <v>113483.15993444421</v>
      </c>
      <c r="M1291" s="27">
        <v>230960.98978471535</v>
      </c>
    </row>
    <row r="1292" spans="1:13" x14ac:dyDescent="0.75">
      <c r="A1292" s="40">
        <v>1290</v>
      </c>
      <c r="B1292" s="27">
        <v>688.12653041481099</v>
      </c>
      <c r="C1292" s="27">
        <v>1028.0320786060911</v>
      </c>
      <c r="D1292" s="27">
        <v>1833.2962574811245</v>
      </c>
      <c r="E1292" s="27">
        <v>2585.8918127288925</v>
      </c>
      <c r="F1292" s="27">
        <v>4387.8717757883569</v>
      </c>
      <c r="G1292" s="27">
        <v>6645.3281210480491</v>
      </c>
      <c r="H1292" s="27">
        <v>9325.6343351463292</v>
      </c>
      <c r="I1292" s="27">
        <v>13142.669162940671</v>
      </c>
      <c r="J1292" s="27">
        <v>21757.062268210808</v>
      </c>
      <c r="K1292" s="27">
        <v>44640.104451472173</v>
      </c>
      <c r="L1292" s="27">
        <v>113071.90556817014</v>
      </c>
      <c r="M1292" s="27">
        <v>219105.92236200743</v>
      </c>
    </row>
    <row r="1293" spans="1:13" x14ac:dyDescent="0.75">
      <c r="A1293" s="40">
        <v>1291</v>
      </c>
      <c r="B1293" s="27">
        <v>779.49210670849425</v>
      </c>
      <c r="C1293" s="27">
        <v>1050.0599248608778</v>
      </c>
      <c r="D1293" s="27">
        <v>1818.5748295508238</v>
      </c>
      <c r="E1293" s="27">
        <v>3048.2687349792541</v>
      </c>
      <c r="F1293" s="27">
        <v>5263.8413675199699</v>
      </c>
      <c r="G1293" s="27">
        <v>7513.6498756956134</v>
      </c>
      <c r="H1293" s="27">
        <v>10240.026630252236</v>
      </c>
      <c r="I1293" s="27">
        <v>14702.630117107139</v>
      </c>
      <c r="J1293" s="27">
        <v>23459.812617618896</v>
      </c>
      <c r="K1293" s="27">
        <v>45922.551959849108</v>
      </c>
      <c r="L1293" s="27">
        <v>107766.41880252873</v>
      </c>
      <c r="M1293" s="27">
        <v>221565.32696667116</v>
      </c>
    </row>
    <row r="1294" spans="1:13" x14ac:dyDescent="0.75">
      <c r="A1294" s="40">
        <v>1292</v>
      </c>
      <c r="B1294" s="27">
        <v>570.81396407879947</v>
      </c>
      <c r="C1294" s="27">
        <v>1001.553219389898</v>
      </c>
      <c r="D1294" s="27">
        <v>2059.3305710239802</v>
      </c>
      <c r="E1294" s="27">
        <v>3380.6179062784358</v>
      </c>
      <c r="F1294" s="27">
        <v>5023.4075647527643</v>
      </c>
      <c r="G1294" s="27">
        <v>7352.0475110724219</v>
      </c>
      <c r="H1294" s="27">
        <v>9467.9878975222091</v>
      </c>
      <c r="I1294" s="27">
        <v>13456.270118302389</v>
      </c>
      <c r="J1294" s="27">
        <v>21827.36965811158</v>
      </c>
      <c r="K1294" s="27">
        <v>45753.982093606508</v>
      </c>
      <c r="L1294" s="27">
        <v>108249.14989426198</v>
      </c>
      <c r="M1294" s="27">
        <v>218142.53039840097</v>
      </c>
    </row>
    <row r="1295" spans="1:13" x14ac:dyDescent="0.75">
      <c r="A1295" s="40">
        <v>1293</v>
      </c>
      <c r="B1295" s="27">
        <v>1136.4260686581838</v>
      </c>
      <c r="C1295" s="27">
        <v>1784.6206242658955</v>
      </c>
      <c r="D1295" s="27">
        <v>2721.6761190447869</v>
      </c>
      <c r="E1295" s="27">
        <v>3829.0260343683476</v>
      </c>
      <c r="F1295" s="27">
        <v>5933.4653881135455</v>
      </c>
      <c r="G1295" s="27">
        <v>8780.1772938051436</v>
      </c>
      <c r="H1295" s="27">
        <v>11534.166933059925</v>
      </c>
      <c r="I1295" s="27">
        <v>15282.524919751726</v>
      </c>
      <c r="J1295" s="27">
        <v>24165.40060405471</v>
      </c>
      <c r="K1295" s="27">
        <v>47985.00079344018</v>
      </c>
      <c r="L1295" s="27">
        <v>105212.55249950232</v>
      </c>
      <c r="M1295" s="27">
        <v>228365.03727806476</v>
      </c>
    </row>
    <row r="1296" spans="1:13" x14ac:dyDescent="0.75">
      <c r="A1296" s="40">
        <v>1294</v>
      </c>
      <c r="B1296" s="27">
        <v>533.74828709335998</v>
      </c>
      <c r="C1296" s="27">
        <v>922.51002944108041</v>
      </c>
      <c r="D1296" s="27">
        <v>1793.4704241491854</v>
      </c>
      <c r="E1296" s="27">
        <v>2717.1152066053182</v>
      </c>
      <c r="F1296" s="27">
        <v>4860.414981760201</v>
      </c>
      <c r="G1296" s="27">
        <v>7271.070329870854</v>
      </c>
      <c r="H1296" s="27">
        <v>9424.9630017277377</v>
      </c>
      <c r="I1296" s="27">
        <v>13656.60956273698</v>
      </c>
      <c r="J1296" s="27">
        <v>22103.345599927095</v>
      </c>
      <c r="K1296" s="27">
        <v>43839.140988539191</v>
      </c>
      <c r="L1296" s="27">
        <v>109771.76616637774</v>
      </c>
      <c r="M1296" s="27">
        <v>216894.15457822874</v>
      </c>
    </row>
    <row r="1297" spans="1:13" x14ac:dyDescent="0.75">
      <c r="A1297" s="40">
        <v>1295</v>
      </c>
      <c r="B1297" s="27">
        <v>1127.8767496317014</v>
      </c>
      <c r="C1297" s="27">
        <v>2023.3734907196922</v>
      </c>
      <c r="D1297" s="27">
        <v>2889.5462248469266</v>
      </c>
      <c r="E1297" s="27">
        <v>4150.118995876488</v>
      </c>
      <c r="F1297" s="27">
        <v>6077.7469882629375</v>
      </c>
      <c r="G1297" s="27">
        <v>8151.7773236940266</v>
      </c>
      <c r="H1297" s="27">
        <v>11480.912522242084</v>
      </c>
      <c r="I1297" s="27">
        <v>14644.612669451701</v>
      </c>
      <c r="J1297" s="27">
        <v>24007.138110737345</v>
      </c>
      <c r="K1297" s="27">
        <v>46485.925543266159</v>
      </c>
      <c r="L1297" s="27">
        <v>117329.17522915571</v>
      </c>
      <c r="M1297" s="27">
        <v>238368.20384788478</v>
      </c>
    </row>
    <row r="1298" spans="1:13" x14ac:dyDescent="0.75">
      <c r="A1298" s="40">
        <v>1296</v>
      </c>
      <c r="B1298" s="27">
        <v>613.28052845208731</v>
      </c>
      <c r="C1298" s="27">
        <v>1186.8112040176347</v>
      </c>
      <c r="D1298" s="27">
        <v>2002.8659254970553</v>
      </c>
      <c r="E1298" s="27">
        <v>3184.870881149327</v>
      </c>
      <c r="F1298" s="27">
        <v>5278.8368455083983</v>
      </c>
      <c r="G1298" s="27">
        <v>7395.8766156823549</v>
      </c>
      <c r="H1298" s="27">
        <v>10273.990481974382</v>
      </c>
      <c r="I1298" s="27">
        <v>13777.208336596406</v>
      </c>
      <c r="J1298" s="27">
        <v>23168.207299243251</v>
      </c>
      <c r="K1298" s="27">
        <v>49088.473584099163</v>
      </c>
      <c r="L1298" s="27">
        <v>107360.76512105216</v>
      </c>
      <c r="M1298" s="27">
        <v>223331.1868232722</v>
      </c>
    </row>
    <row r="1299" spans="1:13" x14ac:dyDescent="0.75">
      <c r="A1299" s="40">
        <v>1297</v>
      </c>
      <c r="B1299" s="27">
        <v>609.12073692360718</v>
      </c>
      <c r="C1299" s="27">
        <v>1346.0118186472391</v>
      </c>
      <c r="D1299" s="27">
        <v>1744.9767178816401</v>
      </c>
      <c r="E1299" s="27">
        <v>2596.2890071366564</v>
      </c>
      <c r="F1299" s="27">
        <v>4466.8116491996043</v>
      </c>
      <c r="G1299" s="27">
        <v>6787.7856402006</v>
      </c>
      <c r="H1299" s="27">
        <v>10063.222528636659</v>
      </c>
      <c r="I1299" s="27">
        <v>14286.729978697564</v>
      </c>
      <c r="J1299" s="27">
        <v>22320.522728723372</v>
      </c>
      <c r="K1299" s="27">
        <v>45989.297001445404</v>
      </c>
      <c r="L1299" s="27">
        <v>112191.27535565227</v>
      </c>
      <c r="M1299" s="27">
        <v>222402.04316314461</v>
      </c>
    </row>
    <row r="1300" spans="1:13" x14ac:dyDescent="0.75">
      <c r="A1300" s="40">
        <v>1298</v>
      </c>
      <c r="B1300" s="27">
        <v>691.67728205118328</v>
      </c>
      <c r="C1300" s="27">
        <v>1105.8170408417936</v>
      </c>
      <c r="D1300" s="27">
        <v>1990.1184659981227</v>
      </c>
      <c r="E1300" s="27">
        <v>3454.8965874788264</v>
      </c>
      <c r="F1300" s="27">
        <v>5576.62244205756</v>
      </c>
      <c r="G1300" s="27">
        <v>8047.8020579706936</v>
      </c>
      <c r="H1300" s="27">
        <v>10365.065152086885</v>
      </c>
      <c r="I1300" s="27">
        <v>14266.919753441209</v>
      </c>
      <c r="J1300" s="27">
        <v>22218.474099846164</v>
      </c>
      <c r="K1300" s="27">
        <v>45231.670636623807</v>
      </c>
      <c r="L1300" s="27">
        <v>113958.44435585526</v>
      </c>
      <c r="M1300" s="27">
        <v>226907.50787425152</v>
      </c>
    </row>
    <row r="1301" spans="1:13" x14ac:dyDescent="0.75">
      <c r="A1301" s="40">
        <v>1299</v>
      </c>
      <c r="B1301" s="27">
        <v>1024.9395888244908</v>
      </c>
      <c r="C1301" s="27">
        <v>1402.0489410880982</v>
      </c>
      <c r="D1301" s="27">
        <v>2349.2440326266951</v>
      </c>
      <c r="E1301" s="27">
        <v>3714.2645914056047</v>
      </c>
      <c r="F1301" s="27">
        <v>5712.4289940244926</v>
      </c>
      <c r="G1301" s="27">
        <v>7915.9339679590194</v>
      </c>
      <c r="H1301" s="27">
        <v>10308.196567652485</v>
      </c>
      <c r="I1301" s="27">
        <v>14408.099298475645</v>
      </c>
      <c r="J1301" s="27">
        <v>25436.528802859859</v>
      </c>
      <c r="K1301" s="27">
        <v>47834.871724739569</v>
      </c>
      <c r="L1301" s="27">
        <v>119647.74632124725</v>
      </c>
      <c r="M1301" s="27">
        <v>239754.30283090321</v>
      </c>
    </row>
    <row r="1302" spans="1:13" x14ac:dyDescent="0.75">
      <c r="A1302" s="40">
        <v>1300</v>
      </c>
      <c r="B1302" s="27">
        <v>772.94634111647611</v>
      </c>
      <c r="C1302" s="27">
        <v>1296.2134721165785</v>
      </c>
      <c r="D1302" s="27">
        <v>1930.2345169433102</v>
      </c>
      <c r="E1302" s="27">
        <v>2953.9940166555461</v>
      </c>
      <c r="F1302" s="27">
        <v>4958.6245023997035</v>
      </c>
      <c r="G1302" s="27">
        <v>7102.4920896250696</v>
      </c>
      <c r="H1302" s="27">
        <v>9288.8027543276839</v>
      </c>
      <c r="I1302" s="27">
        <v>13241.397152030142</v>
      </c>
      <c r="J1302" s="27">
        <v>23711.048238639138</v>
      </c>
      <c r="K1302" s="27">
        <v>45122.530161427916</v>
      </c>
      <c r="L1302" s="27">
        <v>116425.32804343288</v>
      </c>
      <c r="M1302" s="27">
        <v>226803.61128871446</v>
      </c>
    </row>
    <row r="1303" spans="1:13" x14ac:dyDescent="0.75">
      <c r="A1303" s="40">
        <v>1301</v>
      </c>
      <c r="B1303" s="27">
        <v>640.1000848657568</v>
      </c>
      <c r="C1303" s="27">
        <v>1208.0008047597803</v>
      </c>
      <c r="D1303" s="27">
        <v>1994.5762609687663</v>
      </c>
      <c r="E1303" s="27">
        <v>3304.7430929969123</v>
      </c>
      <c r="F1303" s="27">
        <v>5021.7166400463029</v>
      </c>
      <c r="G1303" s="27">
        <v>7385.9653762824892</v>
      </c>
      <c r="H1303" s="27">
        <v>9625.0268992901838</v>
      </c>
      <c r="I1303" s="27">
        <v>13762.480279931464</v>
      </c>
      <c r="J1303" s="27">
        <v>22188.002749106527</v>
      </c>
      <c r="K1303" s="27">
        <v>45269.844250178052</v>
      </c>
      <c r="L1303" s="27">
        <v>111837.8226749937</v>
      </c>
      <c r="M1303" s="27">
        <v>222238.27911341994</v>
      </c>
    </row>
    <row r="1304" spans="1:13" x14ac:dyDescent="0.75">
      <c r="A1304" s="40">
        <v>1302</v>
      </c>
      <c r="B1304" s="27">
        <v>903.78838308092963</v>
      </c>
      <c r="C1304" s="27">
        <v>1566.6108763547381</v>
      </c>
      <c r="D1304" s="27">
        <v>2490.8726668937306</v>
      </c>
      <c r="E1304" s="27">
        <v>3672.1766698752472</v>
      </c>
      <c r="F1304" s="27">
        <v>5980.550069693767</v>
      </c>
      <c r="G1304" s="27">
        <v>7996.9213605737896</v>
      </c>
      <c r="H1304" s="27">
        <v>10567.041517936887</v>
      </c>
      <c r="I1304" s="27">
        <v>14252.469970902865</v>
      </c>
      <c r="J1304" s="27">
        <v>24097.115365198639</v>
      </c>
      <c r="K1304" s="27">
        <v>48735.756302271155</v>
      </c>
      <c r="L1304" s="27">
        <v>119820.27055182369</v>
      </c>
      <c r="M1304" s="27">
        <v>240083.57373460545</v>
      </c>
    </row>
    <row r="1305" spans="1:13" x14ac:dyDescent="0.75">
      <c r="A1305" s="40">
        <v>1303</v>
      </c>
      <c r="B1305" s="27">
        <v>816.00974556192523</v>
      </c>
      <c r="C1305" s="27">
        <v>1099.4090565211955</v>
      </c>
      <c r="D1305" s="27">
        <v>2022.3600134945591</v>
      </c>
      <c r="E1305" s="27">
        <v>3274.6681384512776</v>
      </c>
      <c r="F1305" s="27">
        <v>5499.666822437488</v>
      </c>
      <c r="G1305" s="27">
        <v>7980.1078534004919</v>
      </c>
      <c r="H1305" s="27">
        <v>11204.321424418886</v>
      </c>
      <c r="I1305" s="27">
        <v>15396.413359966798</v>
      </c>
      <c r="J1305" s="27">
        <v>23367.747183277796</v>
      </c>
      <c r="K1305" s="27">
        <v>46703.995107076858</v>
      </c>
      <c r="L1305" s="27">
        <v>110598.49765470607</v>
      </c>
      <c r="M1305" s="27">
        <v>227963.19635931333</v>
      </c>
    </row>
    <row r="1306" spans="1:13" x14ac:dyDescent="0.75">
      <c r="A1306" s="40">
        <v>1304</v>
      </c>
      <c r="B1306" s="27">
        <v>606.13782974673086</v>
      </c>
      <c r="C1306" s="27">
        <v>1192.8064576303586</v>
      </c>
      <c r="D1306" s="27">
        <v>1958.014760813996</v>
      </c>
      <c r="E1306" s="27">
        <v>3242.6510836921661</v>
      </c>
      <c r="F1306" s="27">
        <v>5182.1111489396135</v>
      </c>
      <c r="G1306" s="27">
        <v>7387.2884346139617</v>
      </c>
      <c r="H1306" s="27">
        <v>9380.4401427554549</v>
      </c>
      <c r="I1306" s="27">
        <v>13865.664512280156</v>
      </c>
      <c r="J1306" s="27">
        <v>21044.037650346028</v>
      </c>
      <c r="K1306" s="27">
        <v>46164.515304035944</v>
      </c>
      <c r="L1306" s="27">
        <v>104869.02536239332</v>
      </c>
      <c r="M1306" s="27">
        <v>214892.69268724773</v>
      </c>
    </row>
    <row r="1307" spans="1:13" x14ac:dyDescent="0.75">
      <c r="A1307" s="40">
        <v>1305</v>
      </c>
      <c r="B1307" s="27">
        <v>590.18624228658155</v>
      </c>
      <c r="C1307" s="27">
        <v>1226.9536930097674</v>
      </c>
      <c r="D1307" s="27">
        <v>1812.3468571318081</v>
      </c>
      <c r="E1307" s="27">
        <v>3087.245804772625</v>
      </c>
      <c r="F1307" s="27">
        <v>4718.2110093299416</v>
      </c>
      <c r="G1307" s="27">
        <v>6543.4286696628842</v>
      </c>
      <c r="H1307" s="27">
        <v>9381.16270821949</v>
      </c>
      <c r="I1307" s="27">
        <v>13906.720283961986</v>
      </c>
      <c r="J1307" s="27">
        <v>21699.317880870163</v>
      </c>
      <c r="K1307" s="27">
        <v>44477.867802542343</v>
      </c>
      <c r="L1307" s="27">
        <v>114558.15672197807</v>
      </c>
      <c r="M1307" s="27">
        <v>222001.59767376567</v>
      </c>
    </row>
    <row r="1308" spans="1:13" x14ac:dyDescent="0.75">
      <c r="A1308" s="40">
        <v>1306</v>
      </c>
      <c r="B1308" s="27">
        <v>1381.4641207050154</v>
      </c>
      <c r="C1308" s="27">
        <v>2273.7898075510457</v>
      </c>
      <c r="D1308" s="27">
        <v>3204.361783855813</v>
      </c>
      <c r="E1308" s="27">
        <v>4294.2080778957461</v>
      </c>
      <c r="F1308" s="27">
        <v>6323.076595421051</v>
      </c>
      <c r="G1308" s="27">
        <v>8957.5478646264237</v>
      </c>
      <c r="H1308" s="27">
        <v>11643.305357917183</v>
      </c>
      <c r="I1308" s="27">
        <v>16593.098698642425</v>
      </c>
      <c r="J1308" s="27">
        <v>24997.850754540996</v>
      </c>
      <c r="K1308" s="27">
        <v>46492.386165093369</v>
      </c>
      <c r="L1308" s="27">
        <v>114671.65956942074</v>
      </c>
      <c r="M1308" s="27">
        <v>240832.74879566982</v>
      </c>
    </row>
    <row r="1309" spans="1:13" x14ac:dyDescent="0.75">
      <c r="A1309" s="40">
        <v>1307</v>
      </c>
      <c r="B1309" s="27">
        <v>667.04830327161471</v>
      </c>
      <c r="C1309" s="27">
        <v>1103.8766602887627</v>
      </c>
      <c r="D1309" s="27">
        <v>1993.8283025857236</v>
      </c>
      <c r="E1309" s="27">
        <v>2876.2928277040628</v>
      </c>
      <c r="F1309" s="27">
        <v>4865.7809522884345</v>
      </c>
      <c r="G1309" s="27">
        <v>7468.5920187124866</v>
      </c>
      <c r="H1309" s="27">
        <v>10279.033327119061</v>
      </c>
      <c r="I1309" s="27">
        <v>13915.512241061951</v>
      </c>
      <c r="J1309" s="27">
        <v>24623.743074060912</v>
      </c>
      <c r="K1309" s="27">
        <v>45395.413150442677</v>
      </c>
      <c r="L1309" s="27">
        <v>113738.59927916792</v>
      </c>
      <c r="M1309" s="27">
        <v>226927.7201367036</v>
      </c>
    </row>
    <row r="1310" spans="1:13" x14ac:dyDescent="0.75">
      <c r="A1310" s="40">
        <v>1308</v>
      </c>
      <c r="B1310" s="27">
        <v>1100.6779763394879</v>
      </c>
      <c r="C1310" s="27">
        <v>1530.1574453237117</v>
      </c>
      <c r="D1310" s="27">
        <v>2569.4795443226758</v>
      </c>
      <c r="E1310" s="27">
        <v>3783.5434756970644</v>
      </c>
      <c r="F1310" s="27">
        <v>5335.6297883134248</v>
      </c>
      <c r="G1310" s="27">
        <v>8142.664084415941</v>
      </c>
      <c r="H1310" s="27">
        <v>10097.848040227022</v>
      </c>
      <c r="I1310" s="27">
        <v>14680.873407451771</v>
      </c>
      <c r="J1310" s="27">
        <v>22263.189390285392</v>
      </c>
      <c r="K1310" s="27">
        <v>46894.872965623974</v>
      </c>
      <c r="L1310" s="27">
        <v>108382.45670837873</v>
      </c>
      <c r="M1310" s="27">
        <v>224781.39282637919</v>
      </c>
    </row>
    <row r="1311" spans="1:13" x14ac:dyDescent="0.75">
      <c r="A1311" s="40">
        <v>1309</v>
      </c>
      <c r="B1311" s="27">
        <v>1283.2815242727957</v>
      </c>
      <c r="C1311" s="27">
        <v>1764.0761305966589</v>
      </c>
      <c r="D1311" s="27">
        <v>2690.7139314554952</v>
      </c>
      <c r="E1311" s="27">
        <v>3574.1322825692769</v>
      </c>
      <c r="F1311" s="27">
        <v>5727.2548300976923</v>
      </c>
      <c r="G1311" s="27">
        <v>7849.1743022804148</v>
      </c>
      <c r="H1311" s="27">
        <v>9974.3672810948192</v>
      </c>
      <c r="I1311" s="27">
        <v>14543.072543606482</v>
      </c>
      <c r="J1311" s="27">
        <v>22861.457378766485</v>
      </c>
      <c r="K1311" s="27">
        <v>48282.72043395233</v>
      </c>
      <c r="L1311" s="27">
        <v>114032.58985482645</v>
      </c>
      <c r="M1311" s="27">
        <v>232582.84049351892</v>
      </c>
    </row>
    <row r="1312" spans="1:13" x14ac:dyDescent="0.75">
      <c r="A1312" s="40">
        <v>1310</v>
      </c>
      <c r="B1312" s="27">
        <v>726.2758390543604</v>
      </c>
      <c r="C1312" s="27">
        <v>969.6125228934834</v>
      </c>
      <c r="D1312" s="27">
        <v>1831.5959936400322</v>
      </c>
      <c r="E1312" s="27">
        <v>3225.7102130823914</v>
      </c>
      <c r="F1312" s="27">
        <v>4944.4697990832792</v>
      </c>
      <c r="G1312" s="27">
        <v>7260.1600584729167</v>
      </c>
      <c r="H1312" s="27">
        <v>9715.0441873448144</v>
      </c>
      <c r="I1312" s="27">
        <v>13785.488233802709</v>
      </c>
      <c r="J1312" s="27">
        <v>23146.214064557906</v>
      </c>
      <c r="K1312" s="27">
        <v>46062.934379070328</v>
      </c>
      <c r="L1312" s="27">
        <v>116838.11305313271</v>
      </c>
      <c r="M1312" s="27">
        <v>228505.61834413494</v>
      </c>
    </row>
    <row r="1313" spans="1:13" x14ac:dyDescent="0.75">
      <c r="A1313" s="40">
        <v>1311</v>
      </c>
      <c r="B1313" s="27">
        <v>623.70392053633987</v>
      </c>
      <c r="C1313" s="27">
        <v>1113.1791929497413</v>
      </c>
      <c r="D1313" s="27">
        <v>1734.4524150721554</v>
      </c>
      <c r="E1313" s="27">
        <v>3183.3177346529264</v>
      </c>
      <c r="F1313" s="27">
        <v>4815.2046748159337</v>
      </c>
      <c r="G1313" s="27">
        <v>6475.141319009068</v>
      </c>
      <c r="H1313" s="27">
        <v>9669.7327294909192</v>
      </c>
      <c r="I1313" s="27">
        <v>13507.031804689977</v>
      </c>
      <c r="J1313" s="27">
        <v>22029.79129810883</v>
      </c>
      <c r="K1313" s="27">
        <v>46555.158269593958</v>
      </c>
      <c r="L1313" s="27">
        <v>109284.36159685151</v>
      </c>
      <c r="M1313" s="27">
        <v>218991.07495577136</v>
      </c>
    </row>
    <row r="1314" spans="1:13" x14ac:dyDescent="0.75">
      <c r="A1314" s="40">
        <v>1312</v>
      </c>
      <c r="B1314" s="27">
        <v>1156.9994538238243</v>
      </c>
      <c r="C1314" s="27">
        <v>1653.1798947055358</v>
      </c>
      <c r="D1314" s="27">
        <v>2902.7671750065492</v>
      </c>
      <c r="E1314" s="27">
        <v>4128.5972668338945</v>
      </c>
      <c r="F1314" s="27">
        <v>6455.0303696790943</v>
      </c>
      <c r="G1314" s="27">
        <v>8379.0395564106002</v>
      </c>
      <c r="H1314" s="27">
        <v>10471.001534721276</v>
      </c>
      <c r="I1314" s="27">
        <v>14387.965425546296</v>
      </c>
      <c r="J1314" s="27">
        <v>24617.355722114284</v>
      </c>
      <c r="K1314" s="27">
        <v>47283.301083370548</v>
      </c>
      <c r="L1314" s="27">
        <v>115651.98805797068</v>
      </c>
      <c r="M1314" s="27">
        <v>237087.22554018258</v>
      </c>
    </row>
    <row r="1315" spans="1:13" x14ac:dyDescent="0.75">
      <c r="A1315" s="40">
        <v>1313</v>
      </c>
      <c r="B1315" s="27">
        <v>1035.3513943004364</v>
      </c>
      <c r="C1315" s="27">
        <v>1716.0139922918461</v>
      </c>
      <c r="D1315" s="27">
        <v>2517.7981878680439</v>
      </c>
      <c r="E1315" s="27">
        <v>3779.8445011618023</v>
      </c>
      <c r="F1315" s="27">
        <v>5107.2187533946562</v>
      </c>
      <c r="G1315" s="27">
        <v>7609.3014586936042</v>
      </c>
      <c r="H1315" s="27">
        <v>10516.045452001708</v>
      </c>
      <c r="I1315" s="27">
        <v>14364.045734684769</v>
      </c>
      <c r="J1315" s="27">
        <v>23990.910938131114</v>
      </c>
      <c r="K1315" s="27">
        <v>46556.803164916317</v>
      </c>
      <c r="L1315" s="27">
        <v>102148.20152267878</v>
      </c>
      <c r="M1315" s="27">
        <v>219341.53510012309</v>
      </c>
    </row>
    <row r="1316" spans="1:13" x14ac:dyDescent="0.75">
      <c r="A1316" s="40">
        <v>1314</v>
      </c>
      <c r="B1316" s="27">
        <v>835.71181837473705</v>
      </c>
      <c r="C1316" s="27">
        <v>1474.9857170824253</v>
      </c>
      <c r="D1316" s="27">
        <v>2357.3524954894092</v>
      </c>
      <c r="E1316" s="27">
        <v>3549.8670063323661</v>
      </c>
      <c r="F1316" s="27">
        <v>5414.8198005112063</v>
      </c>
      <c r="G1316" s="27">
        <v>7919.8563060857123</v>
      </c>
      <c r="H1316" s="27">
        <v>10517.935553073388</v>
      </c>
      <c r="I1316" s="27">
        <v>14522.634671093154</v>
      </c>
      <c r="J1316" s="27">
        <v>21756.698372610626</v>
      </c>
      <c r="K1316" s="27">
        <v>46125.474603745766</v>
      </c>
      <c r="L1316" s="27">
        <v>112860.84777860119</v>
      </c>
      <c r="M1316" s="27">
        <v>227336.18412299998</v>
      </c>
    </row>
    <row r="1317" spans="1:13" x14ac:dyDescent="0.75">
      <c r="A1317" s="40">
        <v>1315</v>
      </c>
      <c r="B1317" s="27">
        <v>803.25648694457777</v>
      </c>
      <c r="C1317" s="27">
        <v>1512.3950001611374</v>
      </c>
      <c r="D1317" s="27">
        <v>2487.7200994045706</v>
      </c>
      <c r="E1317" s="27">
        <v>3596.1218654880213</v>
      </c>
      <c r="F1317" s="27">
        <v>5588.4715892672539</v>
      </c>
      <c r="G1317" s="27">
        <v>7353.6346874222509</v>
      </c>
      <c r="H1317" s="27">
        <v>10559.705320333829</v>
      </c>
      <c r="I1317" s="27">
        <v>14240.837155006564</v>
      </c>
      <c r="J1317" s="27">
        <v>22270.569247994776</v>
      </c>
      <c r="K1317" s="27">
        <v>44224.777282927927</v>
      </c>
      <c r="L1317" s="27">
        <v>101793.95078300312</v>
      </c>
      <c r="M1317" s="27">
        <v>214431.43951795402</v>
      </c>
    </row>
    <row r="1318" spans="1:13" x14ac:dyDescent="0.75">
      <c r="A1318" s="40">
        <v>1316</v>
      </c>
      <c r="B1318" s="27">
        <v>709.43654644911294</v>
      </c>
      <c r="C1318" s="27">
        <v>1211.2723232182179</v>
      </c>
      <c r="D1318" s="27">
        <v>2080.8461791446316</v>
      </c>
      <c r="E1318" s="27">
        <v>3535.3313511230808</v>
      </c>
      <c r="F1318" s="27">
        <v>5593.8470191257948</v>
      </c>
      <c r="G1318" s="27">
        <v>7678.3212710246153</v>
      </c>
      <c r="H1318" s="27">
        <v>10021.661090333801</v>
      </c>
      <c r="I1318" s="27">
        <v>14910.793860183214</v>
      </c>
      <c r="J1318" s="27">
        <v>22711.599258533417</v>
      </c>
      <c r="K1318" s="27">
        <v>47288.375991502195</v>
      </c>
      <c r="L1318" s="27">
        <v>111094.4624837618</v>
      </c>
      <c r="M1318" s="27">
        <v>226835.94737439987</v>
      </c>
    </row>
    <row r="1319" spans="1:13" x14ac:dyDescent="0.75">
      <c r="A1319" s="40">
        <v>1317</v>
      </c>
      <c r="B1319" s="27">
        <v>385.39204567829438</v>
      </c>
      <c r="C1319" s="27">
        <v>1046.9447507427685</v>
      </c>
      <c r="D1319" s="27">
        <v>1929.9513501959009</v>
      </c>
      <c r="E1319" s="27">
        <v>2835.5902631576027</v>
      </c>
      <c r="F1319" s="27">
        <v>4749.9763134442619</v>
      </c>
      <c r="G1319" s="27">
        <v>7024.7412233140785</v>
      </c>
      <c r="H1319" s="27">
        <v>9276.0792760083568</v>
      </c>
      <c r="I1319" s="27">
        <v>13466.715194376957</v>
      </c>
      <c r="J1319" s="27">
        <v>22684.31617805842</v>
      </c>
      <c r="K1319" s="27">
        <v>44616.951967647561</v>
      </c>
      <c r="L1319" s="27">
        <v>110813.0031264961</v>
      </c>
      <c r="M1319" s="27">
        <v>218829.66168912029</v>
      </c>
    </row>
    <row r="1320" spans="1:13" x14ac:dyDescent="0.75">
      <c r="A1320" s="40">
        <v>1318</v>
      </c>
      <c r="B1320" s="27">
        <v>1125.9028159889567</v>
      </c>
      <c r="C1320" s="27">
        <v>1554.3390693710244</v>
      </c>
      <c r="D1320" s="27">
        <v>2196.9171451382863</v>
      </c>
      <c r="E1320" s="27">
        <v>3438.1770463038702</v>
      </c>
      <c r="F1320" s="27">
        <v>5517.8639360700618</v>
      </c>
      <c r="G1320" s="27">
        <v>7751.8733868252602</v>
      </c>
      <c r="H1320" s="27">
        <v>10859.156496103184</v>
      </c>
      <c r="I1320" s="27">
        <v>15119.714767240759</v>
      </c>
      <c r="J1320" s="27">
        <v>23034.427831247362</v>
      </c>
      <c r="K1320" s="27">
        <v>47868.707456163567</v>
      </c>
      <c r="L1320" s="27">
        <v>114455.47547416839</v>
      </c>
      <c r="M1320" s="27">
        <v>232922.55542462072</v>
      </c>
    </row>
    <row r="1321" spans="1:13" x14ac:dyDescent="0.75">
      <c r="A1321" s="40">
        <v>1319</v>
      </c>
      <c r="B1321" s="27">
        <v>205.46576531117898</v>
      </c>
      <c r="C1321" s="27">
        <v>909.66480922960909</v>
      </c>
      <c r="D1321" s="27">
        <v>1858.6797285629291</v>
      </c>
      <c r="E1321" s="27">
        <v>2778.1607654904801</v>
      </c>
      <c r="F1321" s="27">
        <v>4909.4619908154127</v>
      </c>
      <c r="G1321" s="27">
        <v>7291.4268552755238</v>
      </c>
      <c r="H1321" s="27">
        <v>9324.4256800747244</v>
      </c>
      <c r="I1321" s="27">
        <v>13822.458009752081</v>
      </c>
      <c r="J1321" s="27">
        <v>23506.621393198468</v>
      </c>
      <c r="K1321" s="27">
        <v>46466.365318414872</v>
      </c>
      <c r="L1321" s="27">
        <v>106031.35057377382</v>
      </c>
      <c r="M1321" s="27">
        <v>217104.08088989911</v>
      </c>
    </row>
    <row r="1322" spans="1:13" x14ac:dyDescent="0.75">
      <c r="A1322" s="40">
        <v>1320</v>
      </c>
      <c r="B1322" s="27">
        <v>634.32400439528283</v>
      </c>
      <c r="C1322" s="27">
        <v>1046.7107639006572</v>
      </c>
      <c r="D1322" s="27">
        <v>1895.7679428125848</v>
      </c>
      <c r="E1322" s="27">
        <v>2879.6849561634735</v>
      </c>
      <c r="F1322" s="27">
        <v>4803.8003278140095</v>
      </c>
      <c r="G1322" s="27">
        <v>6842.6789989140234</v>
      </c>
      <c r="H1322" s="27">
        <v>9558.78826034964</v>
      </c>
      <c r="I1322" s="27">
        <v>13509.978128743911</v>
      </c>
      <c r="J1322" s="27">
        <v>21814.074500295101</v>
      </c>
      <c r="K1322" s="27">
        <v>43357.154243741548</v>
      </c>
      <c r="L1322" s="27">
        <v>102411.09135152097</v>
      </c>
      <c r="M1322" s="27">
        <v>208754.05347865121</v>
      </c>
    </row>
    <row r="1323" spans="1:13" x14ac:dyDescent="0.75">
      <c r="A1323" s="40">
        <v>1321</v>
      </c>
      <c r="B1323" s="27">
        <v>754.60805633720884</v>
      </c>
      <c r="C1323" s="27">
        <v>1367.2090565958206</v>
      </c>
      <c r="D1323" s="27">
        <v>2406.7769522479794</v>
      </c>
      <c r="E1323" s="27">
        <v>3431.7677659028996</v>
      </c>
      <c r="F1323" s="27">
        <v>5387.1325673841493</v>
      </c>
      <c r="G1323" s="27">
        <v>7572.5011496265652</v>
      </c>
      <c r="H1323" s="27">
        <v>10588.867633552392</v>
      </c>
      <c r="I1323" s="27">
        <v>14322.663275134793</v>
      </c>
      <c r="J1323" s="27">
        <v>24121.441788604207</v>
      </c>
      <c r="K1323" s="27">
        <v>46537.668953466404</v>
      </c>
      <c r="L1323" s="27">
        <v>116968.55798045121</v>
      </c>
      <c r="M1323" s="27">
        <v>233459.19517930364</v>
      </c>
    </row>
    <row r="1324" spans="1:13" x14ac:dyDescent="0.75">
      <c r="A1324" s="40">
        <v>1322</v>
      </c>
      <c r="B1324" s="27">
        <v>524.14808631676715</v>
      </c>
      <c r="C1324" s="27">
        <v>1014.1714861516812</v>
      </c>
      <c r="D1324" s="27">
        <v>1753.2500397071562</v>
      </c>
      <c r="E1324" s="27">
        <v>2772.7711072420789</v>
      </c>
      <c r="F1324" s="27">
        <v>4908.0216514748754</v>
      </c>
      <c r="G1324" s="27">
        <v>7403.4058360969939</v>
      </c>
      <c r="H1324" s="27">
        <v>10075.8048484264</v>
      </c>
      <c r="I1324" s="27">
        <v>14746.336702042579</v>
      </c>
      <c r="J1324" s="27">
        <v>23054.878872694331</v>
      </c>
      <c r="K1324" s="27">
        <v>45262.876261014491</v>
      </c>
      <c r="L1324" s="27">
        <v>112380.47933204542</v>
      </c>
      <c r="M1324" s="27">
        <v>223896.14422321279</v>
      </c>
    </row>
    <row r="1325" spans="1:13" x14ac:dyDescent="0.75">
      <c r="A1325" s="40">
        <v>1323</v>
      </c>
      <c r="B1325" s="27">
        <v>1283.9647481374996</v>
      </c>
      <c r="C1325" s="27">
        <v>1638.4125755829882</v>
      </c>
      <c r="D1325" s="27">
        <v>2535.9190468348243</v>
      </c>
      <c r="E1325" s="27">
        <v>3605.7884109000006</v>
      </c>
      <c r="F1325" s="27">
        <v>5234.9107989180484</v>
      </c>
      <c r="G1325" s="27">
        <v>7319.6380549902678</v>
      </c>
      <c r="H1325" s="27">
        <v>9816.006180127064</v>
      </c>
      <c r="I1325" s="27">
        <v>14485.350414495333</v>
      </c>
      <c r="J1325" s="27">
        <v>24011.292210662126</v>
      </c>
      <c r="K1325" s="27">
        <v>46303.174027019471</v>
      </c>
      <c r="L1325" s="27">
        <v>104990.99019921722</v>
      </c>
      <c r="M1325" s="27">
        <v>221225.44666688485</v>
      </c>
    </row>
    <row r="1326" spans="1:13" x14ac:dyDescent="0.75">
      <c r="A1326" s="40">
        <v>1324</v>
      </c>
      <c r="B1326" s="27">
        <v>972.20605476036144</v>
      </c>
      <c r="C1326" s="27">
        <v>1871.6672051861242</v>
      </c>
      <c r="D1326" s="27">
        <v>2673.0501634296525</v>
      </c>
      <c r="E1326" s="27">
        <v>4120.8284265999682</v>
      </c>
      <c r="F1326" s="27">
        <v>6077.9593608290015</v>
      </c>
      <c r="G1326" s="27">
        <v>8603.3064241043758</v>
      </c>
      <c r="H1326" s="27">
        <v>11416.477374151727</v>
      </c>
      <c r="I1326" s="27">
        <v>15280.358350364797</v>
      </c>
      <c r="J1326" s="27">
        <v>24818.022071224317</v>
      </c>
      <c r="K1326" s="27">
        <v>46943.556173566554</v>
      </c>
      <c r="L1326" s="27">
        <v>107674.55116260226</v>
      </c>
      <c r="M1326" s="27">
        <v>230451.98276681913</v>
      </c>
    </row>
    <row r="1327" spans="1:13" x14ac:dyDescent="0.75">
      <c r="A1327" s="40">
        <v>1325</v>
      </c>
      <c r="B1327" s="27">
        <v>616.30586543654499</v>
      </c>
      <c r="C1327" s="27">
        <v>1112.7453132539667</v>
      </c>
      <c r="D1327" s="27">
        <v>1810.889394364247</v>
      </c>
      <c r="E1327" s="27">
        <v>3381.0026652070228</v>
      </c>
      <c r="F1327" s="27">
        <v>4912.5879356695077</v>
      </c>
      <c r="G1327" s="27">
        <v>7181.3429443761415</v>
      </c>
      <c r="H1327" s="27">
        <v>10075.595535477594</v>
      </c>
      <c r="I1327" s="27">
        <v>14583.681041183183</v>
      </c>
      <c r="J1327" s="27">
        <v>23615.625696570874</v>
      </c>
      <c r="K1327" s="27">
        <v>43730.476381357701</v>
      </c>
      <c r="L1327" s="27">
        <v>118745.45798395383</v>
      </c>
      <c r="M1327" s="27">
        <v>229765.7107568506</v>
      </c>
    </row>
    <row r="1328" spans="1:13" x14ac:dyDescent="0.75">
      <c r="A1328" s="40">
        <v>1326</v>
      </c>
      <c r="B1328" s="27">
        <v>646.57346050952037</v>
      </c>
      <c r="C1328" s="27">
        <v>1014.8152995356941</v>
      </c>
      <c r="D1328" s="27">
        <v>1773.1969895003276</v>
      </c>
      <c r="E1328" s="27">
        <v>2757.561694340824</v>
      </c>
      <c r="F1328" s="27">
        <v>4944.3836626449192</v>
      </c>
      <c r="G1328" s="27">
        <v>7376.7410975169623</v>
      </c>
      <c r="H1328" s="27">
        <v>10059.074307205883</v>
      </c>
      <c r="I1328" s="27">
        <v>13533.878426811716</v>
      </c>
      <c r="J1328" s="27">
        <v>22321.990773032332</v>
      </c>
      <c r="K1328" s="27">
        <v>46907.548599805217</v>
      </c>
      <c r="L1328" s="27">
        <v>106572.04329808016</v>
      </c>
      <c r="M1328" s="27">
        <v>217907.80760898354</v>
      </c>
    </row>
    <row r="1329" spans="1:13" x14ac:dyDescent="0.75">
      <c r="A1329" s="40">
        <v>1327</v>
      </c>
      <c r="B1329" s="27">
        <v>827.67890019714832</v>
      </c>
      <c r="C1329" s="27">
        <v>1247.7896203207201</v>
      </c>
      <c r="D1329" s="27">
        <v>2149.9423785390973</v>
      </c>
      <c r="E1329" s="27">
        <v>3348.1971368727682</v>
      </c>
      <c r="F1329" s="27">
        <v>5237.3837554277852</v>
      </c>
      <c r="G1329" s="27">
        <v>8134.2268451107957</v>
      </c>
      <c r="H1329" s="27">
        <v>10947.301931161768</v>
      </c>
      <c r="I1329" s="27">
        <v>15731.71597945776</v>
      </c>
      <c r="J1329" s="27">
        <v>23429.095885572286</v>
      </c>
      <c r="K1329" s="27">
        <v>46872.167965497531</v>
      </c>
      <c r="L1329" s="27">
        <v>116071.16588709023</v>
      </c>
      <c r="M1329" s="27">
        <v>233996.66628524789</v>
      </c>
    </row>
    <row r="1330" spans="1:13" x14ac:dyDescent="0.75">
      <c r="A1330" s="40">
        <v>1328</v>
      </c>
      <c r="B1330" s="27">
        <v>633.17715026580845</v>
      </c>
      <c r="C1330" s="27">
        <v>1170.2824184826168</v>
      </c>
      <c r="D1330" s="27">
        <v>1748.1999897171045</v>
      </c>
      <c r="E1330" s="27">
        <v>2628.0035695985134</v>
      </c>
      <c r="F1330" s="27">
        <v>4855.1355637823581</v>
      </c>
      <c r="G1330" s="27">
        <v>7011.7620720097329</v>
      </c>
      <c r="H1330" s="27">
        <v>10249.353134096542</v>
      </c>
      <c r="I1330" s="27">
        <v>14154.096582662693</v>
      </c>
      <c r="J1330" s="27">
        <v>22374.215748235423</v>
      </c>
      <c r="K1330" s="27">
        <v>45746.368382740722</v>
      </c>
      <c r="L1330" s="27">
        <v>116593.7823580322</v>
      </c>
      <c r="M1330" s="27">
        <v>227164.37696962373</v>
      </c>
    </row>
    <row r="1331" spans="1:13" x14ac:dyDescent="0.75">
      <c r="A1331" s="40">
        <v>1329</v>
      </c>
      <c r="B1331" s="27">
        <v>774.90743159256817</v>
      </c>
      <c r="C1331" s="27">
        <v>1323.1676500411559</v>
      </c>
      <c r="D1331" s="27">
        <v>2182.4194736399368</v>
      </c>
      <c r="E1331" s="27">
        <v>3416.2523414300522</v>
      </c>
      <c r="F1331" s="27">
        <v>5583.5146381801169</v>
      </c>
      <c r="G1331" s="27">
        <v>8483.8101676262158</v>
      </c>
      <c r="H1331" s="27">
        <v>11348.309351322619</v>
      </c>
      <c r="I1331" s="27">
        <v>15377.984007144492</v>
      </c>
      <c r="J1331" s="27">
        <v>25079.987668693109</v>
      </c>
      <c r="K1331" s="27">
        <v>46532.970687261113</v>
      </c>
      <c r="L1331" s="27">
        <v>108951.39643632693</v>
      </c>
      <c r="M1331" s="27">
        <v>229054.71985325831</v>
      </c>
    </row>
    <row r="1332" spans="1:13" x14ac:dyDescent="0.75">
      <c r="A1332" s="40">
        <v>1330</v>
      </c>
      <c r="B1332" s="27">
        <v>654.66918583998631</v>
      </c>
      <c r="C1332" s="27">
        <v>1279.7309181201854</v>
      </c>
      <c r="D1332" s="27">
        <v>2017.6706838635146</v>
      </c>
      <c r="E1332" s="27">
        <v>3138.6468838869914</v>
      </c>
      <c r="F1332" s="27">
        <v>4683.4876294967253</v>
      </c>
      <c r="G1332" s="27">
        <v>7361.8607639370312</v>
      </c>
      <c r="H1332" s="27">
        <v>9666.1662656280532</v>
      </c>
      <c r="I1332" s="27">
        <v>14501.422098690033</v>
      </c>
      <c r="J1332" s="27">
        <v>22719.484868570464</v>
      </c>
      <c r="K1332" s="27">
        <v>46088.542091567331</v>
      </c>
      <c r="L1332" s="27">
        <v>109733.79602738906</v>
      </c>
      <c r="M1332" s="27">
        <v>221845.47741698939</v>
      </c>
    </row>
    <row r="1333" spans="1:13" x14ac:dyDescent="0.75">
      <c r="A1333" s="40">
        <v>1331</v>
      </c>
      <c r="B1333" s="27">
        <v>664.8637308946054</v>
      </c>
      <c r="C1333" s="27">
        <v>1345.0142259423301</v>
      </c>
      <c r="D1333" s="27">
        <v>2227.4811093816825</v>
      </c>
      <c r="E1333" s="27">
        <v>3209.6899667511607</v>
      </c>
      <c r="F1333" s="27">
        <v>4884.6551224346331</v>
      </c>
      <c r="G1333" s="27">
        <v>7081.5231247447664</v>
      </c>
      <c r="H1333" s="27">
        <v>9811.2116338880151</v>
      </c>
      <c r="I1333" s="27">
        <v>13925.34761016391</v>
      </c>
      <c r="J1333" s="27">
        <v>24180.151393098582</v>
      </c>
      <c r="K1333" s="27">
        <v>44116.821399039793</v>
      </c>
      <c r="L1333" s="27">
        <v>114140.62838954742</v>
      </c>
      <c r="M1333" s="27">
        <v>225587.38770588691</v>
      </c>
    </row>
    <row r="1334" spans="1:13" x14ac:dyDescent="0.75">
      <c r="A1334" s="40">
        <v>1332</v>
      </c>
      <c r="B1334" s="27">
        <v>1502.2044520414056</v>
      </c>
      <c r="C1334" s="27">
        <v>2047.1015515163017</v>
      </c>
      <c r="D1334" s="27">
        <v>3125.5942278962757</v>
      </c>
      <c r="E1334" s="27">
        <v>4271.4515608704096</v>
      </c>
      <c r="F1334" s="27">
        <v>6431.3586035155749</v>
      </c>
      <c r="G1334" s="27">
        <v>8309.245857300295</v>
      </c>
      <c r="H1334" s="27">
        <v>11356.268684944691</v>
      </c>
      <c r="I1334" s="27">
        <v>15408.425696809587</v>
      </c>
      <c r="J1334" s="27">
        <v>24246.592812759511</v>
      </c>
      <c r="K1334" s="27">
        <v>49320.529099305597</v>
      </c>
      <c r="L1334" s="27">
        <v>114813.40402216704</v>
      </c>
      <c r="M1334" s="27">
        <v>240832.17656912669</v>
      </c>
    </row>
    <row r="1335" spans="1:13" x14ac:dyDescent="0.75">
      <c r="A1335" s="40">
        <v>1333</v>
      </c>
      <c r="B1335" s="27">
        <v>423.97267303502304</v>
      </c>
      <c r="C1335" s="27">
        <v>925.2684333994257</v>
      </c>
      <c r="D1335" s="27">
        <v>2104.3388891306386</v>
      </c>
      <c r="E1335" s="27">
        <v>3043.1221275198332</v>
      </c>
      <c r="F1335" s="27">
        <v>4774.4137373544945</v>
      </c>
      <c r="G1335" s="27">
        <v>7192.8163353242271</v>
      </c>
      <c r="H1335" s="27">
        <v>9799.6948531093367</v>
      </c>
      <c r="I1335" s="27">
        <v>13276.245592964289</v>
      </c>
      <c r="J1335" s="27">
        <v>22077.887662616209</v>
      </c>
      <c r="K1335" s="27">
        <v>47154.277099050683</v>
      </c>
      <c r="L1335" s="27">
        <v>106636.78281904721</v>
      </c>
      <c r="M1335" s="27">
        <v>217408.82022255135</v>
      </c>
    </row>
    <row r="1336" spans="1:13" x14ac:dyDescent="0.75">
      <c r="A1336" s="40">
        <v>1334</v>
      </c>
      <c r="B1336" s="27">
        <v>298.52717239879712</v>
      </c>
      <c r="C1336" s="27">
        <v>887.68751644845179</v>
      </c>
      <c r="D1336" s="27">
        <v>1824.3434878945263</v>
      </c>
      <c r="E1336" s="27">
        <v>3002.3517022837914</v>
      </c>
      <c r="F1336" s="27">
        <v>4860.6978047085868</v>
      </c>
      <c r="G1336" s="27">
        <v>7016.3091195238521</v>
      </c>
      <c r="H1336" s="27">
        <v>9252.1686424635263</v>
      </c>
      <c r="I1336" s="27">
        <v>14629.291778572006</v>
      </c>
      <c r="J1336" s="27">
        <v>22376.90662467372</v>
      </c>
      <c r="K1336" s="27">
        <v>47943.978528128297</v>
      </c>
      <c r="L1336" s="27">
        <v>103806.95803423261</v>
      </c>
      <c r="M1336" s="27">
        <v>215899.22041132816</v>
      </c>
    </row>
    <row r="1337" spans="1:13" x14ac:dyDescent="0.75">
      <c r="A1337" s="40">
        <v>1335</v>
      </c>
      <c r="B1337" s="27">
        <v>206.99745855378569</v>
      </c>
      <c r="C1337" s="27">
        <v>943.93544327490963</v>
      </c>
      <c r="D1337" s="27">
        <v>1698.995452903866</v>
      </c>
      <c r="E1337" s="27">
        <v>2521.2857905978453</v>
      </c>
      <c r="F1337" s="27">
        <v>4538.1329057268304</v>
      </c>
      <c r="G1337" s="27">
        <v>6982.0454406115168</v>
      </c>
      <c r="H1337" s="27">
        <v>10105.937668860977</v>
      </c>
      <c r="I1337" s="27">
        <v>14538.172852387594</v>
      </c>
      <c r="J1337" s="27">
        <v>23231.304933222607</v>
      </c>
      <c r="K1337" s="27">
        <v>46514.822876373582</v>
      </c>
      <c r="L1337" s="27">
        <v>102440.25031155528</v>
      </c>
      <c r="M1337" s="27">
        <v>213721.8811340688</v>
      </c>
    </row>
    <row r="1338" spans="1:13" x14ac:dyDescent="0.75">
      <c r="A1338" s="40">
        <v>1336</v>
      </c>
      <c r="B1338" s="27">
        <v>887.02978967486706</v>
      </c>
      <c r="C1338" s="27">
        <v>1449.6494114052766</v>
      </c>
      <c r="D1338" s="27">
        <v>2476.5447095613927</v>
      </c>
      <c r="E1338" s="27">
        <v>3642.4966988455417</v>
      </c>
      <c r="F1338" s="27">
        <v>5340.6674604611471</v>
      </c>
      <c r="G1338" s="27">
        <v>7414.3619240608823</v>
      </c>
      <c r="H1338" s="27">
        <v>10214.305488618847</v>
      </c>
      <c r="I1338" s="27">
        <v>14218.779845034238</v>
      </c>
      <c r="J1338" s="27">
        <v>23578.822840910871</v>
      </c>
      <c r="K1338" s="27">
        <v>46219.385724424763</v>
      </c>
      <c r="L1338" s="27">
        <v>105133.52760327689</v>
      </c>
      <c r="M1338" s="27">
        <v>220575.57149627473</v>
      </c>
    </row>
    <row r="1339" spans="1:13" x14ac:dyDescent="0.75">
      <c r="A1339" s="40">
        <v>1337</v>
      </c>
      <c r="B1339" s="27">
        <v>1130.7577856613789</v>
      </c>
      <c r="C1339" s="27">
        <v>1564.7186338243628</v>
      </c>
      <c r="D1339" s="27">
        <v>2491.1413104594976</v>
      </c>
      <c r="E1339" s="27">
        <v>3860.1609200185922</v>
      </c>
      <c r="F1339" s="27">
        <v>5604.789739227781</v>
      </c>
      <c r="G1339" s="27">
        <v>8474.2642671170179</v>
      </c>
      <c r="H1339" s="27">
        <v>10993.042507194739</v>
      </c>
      <c r="I1339" s="27">
        <v>14345.103152555937</v>
      </c>
      <c r="J1339" s="27">
        <v>22658.538357567377</v>
      </c>
      <c r="K1339" s="27">
        <v>46960.465136153216</v>
      </c>
      <c r="L1339" s="27">
        <v>105385.54590857864</v>
      </c>
      <c r="M1339" s="27">
        <v>223468.52771835856</v>
      </c>
    </row>
    <row r="1340" spans="1:13" x14ac:dyDescent="0.75">
      <c r="A1340" s="40">
        <v>1338</v>
      </c>
      <c r="B1340" s="27">
        <v>1283.5011762531503</v>
      </c>
      <c r="C1340" s="27">
        <v>1794.1816855106299</v>
      </c>
      <c r="D1340" s="27">
        <v>2516.8678170001658</v>
      </c>
      <c r="E1340" s="27">
        <v>3652.3605905770819</v>
      </c>
      <c r="F1340" s="27">
        <v>5411.3625002708577</v>
      </c>
      <c r="G1340" s="27">
        <v>7411.8018500136968</v>
      </c>
      <c r="H1340" s="27">
        <v>9785.1060189181881</v>
      </c>
      <c r="I1340" s="27">
        <v>14234.127520223657</v>
      </c>
      <c r="J1340" s="27">
        <v>22564.876268618464</v>
      </c>
      <c r="K1340" s="27">
        <v>48707.342497456586</v>
      </c>
      <c r="L1340" s="27">
        <v>114610.83322353984</v>
      </c>
      <c r="M1340" s="27">
        <v>231972.3611483823</v>
      </c>
    </row>
    <row r="1341" spans="1:13" x14ac:dyDescent="0.75">
      <c r="A1341" s="40">
        <v>1339</v>
      </c>
      <c r="B1341" s="27">
        <v>816.91058005215018</v>
      </c>
      <c r="C1341" s="27">
        <v>1230.5148629115138</v>
      </c>
      <c r="D1341" s="27">
        <v>1947.1409978296142</v>
      </c>
      <c r="E1341" s="27">
        <v>2695.3968294248043</v>
      </c>
      <c r="F1341" s="27">
        <v>4671.7209221278608</v>
      </c>
      <c r="G1341" s="27">
        <v>6971.8373958179436</v>
      </c>
      <c r="H1341" s="27">
        <v>9559.1041128046199</v>
      </c>
      <c r="I1341" s="27">
        <v>14099.684578607747</v>
      </c>
      <c r="J1341" s="27">
        <v>21736.181618377857</v>
      </c>
      <c r="K1341" s="27">
        <v>45687.819825651794</v>
      </c>
      <c r="L1341" s="27">
        <v>117724.70091932622</v>
      </c>
      <c r="M1341" s="27">
        <v>227141.01264293212</v>
      </c>
    </row>
    <row r="1342" spans="1:13" x14ac:dyDescent="0.75">
      <c r="A1342" s="40">
        <v>1340</v>
      </c>
      <c r="B1342" s="27">
        <v>707.30349458187993</v>
      </c>
      <c r="C1342" s="27">
        <v>891.10807596046652</v>
      </c>
      <c r="D1342" s="27">
        <v>1588.6741239508556</v>
      </c>
      <c r="E1342" s="27">
        <v>2781.7949435580231</v>
      </c>
      <c r="F1342" s="27">
        <v>4622.5511862073035</v>
      </c>
      <c r="G1342" s="27">
        <v>6769.2441765581025</v>
      </c>
      <c r="H1342" s="27">
        <v>9401.43263402296</v>
      </c>
      <c r="I1342" s="27">
        <v>13249.33489363805</v>
      </c>
      <c r="J1342" s="27">
        <v>21122.630997228218</v>
      </c>
      <c r="K1342" s="27">
        <v>48135.696353424501</v>
      </c>
      <c r="L1342" s="27">
        <v>103516.25463069824</v>
      </c>
      <c r="M1342" s="27">
        <v>212786.02550982859</v>
      </c>
    </row>
    <row r="1343" spans="1:13" x14ac:dyDescent="0.75">
      <c r="A1343" s="40">
        <v>1341</v>
      </c>
      <c r="B1343" s="27">
        <v>420.00108623922279</v>
      </c>
      <c r="C1343" s="27">
        <v>1019.321011788852</v>
      </c>
      <c r="D1343" s="27">
        <v>1705.71205147203</v>
      </c>
      <c r="E1343" s="27">
        <v>2530.5246185720462</v>
      </c>
      <c r="F1343" s="27">
        <v>4439.4413229895727</v>
      </c>
      <c r="G1343" s="27">
        <v>6813.1667057248414</v>
      </c>
      <c r="H1343" s="27">
        <v>9438.1767141044256</v>
      </c>
      <c r="I1343" s="27">
        <v>13495.290872151818</v>
      </c>
      <c r="J1343" s="27">
        <v>22766.82730864422</v>
      </c>
      <c r="K1343" s="27">
        <v>43620.422237896739</v>
      </c>
      <c r="L1343" s="27">
        <v>116450.86767150175</v>
      </c>
      <c r="M1343" s="27">
        <v>222699.75160108553</v>
      </c>
    </row>
    <row r="1344" spans="1:13" x14ac:dyDescent="0.75">
      <c r="A1344" s="40">
        <v>1342</v>
      </c>
      <c r="B1344" s="27">
        <v>973.5612313226884</v>
      </c>
      <c r="C1344" s="27">
        <v>1420.32559501176</v>
      </c>
      <c r="D1344" s="27">
        <v>2238.5342773596203</v>
      </c>
      <c r="E1344" s="27">
        <v>3676.8446166263166</v>
      </c>
      <c r="F1344" s="27">
        <v>5724.2705074861005</v>
      </c>
      <c r="G1344" s="27">
        <v>7886.6202457762556</v>
      </c>
      <c r="H1344" s="27">
        <v>10117.460414606758</v>
      </c>
      <c r="I1344" s="27">
        <v>14362.868307373283</v>
      </c>
      <c r="J1344" s="27">
        <v>24522.838386257412</v>
      </c>
      <c r="K1344" s="27">
        <v>47210.703372174205</v>
      </c>
      <c r="L1344" s="27">
        <v>113263.60067431387</v>
      </c>
      <c r="M1344" s="27">
        <v>231397.62762830826</v>
      </c>
    </row>
    <row r="1345" spans="1:13" x14ac:dyDescent="0.75">
      <c r="A1345" s="40">
        <v>1343</v>
      </c>
      <c r="B1345" s="27">
        <v>712.8159927319939</v>
      </c>
      <c r="C1345" s="27">
        <v>1067.7200239869417</v>
      </c>
      <c r="D1345" s="27">
        <v>1827.3539858843724</v>
      </c>
      <c r="E1345" s="27">
        <v>3161.4887914033025</v>
      </c>
      <c r="F1345" s="27">
        <v>5015.823624157696</v>
      </c>
      <c r="G1345" s="27">
        <v>7422.7503003714664</v>
      </c>
      <c r="H1345" s="27">
        <v>10529.095956002537</v>
      </c>
      <c r="I1345" s="27">
        <v>14975.006514753069</v>
      </c>
      <c r="J1345" s="27">
        <v>23471.427690744109</v>
      </c>
      <c r="K1345" s="27">
        <v>46744.780203831178</v>
      </c>
      <c r="L1345" s="27">
        <v>104803.6612131742</v>
      </c>
      <c r="M1345" s="27">
        <v>219731.92429704085</v>
      </c>
    </row>
    <row r="1346" spans="1:13" x14ac:dyDescent="0.75">
      <c r="A1346" s="40">
        <v>1344</v>
      </c>
      <c r="B1346" s="27">
        <v>1201.8164024770376</v>
      </c>
      <c r="C1346" s="27">
        <v>1894.601882527757</v>
      </c>
      <c r="D1346" s="27">
        <v>2671.9221596569405</v>
      </c>
      <c r="E1346" s="27">
        <v>3853.9587270017219</v>
      </c>
      <c r="F1346" s="27">
        <v>5773.8454705416807</v>
      </c>
      <c r="G1346" s="27">
        <v>8118.5469556554453</v>
      </c>
      <c r="H1346" s="27">
        <v>11406.020069282386</v>
      </c>
      <c r="I1346" s="27">
        <v>14914.671378211162</v>
      </c>
      <c r="J1346" s="27">
        <v>24669.615096032168</v>
      </c>
      <c r="K1346" s="27">
        <v>46983.130054153706</v>
      </c>
      <c r="L1346" s="27">
        <v>119389.60973726273</v>
      </c>
      <c r="M1346" s="27">
        <v>240877.73793280273</v>
      </c>
    </row>
    <row r="1347" spans="1:13" x14ac:dyDescent="0.75">
      <c r="A1347" s="40">
        <v>1345</v>
      </c>
      <c r="B1347" s="27">
        <v>523.3601024569798</v>
      </c>
      <c r="C1347" s="27">
        <v>1092.5367721964139</v>
      </c>
      <c r="D1347" s="27">
        <v>1785.3507025024301</v>
      </c>
      <c r="E1347" s="27">
        <v>2507.9603111237957</v>
      </c>
      <c r="F1347" s="27">
        <v>3974.9315518178191</v>
      </c>
      <c r="G1347" s="27">
        <v>7013.0910481028841</v>
      </c>
      <c r="H1347" s="27">
        <v>9861.1031887059507</v>
      </c>
      <c r="I1347" s="27">
        <v>13569.537164720721</v>
      </c>
      <c r="J1347" s="27">
        <v>22980.276541431405</v>
      </c>
      <c r="K1347" s="27">
        <v>47362.586133848061</v>
      </c>
      <c r="L1347" s="27">
        <v>111963.29909988926</v>
      </c>
      <c r="M1347" s="27">
        <v>222634.03261679574</v>
      </c>
    </row>
    <row r="1348" spans="1:13" x14ac:dyDescent="0.75">
      <c r="A1348" s="40">
        <v>1346</v>
      </c>
      <c r="B1348" s="27">
        <v>1091.8197455816844</v>
      </c>
      <c r="C1348" s="27">
        <v>1535.2946691228426</v>
      </c>
      <c r="D1348" s="27">
        <v>2850.8682184325007</v>
      </c>
      <c r="E1348" s="27">
        <v>3859.8705042633082</v>
      </c>
      <c r="F1348" s="27">
        <v>5840.0795744546631</v>
      </c>
      <c r="G1348" s="27">
        <v>8017.4631175356626</v>
      </c>
      <c r="H1348" s="27">
        <v>11123.08554588753</v>
      </c>
      <c r="I1348" s="27">
        <v>15401.417679423117</v>
      </c>
      <c r="J1348" s="27">
        <v>24481.613216245314</v>
      </c>
      <c r="K1348" s="27">
        <v>47831.676121694065</v>
      </c>
      <c r="L1348" s="27">
        <v>112907.58221119631</v>
      </c>
      <c r="M1348" s="27">
        <v>234940.77060383698</v>
      </c>
    </row>
    <row r="1349" spans="1:13" x14ac:dyDescent="0.75">
      <c r="A1349" s="40">
        <v>1347</v>
      </c>
      <c r="B1349" s="27">
        <v>917.06440176515025</v>
      </c>
      <c r="C1349" s="27">
        <v>1369.8944078594941</v>
      </c>
      <c r="D1349" s="27">
        <v>2350.3121059492696</v>
      </c>
      <c r="E1349" s="27">
        <v>3527.8735502767086</v>
      </c>
      <c r="F1349" s="27">
        <v>5324.4483453252469</v>
      </c>
      <c r="G1349" s="27">
        <v>7434.2640317178157</v>
      </c>
      <c r="H1349" s="27">
        <v>9934.9524768409901</v>
      </c>
      <c r="I1349" s="27">
        <v>13975.863055582522</v>
      </c>
      <c r="J1349" s="27">
        <v>22755.36883656292</v>
      </c>
      <c r="K1349" s="27">
        <v>49491.183714919753</v>
      </c>
      <c r="L1349" s="27">
        <v>109312.92641290066</v>
      </c>
      <c r="M1349" s="27">
        <v>226394.15133970053</v>
      </c>
    </row>
    <row r="1350" spans="1:13" x14ac:dyDescent="0.75">
      <c r="A1350" s="40">
        <v>1348</v>
      </c>
      <c r="B1350" s="27">
        <v>827.29293849306123</v>
      </c>
      <c r="C1350" s="27">
        <v>1238.9698752743861</v>
      </c>
      <c r="D1350" s="27">
        <v>2126.7374896223482</v>
      </c>
      <c r="E1350" s="27">
        <v>3555.2399621554941</v>
      </c>
      <c r="F1350" s="27">
        <v>5435.861638541508</v>
      </c>
      <c r="G1350" s="27">
        <v>7688.251894922374</v>
      </c>
      <c r="H1350" s="27">
        <v>9911.9329532531556</v>
      </c>
      <c r="I1350" s="27">
        <v>13715.085401112781</v>
      </c>
      <c r="J1350" s="27">
        <v>24089.0630921189</v>
      </c>
      <c r="K1350" s="27">
        <v>48389.816239934473</v>
      </c>
      <c r="L1350" s="27">
        <v>111910.71955259165</v>
      </c>
      <c r="M1350" s="27">
        <v>228888.97103802013</v>
      </c>
    </row>
    <row r="1351" spans="1:13" x14ac:dyDescent="0.75">
      <c r="A1351" s="40">
        <v>1349</v>
      </c>
      <c r="B1351" s="27">
        <v>775.54223206154711</v>
      </c>
      <c r="C1351" s="27">
        <v>1205.843215090048</v>
      </c>
      <c r="D1351" s="27">
        <v>2231.5197178628296</v>
      </c>
      <c r="E1351" s="27">
        <v>3453.4460553800891</v>
      </c>
      <c r="F1351" s="27">
        <v>5601.9146802221949</v>
      </c>
      <c r="G1351" s="27">
        <v>8182.7491114463774</v>
      </c>
      <c r="H1351" s="27">
        <v>11081.063759645418</v>
      </c>
      <c r="I1351" s="27">
        <v>14801.779778791941</v>
      </c>
      <c r="J1351" s="27">
        <v>23515.068982543991</v>
      </c>
      <c r="K1351" s="27">
        <v>47495.14406618732</v>
      </c>
      <c r="L1351" s="27">
        <v>117599.92857432003</v>
      </c>
      <c r="M1351" s="27">
        <v>235944.00017355179</v>
      </c>
    </row>
    <row r="1352" spans="1:13" x14ac:dyDescent="0.75">
      <c r="A1352" s="40">
        <v>1350</v>
      </c>
      <c r="B1352" s="27">
        <v>1169.2449616754602</v>
      </c>
      <c r="C1352" s="27">
        <v>1898.9311410658265</v>
      </c>
      <c r="D1352" s="27">
        <v>2732.2127055464807</v>
      </c>
      <c r="E1352" s="27">
        <v>4319.2725496558996</v>
      </c>
      <c r="F1352" s="27">
        <v>6390.4211463366228</v>
      </c>
      <c r="G1352" s="27">
        <v>8525.9949885953974</v>
      </c>
      <c r="H1352" s="27">
        <v>11121.600041267142</v>
      </c>
      <c r="I1352" s="27">
        <v>14894.523069039176</v>
      </c>
      <c r="J1352" s="27">
        <v>23762.613183277455</v>
      </c>
      <c r="K1352" s="27">
        <v>47350.994810133474</v>
      </c>
      <c r="L1352" s="27">
        <v>111391.33594711033</v>
      </c>
      <c r="M1352" s="27">
        <v>233557.14454370327</v>
      </c>
    </row>
    <row r="1353" spans="1:13" x14ac:dyDescent="0.75">
      <c r="A1353" s="40">
        <v>1351</v>
      </c>
      <c r="B1353" s="27">
        <v>587.08054319734219</v>
      </c>
      <c r="C1353" s="27">
        <v>933.67822279625398</v>
      </c>
      <c r="D1353" s="27">
        <v>1665.8226326635049</v>
      </c>
      <c r="E1353" s="27">
        <v>3001.0693280195701</v>
      </c>
      <c r="F1353" s="27">
        <v>5007.3858465476515</v>
      </c>
      <c r="G1353" s="27">
        <v>7547.9662371403829</v>
      </c>
      <c r="H1353" s="27">
        <v>9843.8176001692191</v>
      </c>
      <c r="I1353" s="27">
        <v>14134.682590536482</v>
      </c>
      <c r="J1353" s="27">
        <v>22713.04850287197</v>
      </c>
      <c r="K1353" s="27">
        <v>44433.989800944619</v>
      </c>
      <c r="L1353" s="27">
        <v>110324.54911683573</v>
      </c>
      <c r="M1353" s="27">
        <v>220193.09042172274</v>
      </c>
    </row>
    <row r="1354" spans="1:13" x14ac:dyDescent="0.75">
      <c r="A1354" s="40">
        <v>1352</v>
      </c>
      <c r="B1354" s="27">
        <v>979.49815817050694</v>
      </c>
      <c r="C1354" s="27">
        <v>1742.5886075060844</v>
      </c>
      <c r="D1354" s="27">
        <v>2752.8558577052609</v>
      </c>
      <c r="E1354" s="27">
        <v>4082.6201044780028</v>
      </c>
      <c r="F1354" s="27">
        <v>6205.7622779343801</v>
      </c>
      <c r="G1354" s="27">
        <v>8592.2611119213107</v>
      </c>
      <c r="H1354" s="27">
        <v>11401.486291128182</v>
      </c>
      <c r="I1354" s="27">
        <v>14956.349561878436</v>
      </c>
      <c r="J1354" s="27">
        <v>23429.214646284847</v>
      </c>
      <c r="K1354" s="27">
        <v>48155.075522062587</v>
      </c>
      <c r="L1354" s="27">
        <v>112339.21047358682</v>
      </c>
      <c r="M1354" s="27">
        <v>234636.92261265643</v>
      </c>
    </row>
    <row r="1355" spans="1:13" x14ac:dyDescent="0.75">
      <c r="A1355" s="40">
        <v>1353</v>
      </c>
      <c r="B1355" s="27">
        <v>1071.7304542215861</v>
      </c>
      <c r="C1355" s="27">
        <v>1566.9446735201782</v>
      </c>
      <c r="D1355" s="27">
        <v>2820.5863124519237</v>
      </c>
      <c r="E1355" s="27">
        <v>3725.6723753910337</v>
      </c>
      <c r="F1355" s="27">
        <v>5731.9618755604024</v>
      </c>
      <c r="G1355" s="27">
        <v>8057.5910106185183</v>
      </c>
      <c r="H1355" s="27">
        <v>10789.049497803237</v>
      </c>
      <c r="I1355" s="27">
        <v>14469.981734473229</v>
      </c>
      <c r="J1355" s="27">
        <v>22732.052235938478</v>
      </c>
      <c r="K1355" s="27">
        <v>45297.743504148355</v>
      </c>
      <c r="L1355" s="27">
        <v>120741.34039547405</v>
      </c>
      <c r="M1355" s="27">
        <v>237004.65406960098</v>
      </c>
    </row>
    <row r="1356" spans="1:13" x14ac:dyDescent="0.75">
      <c r="A1356" s="40">
        <v>1354</v>
      </c>
      <c r="B1356" s="27">
        <v>1287.9411403277627</v>
      </c>
      <c r="C1356" s="27">
        <v>1895.4965041872056</v>
      </c>
      <c r="D1356" s="27">
        <v>2722.9132832051109</v>
      </c>
      <c r="E1356" s="27">
        <v>3923.9241355258564</v>
      </c>
      <c r="F1356" s="27">
        <v>6029.3762113913253</v>
      </c>
      <c r="G1356" s="27">
        <v>8291.0871225287556</v>
      </c>
      <c r="H1356" s="27">
        <v>10382.90026601743</v>
      </c>
      <c r="I1356" s="27">
        <v>14247.267699059928</v>
      </c>
      <c r="J1356" s="27">
        <v>24149.565075366074</v>
      </c>
      <c r="K1356" s="27">
        <v>45020.228964760172</v>
      </c>
      <c r="L1356" s="27">
        <v>112793.99116789678</v>
      </c>
      <c r="M1356" s="27">
        <v>230744.69157026638</v>
      </c>
    </row>
    <row r="1357" spans="1:13" x14ac:dyDescent="0.75">
      <c r="A1357" s="40">
        <v>1355</v>
      </c>
      <c r="B1357" s="27">
        <v>437.80040330422344</v>
      </c>
      <c r="C1357" s="27">
        <v>879.92919150817033</v>
      </c>
      <c r="D1357" s="27">
        <v>1873.6419315965031</v>
      </c>
      <c r="E1357" s="27">
        <v>3176.6445672387927</v>
      </c>
      <c r="F1357" s="27">
        <v>5239.261883587722</v>
      </c>
      <c r="G1357" s="27">
        <v>7424.9737225715653</v>
      </c>
      <c r="H1357" s="27">
        <v>9971.7078340997832</v>
      </c>
      <c r="I1357" s="27">
        <v>13444.021359179489</v>
      </c>
      <c r="J1357" s="27">
        <v>23144.357435976097</v>
      </c>
      <c r="K1357" s="27">
        <v>47691.049204508017</v>
      </c>
      <c r="L1357" s="27">
        <v>109609.65816426565</v>
      </c>
      <c r="M1357" s="27">
        <v>222893.04569783603</v>
      </c>
    </row>
    <row r="1358" spans="1:13" x14ac:dyDescent="0.75">
      <c r="A1358" s="40">
        <v>1356</v>
      </c>
      <c r="B1358" s="27">
        <v>1213.882613818394</v>
      </c>
      <c r="C1358" s="27">
        <v>1779.7846088000369</v>
      </c>
      <c r="D1358" s="27">
        <v>2643.9380405542761</v>
      </c>
      <c r="E1358" s="27">
        <v>4065.1460261752509</v>
      </c>
      <c r="F1358" s="27">
        <v>6155.1191680784686</v>
      </c>
      <c r="G1358" s="27">
        <v>8481.4693338190555</v>
      </c>
      <c r="H1358" s="27">
        <v>10680.707114870704</v>
      </c>
      <c r="I1358" s="27">
        <v>15439.833796811363</v>
      </c>
      <c r="J1358" s="27">
        <v>24788.890041714418</v>
      </c>
      <c r="K1358" s="27">
        <v>49513.387316414373</v>
      </c>
      <c r="L1358" s="27">
        <v>123687.16879599047</v>
      </c>
      <c r="M1358" s="27">
        <v>248449.32685704681</v>
      </c>
    </row>
    <row r="1359" spans="1:13" x14ac:dyDescent="0.75">
      <c r="A1359" s="40">
        <v>1357</v>
      </c>
      <c r="B1359" s="27">
        <v>845.42441647968371</v>
      </c>
      <c r="C1359" s="27">
        <v>1472.5139206563908</v>
      </c>
      <c r="D1359" s="27">
        <v>2500.2768447095441</v>
      </c>
      <c r="E1359" s="27">
        <v>3602.2587452455336</v>
      </c>
      <c r="F1359" s="27">
        <v>5832.3956261327257</v>
      </c>
      <c r="G1359" s="27">
        <v>8158.7537783298467</v>
      </c>
      <c r="H1359" s="27">
        <v>10501.490910244727</v>
      </c>
      <c r="I1359" s="27">
        <v>14406.131966713161</v>
      </c>
      <c r="J1359" s="27">
        <v>24545.578957382197</v>
      </c>
      <c r="K1359" s="27">
        <v>46930.043357382034</v>
      </c>
      <c r="L1359" s="27">
        <v>117069.30060376407</v>
      </c>
      <c r="M1359" s="27">
        <v>235864.1691270399</v>
      </c>
    </row>
    <row r="1360" spans="1:13" x14ac:dyDescent="0.75">
      <c r="A1360" s="40">
        <v>1358</v>
      </c>
      <c r="B1360" s="27">
        <v>703.11219658904884</v>
      </c>
      <c r="C1360" s="27">
        <v>934.37668112534448</v>
      </c>
      <c r="D1360" s="27">
        <v>1744.5607130353892</v>
      </c>
      <c r="E1360" s="27">
        <v>2743.681933675718</v>
      </c>
      <c r="F1360" s="27">
        <v>5039.6494367799605</v>
      </c>
      <c r="G1360" s="27">
        <v>7356.0684612573532</v>
      </c>
      <c r="H1360" s="27">
        <v>9774.3300623260147</v>
      </c>
      <c r="I1360" s="27">
        <v>13875.779917938664</v>
      </c>
      <c r="J1360" s="27">
        <v>23351.958429064631</v>
      </c>
      <c r="K1360" s="27">
        <v>46185.747461938678</v>
      </c>
      <c r="L1360" s="27">
        <v>111261.35944077573</v>
      </c>
      <c r="M1360" s="27">
        <v>222970.62473450653</v>
      </c>
    </row>
    <row r="1361" spans="1:13" x14ac:dyDescent="0.75">
      <c r="A1361" s="40">
        <v>1359</v>
      </c>
      <c r="B1361" s="27">
        <v>1174.8223763262067</v>
      </c>
      <c r="C1361" s="27">
        <v>1474.3598794186255</v>
      </c>
      <c r="D1361" s="27">
        <v>2508.0098904557526</v>
      </c>
      <c r="E1361" s="27">
        <v>3634.664020079028</v>
      </c>
      <c r="F1361" s="27">
        <v>5301.2832399430335</v>
      </c>
      <c r="G1361" s="27">
        <v>7853.0668196695042</v>
      </c>
      <c r="H1361" s="27">
        <v>9914.9559759491967</v>
      </c>
      <c r="I1361" s="27">
        <v>13389.928721230172</v>
      </c>
      <c r="J1361" s="27">
        <v>22544.259370012529</v>
      </c>
      <c r="K1361" s="27">
        <v>44997.096601714526</v>
      </c>
      <c r="L1361" s="27">
        <v>118270.31064554508</v>
      </c>
      <c r="M1361" s="27">
        <v>231062.75754034365</v>
      </c>
    </row>
    <row r="1362" spans="1:13" x14ac:dyDescent="0.75">
      <c r="A1362" s="40">
        <v>1360</v>
      </c>
      <c r="B1362" s="27">
        <v>1068.8325570963643</v>
      </c>
      <c r="C1362" s="27">
        <v>1662.1015683252335</v>
      </c>
      <c r="D1362" s="27">
        <v>2574.1901084922574</v>
      </c>
      <c r="E1362" s="27">
        <v>3853.0971451361547</v>
      </c>
      <c r="F1362" s="27">
        <v>6171.4808414857253</v>
      </c>
      <c r="G1362" s="27">
        <v>8187.4188646270195</v>
      </c>
      <c r="H1362" s="27">
        <v>11104.668644216057</v>
      </c>
      <c r="I1362" s="27">
        <v>15286.394701458019</v>
      </c>
      <c r="J1362" s="27">
        <v>23820.499840047763</v>
      </c>
      <c r="K1362" s="27">
        <v>45793.712490675214</v>
      </c>
      <c r="L1362" s="27">
        <v>107988.70441805592</v>
      </c>
      <c r="M1362" s="27">
        <v>227511.10117961571</v>
      </c>
    </row>
    <row r="1363" spans="1:13" x14ac:dyDescent="0.75">
      <c r="A1363" s="40">
        <v>1361</v>
      </c>
      <c r="B1363" s="27">
        <v>360.11313112272182</v>
      </c>
      <c r="C1363" s="27">
        <v>1066.364194882859</v>
      </c>
      <c r="D1363" s="27">
        <v>2168.7714842751302</v>
      </c>
      <c r="E1363" s="27">
        <v>3414.4523338351282</v>
      </c>
      <c r="F1363" s="27">
        <v>5032.2221554547141</v>
      </c>
      <c r="G1363" s="27">
        <v>7297.1187781144108</v>
      </c>
      <c r="H1363" s="27">
        <v>9888.011866268731</v>
      </c>
      <c r="I1363" s="27">
        <v>13126.855782746818</v>
      </c>
      <c r="J1363" s="27">
        <v>23508.667566755423</v>
      </c>
      <c r="K1363" s="27">
        <v>45364.239506185608</v>
      </c>
      <c r="L1363" s="27">
        <v>118599.80558729277</v>
      </c>
      <c r="M1363" s="27">
        <v>229826.62238693429</v>
      </c>
    </row>
    <row r="1364" spans="1:13" x14ac:dyDescent="0.75">
      <c r="A1364" s="40">
        <v>1362</v>
      </c>
      <c r="B1364" s="27">
        <v>1207.4029782907892</v>
      </c>
      <c r="C1364" s="27">
        <v>1767.6458952982648</v>
      </c>
      <c r="D1364" s="27">
        <v>2618.2756297324668</v>
      </c>
      <c r="E1364" s="27">
        <v>3447.051922020808</v>
      </c>
      <c r="F1364" s="27">
        <v>5607.5822793569241</v>
      </c>
      <c r="G1364" s="27">
        <v>8253.5768389747245</v>
      </c>
      <c r="H1364" s="27">
        <v>9459.0323369283578</v>
      </c>
      <c r="I1364" s="27">
        <v>13654.399252560761</v>
      </c>
      <c r="J1364" s="27">
        <v>21435.794546773337</v>
      </c>
      <c r="K1364" s="27">
        <v>44718.001915786168</v>
      </c>
      <c r="L1364" s="27">
        <v>101487.8082316941</v>
      </c>
      <c r="M1364" s="27">
        <v>213656.57182741672</v>
      </c>
    </row>
    <row r="1365" spans="1:13" x14ac:dyDescent="0.75">
      <c r="A1365" s="40">
        <v>1363</v>
      </c>
      <c r="B1365" s="27">
        <v>428.03915427130414</v>
      </c>
      <c r="C1365" s="27">
        <v>761.78200126915181</v>
      </c>
      <c r="D1365" s="27">
        <v>1609.1378693939914</v>
      </c>
      <c r="E1365" s="27">
        <v>2350.5027169447276</v>
      </c>
      <c r="F1365" s="27">
        <v>4074.4531531782995</v>
      </c>
      <c r="G1365" s="27">
        <v>6771.4575476782338</v>
      </c>
      <c r="H1365" s="27">
        <v>9636.1414156513056</v>
      </c>
      <c r="I1365" s="27">
        <v>13259.857092511767</v>
      </c>
      <c r="J1365" s="27">
        <v>22841.749035360597</v>
      </c>
      <c r="K1365" s="27">
        <v>45285.199298448511</v>
      </c>
      <c r="L1365" s="27">
        <v>110834.38500624121</v>
      </c>
      <c r="M1365" s="27">
        <v>217852.7042909491</v>
      </c>
    </row>
    <row r="1366" spans="1:13" x14ac:dyDescent="0.75">
      <c r="A1366" s="40">
        <v>1364</v>
      </c>
      <c r="B1366" s="27">
        <v>553.06517371839436</v>
      </c>
      <c r="C1366" s="27">
        <v>1010.8532714395697</v>
      </c>
      <c r="D1366" s="27">
        <v>1815.8618122707703</v>
      </c>
      <c r="E1366" s="27">
        <v>2745.5732234739698</v>
      </c>
      <c r="F1366" s="27">
        <v>4749.0720008803473</v>
      </c>
      <c r="G1366" s="27">
        <v>6716.5530489357188</v>
      </c>
      <c r="H1366" s="27">
        <v>10020.946999836218</v>
      </c>
      <c r="I1366" s="27">
        <v>13316.160156902057</v>
      </c>
      <c r="J1366" s="27">
        <v>22594.695513125349</v>
      </c>
      <c r="K1366" s="27">
        <v>47532.927806578286</v>
      </c>
      <c r="L1366" s="27">
        <v>114031.96046550212</v>
      </c>
      <c r="M1366" s="27">
        <v>225087.66947266279</v>
      </c>
    </row>
    <row r="1367" spans="1:13" x14ac:dyDescent="0.75">
      <c r="A1367" s="40">
        <v>1365</v>
      </c>
      <c r="B1367" s="27">
        <v>926.64639849908417</v>
      </c>
      <c r="C1367" s="27">
        <v>1293.6453687228932</v>
      </c>
      <c r="D1367" s="27">
        <v>2047.3945711494453</v>
      </c>
      <c r="E1367" s="27">
        <v>3243.7934792748856</v>
      </c>
      <c r="F1367" s="27">
        <v>5445.8677411655372</v>
      </c>
      <c r="G1367" s="27">
        <v>7734.8583329769899</v>
      </c>
      <c r="H1367" s="27">
        <v>10879.729236032625</v>
      </c>
      <c r="I1367" s="27">
        <v>14219.430742812779</v>
      </c>
      <c r="J1367" s="27">
        <v>21995.008756477357</v>
      </c>
      <c r="K1367" s="27">
        <v>44851.588879765768</v>
      </c>
      <c r="L1367" s="27">
        <v>109205.47777472751</v>
      </c>
      <c r="M1367" s="27">
        <v>221843.44128160487</v>
      </c>
    </row>
    <row r="1368" spans="1:13" x14ac:dyDescent="0.75">
      <c r="A1368" s="40">
        <v>1366</v>
      </c>
      <c r="B1368" s="27">
        <v>1263.2584233290399</v>
      </c>
      <c r="C1368" s="27">
        <v>1865.1088166375703</v>
      </c>
      <c r="D1368" s="27">
        <v>2841.8302610614919</v>
      </c>
      <c r="E1368" s="27">
        <v>3917.544582513292</v>
      </c>
      <c r="F1368" s="27">
        <v>6217.7021010629687</v>
      </c>
      <c r="G1368" s="27">
        <v>8415.5384849594266</v>
      </c>
      <c r="H1368" s="27">
        <v>12109.892146625585</v>
      </c>
      <c r="I1368" s="27">
        <v>16592.680413498849</v>
      </c>
      <c r="J1368" s="27">
        <v>25253.927250779743</v>
      </c>
      <c r="K1368" s="27">
        <v>47052.872041236231</v>
      </c>
      <c r="L1368" s="27">
        <v>110133.73638145186</v>
      </c>
      <c r="M1368" s="27">
        <v>235664.09090315606</v>
      </c>
    </row>
    <row r="1369" spans="1:13" x14ac:dyDescent="0.75">
      <c r="A1369" s="40">
        <v>1367</v>
      </c>
      <c r="B1369" s="27">
        <v>291.2454005387699</v>
      </c>
      <c r="C1369" s="27">
        <v>1034.3659637433157</v>
      </c>
      <c r="D1369" s="27">
        <v>1743.8875719711941</v>
      </c>
      <c r="E1369" s="27">
        <v>2794.8110270623292</v>
      </c>
      <c r="F1369" s="27">
        <v>4418.1072863135196</v>
      </c>
      <c r="G1369" s="27">
        <v>6588.3968268990866</v>
      </c>
      <c r="H1369" s="27">
        <v>9448.4956117145193</v>
      </c>
      <c r="I1369" s="27">
        <v>13349.599985941386</v>
      </c>
      <c r="J1369" s="27">
        <v>23046.548400527347</v>
      </c>
      <c r="K1369" s="27">
        <v>46898.124793933181</v>
      </c>
      <c r="L1369" s="27">
        <v>116118.17207766142</v>
      </c>
      <c r="M1369" s="27">
        <v>225731.75494630606</v>
      </c>
    </row>
    <row r="1370" spans="1:13" x14ac:dyDescent="0.75">
      <c r="A1370" s="40">
        <v>1368</v>
      </c>
      <c r="B1370" s="27">
        <v>859.34857677841501</v>
      </c>
      <c r="C1370" s="27">
        <v>1379.1434987966932</v>
      </c>
      <c r="D1370" s="27">
        <v>2154.3761498995736</v>
      </c>
      <c r="E1370" s="27">
        <v>3300.2707868940925</v>
      </c>
      <c r="F1370" s="27">
        <v>5411.853053891944</v>
      </c>
      <c r="G1370" s="27">
        <v>7667.6829423934105</v>
      </c>
      <c r="H1370" s="27">
        <v>9891.7211888250167</v>
      </c>
      <c r="I1370" s="27">
        <v>14488.867554501761</v>
      </c>
      <c r="J1370" s="27">
        <v>22520.165296784369</v>
      </c>
      <c r="K1370" s="27">
        <v>46165.200177597901</v>
      </c>
      <c r="L1370" s="27">
        <v>118031.07480217685</v>
      </c>
      <c r="M1370" s="27">
        <v>231869.70402854003</v>
      </c>
    </row>
    <row r="1371" spans="1:13" x14ac:dyDescent="0.75">
      <c r="A1371" s="40">
        <v>1369</v>
      </c>
      <c r="B1371" s="27">
        <v>1186.319898811169</v>
      </c>
      <c r="C1371" s="27">
        <v>1708.6008325094008</v>
      </c>
      <c r="D1371" s="27">
        <v>2244.5242464801704</v>
      </c>
      <c r="E1371" s="27">
        <v>3166.9867396287154</v>
      </c>
      <c r="F1371" s="27">
        <v>5435.3782992088818</v>
      </c>
      <c r="G1371" s="27">
        <v>7785.3259699492191</v>
      </c>
      <c r="H1371" s="27">
        <v>10795.483346124762</v>
      </c>
      <c r="I1371" s="27">
        <v>14782.516749306742</v>
      </c>
      <c r="J1371" s="27">
        <v>23163.321536235468</v>
      </c>
      <c r="K1371" s="27">
        <v>47348.344886931009</v>
      </c>
      <c r="L1371" s="27">
        <v>113707.46736610231</v>
      </c>
      <c r="M1371" s="27">
        <v>231324.26987128786</v>
      </c>
    </row>
    <row r="1372" spans="1:13" x14ac:dyDescent="0.75">
      <c r="A1372" s="40">
        <v>1370</v>
      </c>
      <c r="B1372" s="27">
        <v>565.54315967604634</v>
      </c>
      <c r="C1372" s="27">
        <v>790.56854287419992</v>
      </c>
      <c r="D1372" s="27">
        <v>1335.5637481082958</v>
      </c>
      <c r="E1372" s="27">
        <v>2411.0247423711699</v>
      </c>
      <c r="F1372" s="27">
        <v>3916.8563797272509</v>
      </c>
      <c r="G1372" s="27">
        <v>6313.4029107440729</v>
      </c>
      <c r="H1372" s="27">
        <v>9033.8200235051481</v>
      </c>
      <c r="I1372" s="27">
        <v>13848.241621333902</v>
      </c>
      <c r="J1372" s="27">
        <v>21854.718548847392</v>
      </c>
      <c r="K1372" s="27">
        <v>45969.337109182801</v>
      </c>
      <c r="L1372" s="27">
        <v>104788.29766210273</v>
      </c>
      <c r="M1372" s="27">
        <v>210827.37444847301</v>
      </c>
    </row>
    <row r="1373" spans="1:13" x14ac:dyDescent="0.75">
      <c r="A1373" s="40">
        <v>1371</v>
      </c>
      <c r="B1373" s="27">
        <v>672.32887078852218</v>
      </c>
      <c r="C1373" s="27">
        <v>1125.0755985464493</v>
      </c>
      <c r="D1373" s="27">
        <v>2213.1411718805757</v>
      </c>
      <c r="E1373" s="27">
        <v>3362.7469711416925</v>
      </c>
      <c r="F1373" s="27">
        <v>5250.7258353790967</v>
      </c>
      <c r="G1373" s="27">
        <v>7412.8007173840888</v>
      </c>
      <c r="H1373" s="27">
        <v>9976.0088241420308</v>
      </c>
      <c r="I1373" s="27">
        <v>14380.380146589887</v>
      </c>
      <c r="J1373" s="27">
        <v>22574.820912456198</v>
      </c>
      <c r="K1373" s="27">
        <v>45285.169044078037</v>
      </c>
      <c r="L1373" s="27">
        <v>112430.03340664042</v>
      </c>
      <c r="M1373" s="27">
        <v>224683.231499027</v>
      </c>
    </row>
    <row r="1374" spans="1:13" x14ac:dyDescent="0.75">
      <c r="A1374" s="40">
        <v>1372</v>
      </c>
      <c r="B1374" s="27">
        <v>988.64269376652373</v>
      </c>
      <c r="C1374" s="27">
        <v>1574.9546833758941</v>
      </c>
      <c r="D1374" s="27">
        <v>2434.8904550093284</v>
      </c>
      <c r="E1374" s="27">
        <v>3621.7860999651311</v>
      </c>
      <c r="F1374" s="27">
        <v>5514.5868757366552</v>
      </c>
      <c r="G1374" s="27">
        <v>7982.2158829685359</v>
      </c>
      <c r="H1374" s="27">
        <v>11057.090753143741</v>
      </c>
      <c r="I1374" s="27">
        <v>14723.616942776789</v>
      </c>
      <c r="J1374" s="27">
        <v>22678.787902984332</v>
      </c>
      <c r="K1374" s="27">
        <v>48346.195785551885</v>
      </c>
      <c r="L1374" s="27">
        <v>112805.81490490912</v>
      </c>
      <c r="M1374" s="27">
        <v>231728.58298018793</v>
      </c>
    </row>
    <row r="1375" spans="1:13" x14ac:dyDescent="0.75">
      <c r="A1375" s="40">
        <v>1373</v>
      </c>
      <c r="B1375" s="27">
        <v>1120.9599569687998</v>
      </c>
      <c r="C1375" s="27">
        <v>1365.359025354046</v>
      </c>
      <c r="D1375" s="27">
        <v>2136.9470106948866</v>
      </c>
      <c r="E1375" s="27">
        <v>3507.6210041690501</v>
      </c>
      <c r="F1375" s="27">
        <v>5410.1156643831637</v>
      </c>
      <c r="G1375" s="27">
        <v>7761.7127750057844</v>
      </c>
      <c r="H1375" s="27">
        <v>10236.807244349198</v>
      </c>
      <c r="I1375" s="27">
        <v>14624.240476977357</v>
      </c>
      <c r="J1375" s="27">
        <v>23482.266695063736</v>
      </c>
      <c r="K1375" s="27">
        <v>46863.859272981179</v>
      </c>
      <c r="L1375" s="27">
        <v>112363.23367848081</v>
      </c>
      <c r="M1375" s="27">
        <v>228873.12280442801</v>
      </c>
    </row>
    <row r="1376" spans="1:13" x14ac:dyDescent="0.75">
      <c r="A1376" s="40">
        <v>1374</v>
      </c>
      <c r="B1376" s="27">
        <v>745.40083503468486</v>
      </c>
      <c r="C1376" s="27">
        <v>1285.7299318354344</v>
      </c>
      <c r="D1376" s="27">
        <v>2219.2176321232691</v>
      </c>
      <c r="E1376" s="27">
        <v>3300.7031877960253</v>
      </c>
      <c r="F1376" s="27">
        <v>5374.9080818450602</v>
      </c>
      <c r="G1376" s="27">
        <v>7414.7297773915925</v>
      </c>
      <c r="H1376" s="27">
        <v>9447.0085244956717</v>
      </c>
      <c r="I1376" s="27">
        <v>14285.124513556366</v>
      </c>
      <c r="J1376" s="27">
        <v>22817.375468919548</v>
      </c>
      <c r="K1376" s="27">
        <v>44945.656223617669</v>
      </c>
      <c r="L1376" s="27">
        <v>114567.00284804415</v>
      </c>
      <c r="M1376" s="27">
        <v>226402.85702465946</v>
      </c>
    </row>
    <row r="1377" spans="1:13" x14ac:dyDescent="0.75">
      <c r="A1377" s="40">
        <v>1375</v>
      </c>
      <c r="B1377" s="27">
        <v>1152.9036643013533</v>
      </c>
      <c r="C1377" s="27">
        <v>1622.5907471915125</v>
      </c>
      <c r="D1377" s="27">
        <v>2347.4359891483036</v>
      </c>
      <c r="E1377" s="27">
        <v>3630.5246007496462</v>
      </c>
      <c r="F1377" s="27">
        <v>5706.0693504832743</v>
      </c>
      <c r="G1377" s="27">
        <v>8299.7894594547106</v>
      </c>
      <c r="H1377" s="27">
        <v>10317.694116474508</v>
      </c>
      <c r="I1377" s="27">
        <v>15112.919211292436</v>
      </c>
      <c r="J1377" s="27">
        <v>22707.046713476564</v>
      </c>
      <c r="K1377" s="27">
        <v>47276.519808749741</v>
      </c>
      <c r="L1377" s="27">
        <v>106749.78491521906</v>
      </c>
      <c r="M1377" s="27">
        <v>224923.27857654111</v>
      </c>
    </row>
    <row r="1378" spans="1:13" x14ac:dyDescent="0.75">
      <c r="A1378" s="40">
        <v>1376</v>
      </c>
      <c r="B1378" s="27">
        <v>533.93908733756689</v>
      </c>
      <c r="C1378" s="27">
        <v>913.73790640334482</v>
      </c>
      <c r="D1378" s="27">
        <v>1574.1755018018594</v>
      </c>
      <c r="E1378" s="27">
        <v>2557.4149643814017</v>
      </c>
      <c r="F1378" s="27">
        <v>4278.2879094914242</v>
      </c>
      <c r="G1378" s="27">
        <v>6282.4848748469958</v>
      </c>
      <c r="H1378" s="27">
        <v>9006.6630215762707</v>
      </c>
      <c r="I1378" s="27">
        <v>13694.380818882186</v>
      </c>
      <c r="J1378" s="27">
        <v>22443.056268447006</v>
      </c>
      <c r="K1378" s="27">
        <v>45138.508010314952</v>
      </c>
      <c r="L1378" s="27">
        <v>103915.11749728551</v>
      </c>
      <c r="M1378" s="27">
        <v>210337.7658607685</v>
      </c>
    </row>
    <row r="1379" spans="1:13" x14ac:dyDescent="0.75">
      <c r="A1379" s="40">
        <v>1377</v>
      </c>
      <c r="B1379" s="27">
        <v>968.94845805570367</v>
      </c>
      <c r="C1379" s="27">
        <v>1334.0961736404861</v>
      </c>
      <c r="D1379" s="27">
        <v>2142.2826021325891</v>
      </c>
      <c r="E1379" s="27">
        <v>3114.6476217895834</v>
      </c>
      <c r="F1379" s="27">
        <v>4910.3200130050245</v>
      </c>
      <c r="G1379" s="27">
        <v>7621.5117808267241</v>
      </c>
      <c r="H1379" s="27">
        <v>9755.8108404983213</v>
      </c>
      <c r="I1379" s="27">
        <v>14068.880598452219</v>
      </c>
      <c r="J1379" s="27">
        <v>22757.568626202003</v>
      </c>
      <c r="K1379" s="27">
        <v>44902.958017431636</v>
      </c>
      <c r="L1379" s="27">
        <v>101120.54030290814</v>
      </c>
      <c r="M1379" s="27">
        <v>212697.56503494241</v>
      </c>
    </row>
    <row r="1380" spans="1:13" x14ac:dyDescent="0.75">
      <c r="A1380" s="40">
        <v>1378</v>
      </c>
      <c r="B1380" s="27">
        <v>925.45059034082806</v>
      </c>
      <c r="C1380" s="27">
        <v>1391.596829102069</v>
      </c>
      <c r="D1380" s="27">
        <v>2176.58133227301</v>
      </c>
      <c r="E1380" s="27">
        <v>3407.666936767273</v>
      </c>
      <c r="F1380" s="27">
        <v>5556.8253141299501</v>
      </c>
      <c r="G1380" s="27">
        <v>7983.8909253471647</v>
      </c>
      <c r="H1380" s="27">
        <v>10545.468531158825</v>
      </c>
      <c r="I1380" s="27">
        <v>14339.357392811784</v>
      </c>
      <c r="J1380" s="27">
        <v>24217.965242185077</v>
      </c>
      <c r="K1380" s="27">
        <v>49301.077138088614</v>
      </c>
      <c r="L1380" s="27">
        <v>116164.12044358475</v>
      </c>
      <c r="M1380" s="27">
        <v>236010.00067578934</v>
      </c>
    </row>
    <row r="1381" spans="1:13" x14ac:dyDescent="0.75">
      <c r="A1381" s="40">
        <v>1379</v>
      </c>
      <c r="B1381" s="27">
        <v>1244.1086920864909</v>
      </c>
      <c r="C1381" s="27">
        <v>1977.672532648925</v>
      </c>
      <c r="D1381" s="27">
        <v>3097.7981320947292</v>
      </c>
      <c r="E1381" s="27">
        <v>4031.2554849748994</v>
      </c>
      <c r="F1381" s="27">
        <v>6640.7108668285364</v>
      </c>
      <c r="G1381" s="27">
        <v>9239.1710162396485</v>
      </c>
      <c r="H1381" s="27">
        <v>11414.979717205031</v>
      </c>
      <c r="I1381" s="27">
        <v>15283.617533843877</v>
      </c>
      <c r="J1381" s="27">
        <v>25421.798881643437</v>
      </c>
      <c r="K1381" s="27">
        <v>49142.948944779055</v>
      </c>
      <c r="L1381" s="27">
        <v>115632.33447539166</v>
      </c>
      <c r="M1381" s="27">
        <v>243126.39627773629</v>
      </c>
    </row>
    <row r="1382" spans="1:13" x14ac:dyDescent="0.75">
      <c r="A1382" s="40">
        <v>1380</v>
      </c>
      <c r="B1382" s="27">
        <v>638.06744385548518</v>
      </c>
      <c r="C1382" s="27">
        <v>1167.8632878325443</v>
      </c>
      <c r="D1382" s="27">
        <v>1960.2488835423137</v>
      </c>
      <c r="E1382" s="27">
        <v>3023.1807987706416</v>
      </c>
      <c r="F1382" s="27">
        <v>4881.9224936645915</v>
      </c>
      <c r="G1382" s="27">
        <v>7372.1757326132793</v>
      </c>
      <c r="H1382" s="27">
        <v>10225.406877634232</v>
      </c>
      <c r="I1382" s="27">
        <v>13647.594445568015</v>
      </c>
      <c r="J1382" s="27">
        <v>23305.859118910055</v>
      </c>
      <c r="K1382" s="27">
        <v>46457.437772989942</v>
      </c>
      <c r="L1382" s="27">
        <v>107302.01282132858</v>
      </c>
      <c r="M1382" s="27">
        <v>219981.76967670966</v>
      </c>
    </row>
    <row r="1383" spans="1:13" x14ac:dyDescent="0.75">
      <c r="A1383" s="40">
        <v>1381</v>
      </c>
      <c r="B1383" s="27">
        <v>917.94522261359089</v>
      </c>
      <c r="C1383" s="27">
        <v>1665.4884174192121</v>
      </c>
      <c r="D1383" s="27">
        <v>2459.7594276332529</v>
      </c>
      <c r="E1383" s="27">
        <v>3826.2111334169604</v>
      </c>
      <c r="F1383" s="27">
        <v>5718.4496334893192</v>
      </c>
      <c r="G1383" s="27">
        <v>8480.0934606670344</v>
      </c>
      <c r="H1383" s="27">
        <v>10811.389264127196</v>
      </c>
      <c r="I1383" s="27">
        <v>15565.961770252121</v>
      </c>
      <c r="J1383" s="27">
        <v>23579.600035070442</v>
      </c>
      <c r="K1383" s="27">
        <v>45496.441880906073</v>
      </c>
      <c r="L1383" s="27">
        <v>112505.29549102811</v>
      </c>
      <c r="M1383" s="27">
        <v>231026.63573662331</v>
      </c>
    </row>
    <row r="1384" spans="1:13" x14ac:dyDescent="0.75">
      <c r="A1384" s="40">
        <v>1382</v>
      </c>
      <c r="B1384" s="27">
        <v>767.68088263930986</v>
      </c>
      <c r="C1384" s="27">
        <v>1405.710998340568</v>
      </c>
      <c r="D1384" s="27">
        <v>2372.5568827573443</v>
      </c>
      <c r="E1384" s="27">
        <v>3348.235090581933</v>
      </c>
      <c r="F1384" s="27">
        <v>5169.0460588763526</v>
      </c>
      <c r="G1384" s="27">
        <v>7313.882097297319</v>
      </c>
      <c r="H1384" s="27">
        <v>9842.1586882066476</v>
      </c>
      <c r="I1384" s="27">
        <v>13874.710707304883</v>
      </c>
      <c r="J1384" s="27">
        <v>21166.753863418897</v>
      </c>
      <c r="K1384" s="27">
        <v>46399.836577374808</v>
      </c>
      <c r="L1384" s="27">
        <v>113351.57461784726</v>
      </c>
      <c r="M1384" s="27">
        <v>225012.14646464534</v>
      </c>
    </row>
    <row r="1385" spans="1:13" x14ac:dyDescent="0.75">
      <c r="A1385" s="40">
        <v>1383</v>
      </c>
      <c r="B1385" s="27">
        <v>1188.4840292648587</v>
      </c>
      <c r="C1385" s="27">
        <v>1536.8397965519689</v>
      </c>
      <c r="D1385" s="27">
        <v>2457.5901289744652</v>
      </c>
      <c r="E1385" s="27">
        <v>3578.448594814181</v>
      </c>
      <c r="F1385" s="27">
        <v>5791.4585291915282</v>
      </c>
      <c r="G1385" s="27">
        <v>8034.8104436754948</v>
      </c>
      <c r="H1385" s="27">
        <v>10979.080745770101</v>
      </c>
      <c r="I1385" s="27">
        <v>14791.82169702003</v>
      </c>
      <c r="J1385" s="27">
        <v>23613.377354798227</v>
      </c>
      <c r="K1385" s="27">
        <v>47337.40895755263</v>
      </c>
      <c r="L1385" s="27">
        <v>118816.46903005213</v>
      </c>
      <c r="M1385" s="27">
        <v>238125.7893076656</v>
      </c>
    </row>
    <row r="1386" spans="1:13" x14ac:dyDescent="0.75">
      <c r="A1386" s="40">
        <v>1384</v>
      </c>
      <c r="B1386" s="27">
        <v>514.3623748254322</v>
      </c>
      <c r="C1386" s="27">
        <v>782.30395360242983</v>
      </c>
      <c r="D1386" s="27">
        <v>1551.5511079600838</v>
      </c>
      <c r="E1386" s="27">
        <v>2476.2760569613165</v>
      </c>
      <c r="F1386" s="27">
        <v>4326.470592960075</v>
      </c>
      <c r="G1386" s="27">
        <v>6724.3473286410153</v>
      </c>
      <c r="H1386" s="27">
        <v>9155.0527547223319</v>
      </c>
      <c r="I1386" s="27">
        <v>13440.478571919928</v>
      </c>
      <c r="J1386" s="27">
        <v>22300.599495442497</v>
      </c>
      <c r="K1386" s="27">
        <v>45255.168992812323</v>
      </c>
      <c r="L1386" s="27">
        <v>109973.24202553954</v>
      </c>
      <c r="M1386" s="27">
        <v>216499.85325538699</v>
      </c>
    </row>
    <row r="1387" spans="1:13" x14ac:dyDescent="0.75">
      <c r="A1387" s="40">
        <v>1385</v>
      </c>
      <c r="B1387" s="27">
        <v>696.49986072037427</v>
      </c>
      <c r="C1387" s="27">
        <v>1242.8664492488315</v>
      </c>
      <c r="D1387" s="27">
        <v>2139.1172765027295</v>
      </c>
      <c r="E1387" s="27">
        <v>3386.7719774067518</v>
      </c>
      <c r="F1387" s="27">
        <v>5145.7462214164261</v>
      </c>
      <c r="G1387" s="27">
        <v>7446.2782563778455</v>
      </c>
      <c r="H1387" s="27">
        <v>10173.303152914203</v>
      </c>
      <c r="I1387" s="27">
        <v>14459.173315126929</v>
      </c>
      <c r="J1387" s="27">
        <v>23423.114760075026</v>
      </c>
      <c r="K1387" s="27">
        <v>45663.763337162673</v>
      </c>
      <c r="L1387" s="27">
        <v>114192.99774469176</v>
      </c>
      <c r="M1387" s="27">
        <v>227969.63235164355</v>
      </c>
    </row>
    <row r="1388" spans="1:13" x14ac:dyDescent="0.75">
      <c r="A1388" s="40">
        <v>1386</v>
      </c>
      <c r="B1388" s="27">
        <v>501.39070010448631</v>
      </c>
      <c r="C1388" s="27">
        <v>912.37234646195429</v>
      </c>
      <c r="D1388" s="27">
        <v>1634.2561173636932</v>
      </c>
      <c r="E1388" s="27">
        <v>2902.2257331389701</v>
      </c>
      <c r="F1388" s="27">
        <v>4870.0256309405668</v>
      </c>
      <c r="G1388" s="27">
        <v>6910.9682061099156</v>
      </c>
      <c r="H1388" s="27">
        <v>9990.7144659934856</v>
      </c>
      <c r="I1388" s="27">
        <v>14052.641422084766</v>
      </c>
      <c r="J1388" s="27">
        <v>22840.943140963442</v>
      </c>
      <c r="K1388" s="27">
        <v>49265.923588597798</v>
      </c>
      <c r="L1388" s="27">
        <v>118347.39692963469</v>
      </c>
      <c r="M1388" s="27">
        <v>232228.85828139377</v>
      </c>
    </row>
    <row r="1389" spans="1:13" x14ac:dyDescent="0.75">
      <c r="A1389" s="40">
        <v>1387</v>
      </c>
      <c r="B1389" s="27">
        <v>539.22029953953461</v>
      </c>
      <c r="C1389" s="27">
        <v>1178.6636888143257</v>
      </c>
      <c r="D1389" s="27">
        <v>2293.8622209483583</v>
      </c>
      <c r="E1389" s="27">
        <v>3236.5264239293028</v>
      </c>
      <c r="F1389" s="27">
        <v>5490.2415731040237</v>
      </c>
      <c r="G1389" s="27">
        <v>8180.8625775710098</v>
      </c>
      <c r="H1389" s="27">
        <v>10198.337715897593</v>
      </c>
      <c r="I1389" s="27">
        <v>15153.56307790018</v>
      </c>
      <c r="J1389" s="27">
        <v>23412.399693404484</v>
      </c>
      <c r="K1389" s="27">
        <v>46923.965507432265</v>
      </c>
      <c r="L1389" s="27">
        <v>118331.36154586787</v>
      </c>
      <c r="M1389" s="27">
        <v>234939.00432440895</v>
      </c>
    </row>
    <row r="1390" spans="1:13" x14ac:dyDescent="0.75">
      <c r="A1390" s="40">
        <v>1388</v>
      </c>
      <c r="B1390" s="27">
        <v>485.12979084684048</v>
      </c>
      <c r="C1390" s="27">
        <v>1142.0030484674789</v>
      </c>
      <c r="D1390" s="27">
        <v>1837.771063864915</v>
      </c>
      <c r="E1390" s="27">
        <v>3024.3248406116909</v>
      </c>
      <c r="F1390" s="27">
        <v>4832.0348078875395</v>
      </c>
      <c r="G1390" s="27">
        <v>7244.7802395367471</v>
      </c>
      <c r="H1390" s="27">
        <v>9850.6698494110897</v>
      </c>
      <c r="I1390" s="27">
        <v>14055.404144209606</v>
      </c>
      <c r="J1390" s="27">
        <v>21893.797635258205</v>
      </c>
      <c r="K1390" s="27">
        <v>44219.930055724166</v>
      </c>
      <c r="L1390" s="27">
        <v>106249.67947340717</v>
      </c>
      <c r="M1390" s="27">
        <v>214835.52494922545</v>
      </c>
    </row>
    <row r="1391" spans="1:13" x14ac:dyDescent="0.75">
      <c r="A1391" s="40">
        <v>1389</v>
      </c>
      <c r="B1391" s="27">
        <v>745.06314395855588</v>
      </c>
      <c r="C1391" s="27">
        <v>1419.5842299738288</v>
      </c>
      <c r="D1391" s="27">
        <v>2438.8841481272393</v>
      </c>
      <c r="E1391" s="27">
        <v>3729.1010236154252</v>
      </c>
      <c r="F1391" s="27">
        <v>5678.8990274087409</v>
      </c>
      <c r="G1391" s="27">
        <v>7984.6785220750608</v>
      </c>
      <c r="H1391" s="27">
        <v>11184.619235241291</v>
      </c>
      <c r="I1391" s="27">
        <v>15928.863216258294</v>
      </c>
      <c r="J1391" s="27">
        <v>22846.39308679814</v>
      </c>
      <c r="K1391" s="27">
        <v>45315.09646327197</v>
      </c>
      <c r="L1391" s="27">
        <v>114323.11376228655</v>
      </c>
      <c r="M1391" s="27">
        <v>231594.29585901508</v>
      </c>
    </row>
    <row r="1392" spans="1:13" x14ac:dyDescent="0.75">
      <c r="A1392" s="40">
        <v>1390</v>
      </c>
      <c r="B1392" s="27">
        <v>808.17824980345904</v>
      </c>
      <c r="C1392" s="27">
        <v>1426.7903571895731</v>
      </c>
      <c r="D1392" s="27">
        <v>2267.6307782190415</v>
      </c>
      <c r="E1392" s="27">
        <v>3164.9359741009102</v>
      </c>
      <c r="F1392" s="27">
        <v>5514.1914702524082</v>
      </c>
      <c r="G1392" s="27">
        <v>8077.5528921312944</v>
      </c>
      <c r="H1392" s="27">
        <v>10570.78073881079</v>
      </c>
      <c r="I1392" s="27">
        <v>14335.366275344961</v>
      </c>
      <c r="J1392" s="27">
        <v>22868.638233609847</v>
      </c>
      <c r="K1392" s="27">
        <v>47691.478533506393</v>
      </c>
      <c r="L1392" s="27">
        <v>111212.21978113236</v>
      </c>
      <c r="M1392" s="27">
        <v>227937.76328410103</v>
      </c>
    </row>
    <row r="1393" spans="1:13" x14ac:dyDescent="0.75">
      <c r="A1393" s="40">
        <v>1391</v>
      </c>
      <c r="B1393" s="27">
        <v>906.01596737369255</v>
      </c>
      <c r="C1393" s="27">
        <v>1705.9568421956064</v>
      </c>
      <c r="D1393" s="27">
        <v>2292.0339230333775</v>
      </c>
      <c r="E1393" s="27">
        <v>3705.4534514675033</v>
      </c>
      <c r="F1393" s="27">
        <v>5898.1151676737645</v>
      </c>
      <c r="G1393" s="27">
        <v>8580.1029770196183</v>
      </c>
      <c r="H1393" s="27">
        <v>10813.821466724185</v>
      </c>
      <c r="I1393" s="27">
        <v>14741.337388234577</v>
      </c>
      <c r="J1393" s="27">
        <v>24128.321138707019</v>
      </c>
      <c r="K1393" s="27">
        <v>48960.070350964495</v>
      </c>
      <c r="L1393" s="27">
        <v>107121.4511708995</v>
      </c>
      <c r="M1393" s="27">
        <v>228852.67984429334</v>
      </c>
    </row>
    <row r="1394" spans="1:13" x14ac:dyDescent="0.75">
      <c r="A1394" s="40">
        <v>1392</v>
      </c>
      <c r="B1394" s="27">
        <v>1251.3439743802301</v>
      </c>
      <c r="C1394" s="27">
        <v>1732.2447495691158</v>
      </c>
      <c r="D1394" s="27">
        <v>2757.7377275623439</v>
      </c>
      <c r="E1394" s="27">
        <v>3881.9106022278283</v>
      </c>
      <c r="F1394" s="27">
        <v>5848.825529309659</v>
      </c>
      <c r="G1394" s="27">
        <v>8528.2921678364219</v>
      </c>
      <c r="H1394" s="27">
        <v>11097.733025743451</v>
      </c>
      <c r="I1394" s="27">
        <v>14967.842477335784</v>
      </c>
      <c r="J1394" s="27">
        <v>23175.985577302607</v>
      </c>
      <c r="K1394" s="27">
        <v>44318.598959752155</v>
      </c>
      <c r="L1394" s="27">
        <v>112207.56239383385</v>
      </c>
      <c r="M1394" s="27">
        <v>229768.07718485344</v>
      </c>
    </row>
    <row r="1395" spans="1:13" x14ac:dyDescent="0.75">
      <c r="A1395" s="40">
        <v>1393</v>
      </c>
      <c r="B1395" s="27">
        <v>1310.5067797279771</v>
      </c>
      <c r="C1395" s="27">
        <v>1836.0766300437099</v>
      </c>
      <c r="D1395" s="27">
        <v>2516.541198352832</v>
      </c>
      <c r="E1395" s="27">
        <v>3439.9844359947892</v>
      </c>
      <c r="F1395" s="27">
        <v>5553.1823803542065</v>
      </c>
      <c r="G1395" s="27">
        <v>8121.7107764848333</v>
      </c>
      <c r="H1395" s="27">
        <v>10609.52561004879</v>
      </c>
      <c r="I1395" s="27">
        <v>14512.822371028335</v>
      </c>
      <c r="J1395" s="27">
        <v>23855.703022971735</v>
      </c>
      <c r="K1395" s="27">
        <v>48244.622154053475</v>
      </c>
      <c r="L1395" s="27">
        <v>107520.58716072146</v>
      </c>
      <c r="M1395" s="27">
        <v>227521.26251978215</v>
      </c>
    </row>
    <row r="1396" spans="1:13" x14ac:dyDescent="0.75">
      <c r="A1396" s="40">
        <v>1394</v>
      </c>
      <c r="B1396" s="27">
        <v>663.27844520554936</v>
      </c>
      <c r="C1396" s="27">
        <v>1234.9752177458577</v>
      </c>
      <c r="D1396" s="27">
        <v>2087.8454332343972</v>
      </c>
      <c r="E1396" s="27">
        <v>3081.9556255049974</v>
      </c>
      <c r="F1396" s="27">
        <v>4713.8950764554029</v>
      </c>
      <c r="G1396" s="27">
        <v>6841.9295265467372</v>
      </c>
      <c r="H1396" s="27">
        <v>9637.0145319178118</v>
      </c>
      <c r="I1396" s="27">
        <v>13399.122024565251</v>
      </c>
      <c r="J1396" s="27">
        <v>23808.016620264694</v>
      </c>
      <c r="K1396" s="27">
        <v>47000.543259519938</v>
      </c>
      <c r="L1396" s="27">
        <v>110270.38868746473</v>
      </c>
      <c r="M1396" s="27">
        <v>222738.96444842537</v>
      </c>
    </row>
    <row r="1397" spans="1:13" x14ac:dyDescent="0.75">
      <c r="A1397" s="40">
        <v>1395</v>
      </c>
      <c r="B1397" s="27">
        <v>893.68849489549757</v>
      </c>
      <c r="C1397" s="27">
        <v>1545.0249832245463</v>
      </c>
      <c r="D1397" s="27">
        <v>2474.5203555607004</v>
      </c>
      <c r="E1397" s="27">
        <v>3743.6014175330201</v>
      </c>
      <c r="F1397" s="27">
        <v>5535.4175742673106</v>
      </c>
      <c r="G1397" s="27">
        <v>7352.9815235672868</v>
      </c>
      <c r="H1397" s="27">
        <v>10034.862716261807</v>
      </c>
      <c r="I1397" s="27">
        <v>13841.714460953124</v>
      </c>
      <c r="J1397" s="27">
        <v>22238.291486103204</v>
      </c>
      <c r="K1397" s="27">
        <v>46992.812053332804</v>
      </c>
      <c r="L1397" s="27">
        <v>110889.07841731934</v>
      </c>
      <c r="M1397" s="27">
        <v>225541.99348301865</v>
      </c>
    </row>
    <row r="1398" spans="1:13" x14ac:dyDescent="0.75">
      <c r="A1398" s="40">
        <v>1396</v>
      </c>
      <c r="B1398" s="27">
        <v>1479.6150471499277</v>
      </c>
      <c r="C1398" s="27">
        <v>2156.7468120156409</v>
      </c>
      <c r="D1398" s="27">
        <v>3445.3098522220243</v>
      </c>
      <c r="E1398" s="27">
        <v>4478.3123038356134</v>
      </c>
      <c r="F1398" s="27">
        <v>6693.3529060622968</v>
      </c>
      <c r="G1398" s="27">
        <v>9073.8914981311827</v>
      </c>
      <c r="H1398" s="27">
        <v>11904.803054009768</v>
      </c>
      <c r="I1398" s="27">
        <v>16896.757342178185</v>
      </c>
      <c r="J1398" s="27">
        <v>24424.915119292418</v>
      </c>
      <c r="K1398" s="27">
        <v>50855.866798110364</v>
      </c>
      <c r="L1398" s="27">
        <v>109177.69944727076</v>
      </c>
      <c r="M1398" s="27">
        <v>240587.27018027817</v>
      </c>
    </row>
    <row r="1399" spans="1:13" x14ac:dyDescent="0.75">
      <c r="A1399" s="40">
        <v>1397</v>
      </c>
      <c r="B1399" s="27">
        <v>793.54927908176614</v>
      </c>
      <c r="C1399" s="27">
        <v>1179.5379175789712</v>
      </c>
      <c r="D1399" s="27">
        <v>2009.2815782606049</v>
      </c>
      <c r="E1399" s="27">
        <v>3397.7942751222145</v>
      </c>
      <c r="F1399" s="27">
        <v>4925.0203874442523</v>
      </c>
      <c r="G1399" s="27">
        <v>7367.1412336602807</v>
      </c>
      <c r="H1399" s="27">
        <v>9807.6558442058304</v>
      </c>
      <c r="I1399" s="27">
        <v>15059.467060423834</v>
      </c>
      <c r="J1399" s="27">
        <v>23041.156074480168</v>
      </c>
      <c r="K1399" s="27">
        <v>45257.881670474831</v>
      </c>
      <c r="L1399" s="27">
        <v>111211.11429793097</v>
      </c>
      <c r="M1399" s="27">
        <v>224049.59961866372</v>
      </c>
    </row>
    <row r="1400" spans="1:13" x14ac:dyDescent="0.75">
      <c r="A1400" s="40">
        <v>1398</v>
      </c>
      <c r="B1400" s="27">
        <v>1071.4116130580951</v>
      </c>
      <c r="C1400" s="27">
        <v>1435.2755637360824</v>
      </c>
      <c r="D1400" s="27">
        <v>2246.414743618574</v>
      </c>
      <c r="E1400" s="27">
        <v>3502.0006402235886</v>
      </c>
      <c r="F1400" s="27">
        <v>5225.292235658475</v>
      </c>
      <c r="G1400" s="27">
        <v>7174.4490411484439</v>
      </c>
      <c r="H1400" s="27">
        <v>9732.6251013963774</v>
      </c>
      <c r="I1400" s="27">
        <v>14227.078785478414</v>
      </c>
      <c r="J1400" s="27">
        <v>22379.864781137541</v>
      </c>
      <c r="K1400" s="27">
        <v>45566.438912403741</v>
      </c>
      <c r="L1400" s="27">
        <v>106084.98222985335</v>
      </c>
      <c r="M1400" s="27">
        <v>218645.83364771269</v>
      </c>
    </row>
    <row r="1401" spans="1:13" x14ac:dyDescent="0.75">
      <c r="A1401" s="40">
        <v>1399</v>
      </c>
      <c r="B1401" s="27">
        <v>1432.6589752830041</v>
      </c>
      <c r="C1401" s="27">
        <v>2125.588841178047</v>
      </c>
      <c r="D1401" s="27">
        <v>3003.1908892549982</v>
      </c>
      <c r="E1401" s="27">
        <v>4286.5961426508002</v>
      </c>
      <c r="F1401" s="27">
        <v>6224.5555321519787</v>
      </c>
      <c r="G1401" s="27">
        <v>8787.1079564934189</v>
      </c>
      <c r="H1401" s="27">
        <v>10867.424328830268</v>
      </c>
      <c r="I1401" s="27">
        <v>16649.068403398895</v>
      </c>
      <c r="J1401" s="27">
        <v>25136.759780632885</v>
      </c>
      <c r="K1401" s="27">
        <v>50264.765318467631</v>
      </c>
      <c r="L1401" s="27">
        <v>113260.09817507546</v>
      </c>
      <c r="M1401" s="27">
        <v>242037.81434341738</v>
      </c>
    </row>
    <row r="1402" spans="1:13" x14ac:dyDescent="0.75">
      <c r="A1402" s="40">
        <v>1400</v>
      </c>
      <c r="B1402" s="27">
        <v>1172.8938601795526</v>
      </c>
      <c r="C1402" s="27">
        <v>1934.0177019465336</v>
      </c>
      <c r="D1402" s="27">
        <v>2732.2828306390438</v>
      </c>
      <c r="E1402" s="27">
        <v>3664.5130271615781</v>
      </c>
      <c r="F1402" s="27">
        <v>5810.8778726435849</v>
      </c>
      <c r="G1402" s="27">
        <v>7796.7447723622026</v>
      </c>
      <c r="H1402" s="27">
        <v>10203.967002127771</v>
      </c>
      <c r="I1402" s="27">
        <v>14883.804033092587</v>
      </c>
      <c r="J1402" s="27">
        <v>23118.472517431946</v>
      </c>
      <c r="K1402" s="27">
        <v>46253.179976423562</v>
      </c>
      <c r="L1402" s="27">
        <v>107702.25021811416</v>
      </c>
      <c r="M1402" s="27">
        <v>225273.00381212251</v>
      </c>
    </row>
    <row r="1403" spans="1:13" x14ac:dyDescent="0.75">
      <c r="A1403" s="40">
        <v>1401</v>
      </c>
      <c r="B1403" s="27">
        <v>529.62448524079809</v>
      </c>
      <c r="C1403" s="27">
        <v>983.66676635135082</v>
      </c>
      <c r="D1403" s="27">
        <v>1824.8447318743711</v>
      </c>
      <c r="E1403" s="27">
        <v>2980.6459604934062</v>
      </c>
      <c r="F1403" s="27">
        <v>4892.6503150610952</v>
      </c>
      <c r="G1403" s="27">
        <v>6893.2376815611206</v>
      </c>
      <c r="H1403" s="27">
        <v>9539.4606935720949</v>
      </c>
      <c r="I1403" s="27">
        <v>13652.015858153653</v>
      </c>
      <c r="J1403" s="27">
        <v>23566.843401779493</v>
      </c>
      <c r="K1403" s="27">
        <v>46282.877098854457</v>
      </c>
      <c r="L1403" s="27">
        <v>121200.99937957605</v>
      </c>
      <c r="M1403" s="27">
        <v>232346.86637251789</v>
      </c>
    </row>
    <row r="1404" spans="1:13" x14ac:dyDescent="0.75">
      <c r="A1404" s="40">
        <v>1402</v>
      </c>
      <c r="B1404" s="27">
        <v>1051.1663473680965</v>
      </c>
      <c r="C1404" s="27">
        <v>1481.1735407863162</v>
      </c>
      <c r="D1404" s="27">
        <v>2487.7052979251748</v>
      </c>
      <c r="E1404" s="27">
        <v>3564.2701675078279</v>
      </c>
      <c r="F1404" s="27">
        <v>5497.5654661060253</v>
      </c>
      <c r="G1404" s="27">
        <v>8062.9443215144856</v>
      </c>
      <c r="H1404" s="27">
        <v>11426.786456138187</v>
      </c>
      <c r="I1404" s="27">
        <v>14559.284234658728</v>
      </c>
      <c r="J1404" s="27">
        <v>22662.869766640419</v>
      </c>
      <c r="K1404" s="27">
        <v>48801.686757019139</v>
      </c>
      <c r="L1404" s="27">
        <v>117923.72220619989</v>
      </c>
      <c r="M1404" s="27">
        <v>237519.17456186429</v>
      </c>
    </row>
    <row r="1405" spans="1:13" x14ac:dyDescent="0.75">
      <c r="A1405" s="40">
        <v>1403</v>
      </c>
      <c r="B1405" s="27">
        <v>1310.3757016830496</v>
      </c>
      <c r="C1405" s="27">
        <v>1858.2701489805186</v>
      </c>
      <c r="D1405" s="27">
        <v>2486.6404547196871</v>
      </c>
      <c r="E1405" s="27">
        <v>3857.072533816041</v>
      </c>
      <c r="F1405" s="27">
        <v>5877.1689493638696</v>
      </c>
      <c r="G1405" s="27">
        <v>8024.0300346268923</v>
      </c>
      <c r="H1405" s="27">
        <v>11290.050439411512</v>
      </c>
      <c r="I1405" s="27">
        <v>14789.250761917938</v>
      </c>
      <c r="J1405" s="27">
        <v>23606.459927134973</v>
      </c>
      <c r="K1405" s="27">
        <v>45991.593832670333</v>
      </c>
      <c r="L1405" s="27">
        <v>113767.99231022221</v>
      </c>
      <c r="M1405" s="27">
        <v>232858.90509454702</v>
      </c>
    </row>
    <row r="1406" spans="1:13" x14ac:dyDescent="0.75">
      <c r="A1406" s="40">
        <v>1404</v>
      </c>
      <c r="B1406" s="27">
        <v>1131.0043848061177</v>
      </c>
      <c r="C1406" s="27">
        <v>1594.8709756610479</v>
      </c>
      <c r="D1406" s="27">
        <v>2682.1343519656366</v>
      </c>
      <c r="E1406" s="27">
        <v>3653.7525022890622</v>
      </c>
      <c r="F1406" s="27">
        <v>5375.7291869748733</v>
      </c>
      <c r="G1406" s="27">
        <v>8465.0485113457835</v>
      </c>
      <c r="H1406" s="27">
        <v>10633.930300453561</v>
      </c>
      <c r="I1406" s="27">
        <v>14759.938812768116</v>
      </c>
      <c r="J1406" s="27">
        <v>23163.45326709401</v>
      </c>
      <c r="K1406" s="27">
        <v>46434.258497274364</v>
      </c>
      <c r="L1406" s="27">
        <v>103075.45183585951</v>
      </c>
      <c r="M1406" s="27">
        <v>220969.57262649207</v>
      </c>
    </row>
    <row r="1407" spans="1:13" x14ac:dyDescent="0.75">
      <c r="A1407" s="40">
        <v>1405</v>
      </c>
      <c r="B1407" s="27">
        <v>910.36677247587068</v>
      </c>
      <c r="C1407" s="27">
        <v>1670.3419053526159</v>
      </c>
      <c r="D1407" s="27">
        <v>2811.1200967225304</v>
      </c>
      <c r="E1407" s="27">
        <v>3715.1370721290441</v>
      </c>
      <c r="F1407" s="27">
        <v>6011.0799693402951</v>
      </c>
      <c r="G1407" s="27">
        <v>7969.3234632294625</v>
      </c>
      <c r="H1407" s="27">
        <v>11374.209086936316</v>
      </c>
      <c r="I1407" s="27">
        <v>14900.938179080345</v>
      </c>
      <c r="J1407" s="27">
        <v>23427.218387620902</v>
      </c>
      <c r="K1407" s="27">
        <v>47073.189678782655</v>
      </c>
      <c r="L1407" s="27">
        <v>117014.84669822718</v>
      </c>
      <c r="M1407" s="27">
        <v>236877.77130989722</v>
      </c>
    </row>
    <row r="1408" spans="1:13" x14ac:dyDescent="0.75">
      <c r="A1408" s="40">
        <v>1406</v>
      </c>
      <c r="B1408" s="27">
        <v>1133.2262307873607</v>
      </c>
      <c r="C1408" s="27">
        <v>1706.4116022902163</v>
      </c>
      <c r="D1408" s="27">
        <v>2586.8183085354394</v>
      </c>
      <c r="E1408" s="27">
        <v>3784.1941457433713</v>
      </c>
      <c r="F1408" s="27">
        <v>5451.6777060869645</v>
      </c>
      <c r="G1408" s="27">
        <v>7767.6696720440814</v>
      </c>
      <c r="H1408" s="27">
        <v>10777.985613470126</v>
      </c>
      <c r="I1408" s="27">
        <v>14695.511158852809</v>
      </c>
      <c r="J1408" s="27">
        <v>23822.989074279933</v>
      </c>
      <c r="K1408" s="27">
        <v>43955.723370981461</v>
      </c>
      <c r="L1408" s="27">
        <v>115802.14095617499</v>
      </c>
      <c r="M1408" s="27">
        <v>231484.34783924674</v>
      </c>
    </row>
    <row r="1409" spans="1:13" x14ac:dyDescent="0.75">
      <c r="A1409" s="40">
        <v>1407</v>
      </c>
      <c r="B1409" s="27">
        <v>910.49580660385254</v>
      </c>
      <c r="C1409" s="27">
        <v>1317.2569534946088</v>
      </c>
      <c r="D1409" s="27">
        <v>1991.1683845499065</v>
      </c>
      <c r="E1409" s="27">
        <v>3023.1610075307544</v>
      </c>
      <c r="F1409" s="27">
        <v>4995.222840877861</v>
      </c>
      <c r="G1409" s="27">
        <v>7296.5856062513776</v>
      </c>
      <c r="H1409" s="27">
        <v>10280.660639943206</v>
      </c>
      <c r="I1409" s="27">
        <v>14886.625199502741</v>
      </c>
      <c r="J1409" s="27">
        <v>22743.897008371627</v>
      </c>
      <c r="K1409" s="27">
        <v>44306.046123731867</v>
      </c>
      <c r="L1409" s="27">
        <v>118562.9075192562</v>
      </c>
      <c r="M1409" s="27">
        <v>230314.02709011402</v>
      </c>
    </row>
    <row r="1410" spans="1:13" x14ac:dyDescent="0.75">
      <c r="A1410" s="40">
        <v>1408</v>
      </c>
      <c r="B1410" s="27">
        <v>629.09159934283525</v>
      </c>
      <c r="C1410" s="27">
        <v>1203.184687588524</v>
      </c>
      <c r="D1410" s="27">
        <v>2327.7268869426771</v>
      </c>
      <c r="E1410" s="27">
        <v>3652.9170618016506</v>
      </c>
      <c r="F1410" s="27">
        <v>5326.4786278620595</v>
      </c>
      <c r="G1410" s="27">
        <v>7328.5830886701879</v>
      </c>
      <c r="H1410" s="27">
        <v>10003.073342017771</v>
      </c>
      <c r="I1410" s="27">
        <v>14077.650873149818</v>
      </c>
      <c r="J1410" s="27">
        <v>23233.503694787039</v>
      </c>
      <c r="K1410" s="27">
        <v>49131.311700074628</v>
      </c>
      <c r="L1410" s="27">
        <v>110858.96557147903</v>
      </c>
      <c r="M1410" s="27">
        <v>227772.48713371623</v>
      </c>
    </row>
    <row r="1411" spans="1:13" x14ac:dyDescent="0.75">
      <c r="A1411" s="40">
        <v>1409</v>
      </c>
      <c r="B1411" s="27">
        <v>1190.0519456453621</v>
      </c>
      <c r="C1411" s="27">
        <v>1492.3217724655697</v>
      </c>
      <c r="D1411" s="27">
        <v>2166.662179805513</v>
      </c>
      <c r="E1411" s="27">
        <v>3226.3436295032297</v>
      </c>
      <c r="F1411" s="27">
        <v>5746.9267990891822</v>
      </c>
      <c r="G1411" s="27">
        <v>8222.8076706633146</v>
      </c>
      <c r="H1411" s="27">
        <v>10471.106328288108</v>
      </c>
      <c r="I1411" s="27">
        <v>14294.188834190179</v>
      </c>
      <c r="J1411" s="27">
        <v>23274.916956094516</v>
      </c>
      <c r="K1411" s="27">
        <v>49011.921919377113</v>
      </c>
      <c r="L1411" s="27">
        <v>115337.59792308671</v>
      </c>
      <c r="M1411" s="27">
        <v>234434.84595820878</v>
      </c>
    </row>
    <row r="1412" spans="1:13" x14ac:dyDescent="0.75">
      <c r="A1412" s="40">
        <v>1410</v>
      </c>
      <c r="B1412" s="27">
        <v>543.29394615610363</v>
      </c>
      <c r="C1412" s="27">
        <v>930.78361120910267</v>
      </c>
      <c r="D1412" s="27">
        <v>1792.2859311880748</v>
      </c>
      <c r="E1412" s="27">
        <v>3024.5256120090635</v>
      </c>
      <c r="F1412" s="27">
        <v>5075.2500361846469</v>
      </c>
      <c r="G1412" s="27">
        <v>7396.1680229011399</v>
      </c>
      <c r="H1412" s="27">
        <v>9788.6465768449125</v>
      </c>
      <c r="I1412" s="27">
        <v>14133.777645223265</v>
      </c>
      <c r="J1412" s="27">
        <v>23227.94456576361</v>
      </c>
      <c r="K1412" s="27">
        <v>46310.964821413858</v>
      </c>
      <c r="L1412" s="27">
        <v>122543.31859008445</v>
      </c>
      <c r="M1412" s="27">
        <v>234766.95935897823</v>
      </c>
    </row>
    <row r="1413" spans="1:13" x14ac:dyDescent="0.75">
      <c r="A1413" s="40">
        <v>1411</v>
      </c>
      <c r="B1413" s="27">
        <v>542.71880566237087</v>
      </c>
      <c r="C1413" s="27">
        <v>1199.5614684540051</v>
      </c>
      <c r="D1413" s="27">
        <v>2109.1103249280277</v>
      </c>
      <c r="E1413" s="27">
        <v>3213.7210929745634</v>
      </c>
      <c r="F1413" s="27">
        <v>5264.0948487744026</v>
      </c>
      <c r="G1413" s="27">
        <v>7385.5179776344448</v>
      </c>
      <c r="H1413" s="27">
        <v>9851.2341630796873</v>
      </c>
      <c r="I1413" s="27">
        <v>13756.675940443383</v>
      </c>
      <c r="J1413" s="27">
        <v>23583.467102192488</v>
      </c>
      <c r="K1413" s="27">
        <v>48652.537931721687</v>
      </c>
      <c r="L1413" s="27">
        <v>111647.42785665023</v>
      </c>
      <c r="M1413" s="27">
        <v>227206.06751251529</v>
      </c>
    </row>
    <row r="1414" spans="1:13" x14ac:dyDescent="0.75">
      <c r="A1414" s="40">
        <v>1412</v>
      </c>
      <c r="B1414" s="27">
        <v>717.71703754644841</v>
      </c>
      <c r="C1414" s="27">
        <v>991.13207893550862</v>
      </c>
      <c r="D1414" s="27">
        <v>1913.8863044422033</v>
      </c>
      <c r="E1414" s="27">
        <v>2672.0111647132871</v>
      </c>
      <c r="F1414" s="27">
        <v>4254.5511767596035</v>
      </c>
      <c r="G1414" s="27">
        <v>6122.997449843504</v>
      </c>
      <c r="H1414" s="27">
        <v>9858.6130859470286</v>
      </c>
      <c r="I1414" s="27">
        <v>13270.339798967572</v>
      </c>
      <c r="J1414" s="27">
        <v>22427.497357252374</v>
      </c>
      <c r="K1414" s="27">
        <v>44303.799514342943</v>
      </c>
      <c r="L1414" s="27">
        <v>106675.76850671</v>
      </c>
      <c r="M1414" s="27">
        <v>213208.31347546045</v>
      </c>
    </row>
    <row r="1415" spans="1:13" x14ac:dyDescent="0.75">
      <c r="A1415" s="40">
        <v>1413</v>
      </c>
      <c r="B1415" s="27">
        <v>1061.014158853417</v>
      </c>
      <c r="C1415" s="27">
        <v>1699.6849314968276</v>
      </c>
      <c r="D1415" s="27">
        <v>2607.4915196312213</v>
      </c>
      <c r="E1415" s="27">
        <v>3725.3554642366071</v>
      </c>
      <c r="F1415" s="27">
        <v>5630.7923738181416</v>
      </c>
      <c r="G1415" s="27">
        <v>7754.1048615573673</v>
      </c>
      <c r="H1415" s="27">
        <v>10407.486715229898</v>
      </c>
      <c r="I1415" s="27">
        <v>14201.27135250812</v>
      </c>
      <c r="J1415" s="27">
        <v>22720.626842673344</v>
      </c>
      <c r="K1415" s="27">
        <v>47108.216657540892</v>
      </c>
      <c r="L1415" s="27">
        <v>117623.80009504175</v>
      </c>
      <c r="M1415" s="27">
        <v>234539.8449725876</v>
      </c>
    </row>
    <row r="1416" spans="1:13" x14ac:dyDescent="0.75">
      <c r="A1416" s="40">
        <v>1414</v>
      </c>
      <c r="B1416" s="27">
        <v>295.01606351441296</v>
      </c>
      <c r="C1416" s="27">
        <v>759.88901178597007</v>
      </c>
      <c r="D1416" s="27">
        <v>1391.7518766198191</v>
      </c>
      <c r="E1416" s="27">
        <v>2361.9784791446145</v>
      </c>
      <c r="F1416" s="27">
        <v>4333.4890026336943</v>
      </c>
      <c r="G1416" s="27">
        <v>6226.2149529122107</v>
      </c>
      <c r="H1416" s="27">
        <v>9406.5346604827791</v>
      </c>
      <c r="I1416" s="27">
        <v>12577.94408252975</v>
      </c>
      <c r="J1416" s="27">
        <v>23242.303319713959</v>
      </c>
      <c r="K1416" s="27">
        <v>42682.795197372863</v>
      </c>
      <c r="L1416" s="27">
        <v>103140.66810603795</v>
      </c>
      <c r="M1416" s="27">
        <v>206418.58475274802</v>
      </c>
    </row>
    <row r="1417" spans="1:13" x14ac:dyDescent="0.75">
      <c r="A1417" s="40">
        <v>1415</v>
      </c>
      <c r="B1417" s="27">
        <v>845.96392189629842</v>
      </c>
      <c r="C1417" s="27">
        <v>1029.4085062586528</v>
      </c>
      <c r="D1417" s="27">
        <v>1720.8483773016924</v>
      </c>
      <c r="E1417" s="27">
        <v>2847.1106670142763</v>
      </c>
      <c r="F1417" s="27">
        <v>5009.9916058628878</v>
      </c>
      <c r="G1417" s="27">
        <v>6969.0605510432797</v>
      </c>
      <c r="H1417" s="27">
        <v>10251.681922471966</v>
      </c>
      <c r="I1417" s="27">
        <v>14207.040020399028</v>
      </c>
      <c r="J1417" s="27">
        <v>22229.841314838734</v>
      </c>
      <c r="K1417" s="27">
        <v>45417.134811259253</v>
      </c>
      <c r="L1417" s="27">
        <v>108445.72966624887</v>
      </c>
      <c r="M1417" s="27">
        <v>218973.81136459493</v>
      </c>
    </row>
    <row r="1418" spans="1:13" x14ac:dyDescent="0.75">
      <c r="A1418" s="40">
        <v>1416</v>
      </c>
      <c r="B1418" s="27">
        <v>1100.4324098442885</v>
      </c>
      <c r="C1418" s="27">
        <v>1391.6847383608838</v>
      </c>
      <c r="D1418" s="27">
        <v>2234.3975240064319</v>
      </c>
      <c r="E1418" s="27">
        <v>3388.1177154450997</v>
      </c>
      <c r="F1418" s="27">
        <v>5514.5477300499915</v>
      </c>
      <c r="G1418" s="27">
        <v>7724.931604626443</v>
      </c>
      <c r="H1418" s="27">
        <v>10170.451273445855</v>
      </c>
      <c r="I1418" s="27">
        <v>14983.562234366022</v>
      </c>
      <c r="J1418" s="27">
        <v>21894.720781477372</v>
      </c>
      <c r="K1418" s="27">
        <v>46744.176731982167</v>
      </c>
      <c r="L1418" s="27">
        <v>110047.78565566865</v>
      </c>
      <c r="M1418" s="27">
        <v>225194.8083992732</v>
      </c>
    </row>
    <row r="1419" spans="1:13" x14ac:dyDescent="0.75">
      <c r="A1419" s="40">
        <v>1417</v>
      </c>
      <c r="B1419" s="27">
        <v>1391.7771072951873</v>
      </c>
      <c r="C1419" s="27">
        <v>1864.5852645640698</v>
      </c>
      <c r="D1419" s="27">
        <v>2907.7381983525702</v>
      </c>
      <c r="E1419" s="27">
        <v>4107.8043627589504</v>
      </c>
      <c r="F1419" s="27">
        <v>5605.0367932525842</v>
      </c>
      <c r="G1419" s="27">
        <v>8442.3004035596678</v>
      </c>
      <c r="H1419" s="27">
        <v>11298.707657240244</v>
      </c>
      <c r="I1419" s="27">
        <v>15128.885758541073</v>
      </c>
      <c r="J1419" s="27">
        <v>24268.458010155417</v>
      </c>
      <c r="K1419" s="27">
        <v>45844.99744601603</v>
      </c>
      <c r="L1419" s="27">
        <v>113430.76190099848</v>
      </c>
      <c r="M1419" s="27">
        <v>234291.05290273426</v>
      </c>
    </row>
    <row r="1420" spans="1:13" x14ac:dyDescent="0.75">
      <c r="A1420" s="40">
        <v>1418</v>
      </c>
      <c r="B1420" s="27">
        <v>908.08297785044124</v>
      </c>
      <c r="C1420" s="27">
        <v>1800.0487619573832</v>
      </c>
      <c r="D1420" s="27">
        <v>2695.1752641685889</v>
      </c>
      <c r="E1420" s="27">
        <v>3801.0261471751583</v>
      </c>
      <c r="F1420" s="27">
        <v>6103.5513582131534</v>
      </c>
      <c r="G1420" s="27">
        <v>8414.7634520347929</v>
      </c>
      <c r="H1420" s="27">
        <v>11405.154320904898</v>
      </c>
      <c r="I1420" s="27">
        <v>15479.042586926647</v>
      </c>
      <c r="J1420" s="27">
        <v>26023.636110858293</v>
      </c>
      <c r="K1420" s="27">
        <v>50046.419129675705</v>
      </c>
      <c r="L1420" s="27">
        <v>111371.56813293661</v>
      </c>
      <c r="M1420" s="27">
        <v>238048.46824270167</v>
      </c>
    </row>
    <row r="1421" spans="1:13" x14ac:dyDescent="0.75">
      <c r="A1421" s="40">
        <v>1419</v>
      </c>
      <c r="B1421" s="27">
        <v>407.75488074086024</v>
      </c>
      <c r="C1421" s="27">
        <v>1050.8002790302271</v>
      </c>
      <c r="D1421" s="27">
        <v>1900.7621746683726</v>
      </c>
      <c r="E1421" s="27">
        <v>2995.0403157546389</v>
      </c>
      <c r="F1421" s="27">
        <v>4834.3937525778892</v>
      </c>
      <c r="G1421" s="27">
        <v>6967.6212188518839</v>
      </c>
      <c r="H1421" s="27">
        <v>10137.499313683482</v>
      </c>
      <c r="I1421" s="27">
        <v>14019.693480911388</v>
      </c>
      <c r="J1421" s="27">
        <v>22348.986221783867</v>
      </c>
      <c r="K1421" s="27">
        <v>46553.903790601325</v>
      </c>
      <c r="L1421" s="27">
        <v>109343.88466441492</v>
      </c>
      <c r="M1421" s="27">
        <v>220560.34009301884</v>
      </c>
    </row>
    <row r="1422" spans="1:13" x14ac:dyDescent="0.75">
      <c r="A1422" s="40">
        <v>1420</v>
      </c>
      <c r="B1422" s="27">
        <v>1460.3944234805676</v>
      </c>
      <c r="C1422" s="27">
        <v>1713.839538502798</v>
      </c>
      <c r="D1422" s="27">
        <v>2413.0368436889839</v>
      </c>
      <c r="E1422" s="27">
        <v>3684.3129575707862</v>
      </c>
      <c r="F1422" s="27">
        <v>5421.9880023199366</v>
      </c>
      <c r="G1422" s="27">
        <v>7752.8349635897612</v>
      </c>
      <c r="H1422" s="27">
        <v>10687.914503140724</v>
      </c>
      <c r="I1422" s="27">
        <v>15107.525993474381</v>
      </c>
      <c r="J1422" s="27">
        <v>23164.660952525926</v>
      </c>
      <c r="K1422" s="27">
        <v>48064.873609226663</v>
      </c>
      <c r="L1422" s="27">
        <v>116376.95562112871</v>
      </c>
      <c r="M1422" s="27">
        <v>235848.33740864924</v>
      </c>
    </row>
    <row r="1423" spans="1:13" x14ac:dyDescent="0.75">
      <c r="A1423" s="40">
        <v>1421</v>
      </c>
      <c r="B1423" s="27">
        <v>667.26692535894108</v>
      </c>
      <c r="C1423" s="27">
        <v>1124.0772179541964</v>
      </c>
      <c r="D1423" s="27">
        <v>1936.8000607593131</v>
      </c>
      <c r="E1423" s="27">
        <v>3053.2696808067703</v>
      </c>
      <c r="F1423" s="27">
        <v>5044.3937731888727</v>
      </c>
      <c r="G1423" s="27">
        <v>7963.717725118855</v>
      </c>
      <c r="H1423" s="27">
        <v>10672.270096865803</v>
      </c>
      <c r="I1423" s="27">
        <v>14005.697752144813</v>
      </c>
      <c r="J1423" s="27">
        <v>23193.748399323667</v>
      </c>
      <c r="K1423" s="27">
        <v>47762.495575559791</v>
      </c>
      <c r="L1423" s="27">
        <v>104824.22096539926</v>
      </c>
      <c r="M1423" s="27">
        <v>220247.95817248028</v>
      </c>
    </row>
    <row r="1424" spans="1:13" x14ac:dyDescent="0.75">
      <c r="A1424" s="40">
        <v>1422</v>
      </c>
      <c r="B1424" s="27">
        <v>661.79119022341911</v>
      </c>
      <c r="C1424" s="27">
        <v>1275.8800018257753</v>
      </c>
      <c r="D1424" s="27">
        <v>2393.9998390326073</v>
      </c>
      <c r="E1424" s="27">
        <v>3548.4736660288618</v>
      </c>
      <c r="F1424" s="27">
        <v>5455.8371262307919</v>
      </c>
      <c r="G1424" s="27">
        <v>7701.5200898888288</v>
      </c>
      <c r="H1424" s="27">
        <v>10860.070632847492</v>
      </c>
      <c r="I1424" s="27">
        <v>14277.686762053214</v>
      </c>
      <c r="J1424" s="27">
        <v>22580.302132278186</v>
      </c>
      <c r="K1424" s="27">
        <v>46972.019802967814</v>
      </c>
      <c r="L1424" s="27">
        <v>112762.71565525263</v>
      </c>
      <c r="M1424" s="27">
        <v>228490.29689862963</v>
      </c>
    </row>
    <row r="1425" spans="1:13" x14ac:dyDescent="0.75">
      <c r="A1425" s="40">
        <v>1423</v>
      </c>
      <c r="B1425" s="27">
        <v>1053.0397597861447</v>
      </c>
      <c r="C1425" s="27">
        <v>1518.0548849266052</v>
      </c>
      <c r="D1425" s="27">
        <v>2633.6581281381077</v>
      </c>
      <c r="E1425" s="27">
        <v>3889.3124623580807</v>
      </c>
      <c r="F1425" s="27">
        <v>5485.5905666498438</v>
      </c>
      <c r="G1425" s="27">
        <v>8350.3151299616729</v>
      </c>
      <c r="H1425" s="27">
        <v>10995.090321325668</v>
      </c>
      <c r="I1425" s="27">
        <v>15257.855052409912</v>
      </c>
      <c r="J1425" s="27">
        <v>25176.173247636121</v>
      </c>
      <c r="K1425" s="27">
        <v>47303.528436210268</v>
      </c>
      <c r="L1425" s="27">
        <v>114700.0592019847</v>
      </c>
      <c r="M1425" s="27">
        <v>236362.67719138711</v>
      </c>
    </row>
    <row r="1426" spans="1:13" x14ac:dyDescent="0.75">
      <c r="A1426" s="40">
        <v>1424</v>
      </c>
      <c r="B1426" s="27">
        <v>876.61513373734488</v>
      </c>
      <c r="C1426" s="27">
        <v>1247.1838110728859</v>
      </c>
      <c r="D1426" s="27">
        <v>2269.1004053840443</v>
      </c>
      <c r="E1426" s="27">
        <v>3242.416860020312</v>
      </c>
      <c r="F1426" s="27">
        <v>5183.8210765802651</v>
      </c>
      <c r="G1426" s="27">
        <v>8026.4055222622992</v>
      </c>
      <c r="H1426" s="27">
        <v>10153.394304313508</v>
      </c>
      <c r="I1426" s="27">
        <v>13985.457485834384</v>
      </c>
      <c r="J1426" s="27">
        <v>23304.01203838308</v>
      </c>
      <c r="K1426" s="27">
        <v>44095.93314657484</v>
      </c>
      <c r="L1426" s="27">
        <v>112581.7588382457</v>
      </c>
      <c r="M1426" s="27">
        <v>224966.09862240867</v>
      </c>
    </row>
    <row r="1427" spans="1:13" x14ac:dyDescent="0.75">
      <c r="A1427" s="40">
        <v>1425</v>
      </c>
      <c r="B1427" s="27">
        <v>1185.7454268559231</v>
      </c>
      <c r="C1427" s="27">
        <v>1754.8738022906764</v>
      </c>
      <c r="D1427" s="27">
        <v>2607.0963973140897</v>
      </c>
      <c r="E1427" s="27">
        <v>3482.6041600542521</v>
      </c>
      <c r="F1427" s="27">
        <v>5482.5948946621211</v>
      </c>
      <c r="G1427" s="27">
        <v>7771.8262480646372</v>
      </c>
      <c r="H1427" s="27">
        <v>10731.081430946128</v>
      </c>
      <c r="I1427" s="27">
        <v>14546.950764330293</v>
      </c>
      <c r="J1427" s="27">
        <v>23707.796262880438</v>
      </c>
      <c r="K1427" s="27">
        <v>50613.074037873826</v>
      </c>
      <c r="L1427" s="27">
        <v>107039.3715389002</v>
      </c>
      <c r="M1427" s="27">
        <v>228923.01496417259</v>
      </c>
    </row>
    <row r="1428" spans="1:13" x14ac:dyDescent="0.75">
      <c r="A1428" s="40">
        <v>1426</v>
      </c>
      <c r="B1428" s="27">
        <v>912.58894474637054</v>
      </c>
      <c r="C1428" s="27">
        <v>1250.3919555637112</v>
      </c>
      <c r="D1428" s="27">
        <v>2428.9860352289979</v>
      </c>
      <c r="E1428" s="27">
        <v>3791.2617391303938</v>
      </c>
      <c r="F1428" s="27">
        <v>5646.7072819194727</v>
      </c>
      <c r="G1428" s="27">
        <v>8592.3415197177383</v>
      </c>
      <c r="H1428" s="27">
        <v>10987.499346345343</v>
      </c>
      <c r="I1428" s="27">
        <v>15024.140677737756</v>
      </c>
      <c r="J1428" s="27">
        <v>23296.099416199533</v>
      </c>
      <c r="K1428" s="27">
        <v>47267.855833617927</v>
      </c>
      <c r="L1428" s="27">
        <v>119236.55512840711</v>
      </c>
      <c r="M1428" s="27">
        <v>238434.42787861434</v>
      </c>
    </row>
    <row r="1429" spans="1:13" x14ac:dyDescent="0.75">
      <c r="A1429" s="40">
        <v>1427</v>
      </c>
      <c r="B1429" s="27">
        <v>779.04004779059323</v>
      </c>
      <c r="C1429" s="27">
        <v>1260.1602889509668</v>
      </c>
      <c r="D1429" s="27">
        <v>2304.5207690493262</v>
      </c>
      <c r="E1429" s="27">
        <v>3531.4126846654253</v>
      </c>
      <c r="F1429" s="27">
        <v>5327.5097249756218</v>
      </c>
      <c r="G1429" s="27">
        <v>7780.8965522230428</v>
      </c>
      <c r="H1429" s="27">
        <v>10300.848518920218</v>
      </c>
      <c r="I1429" s="27">
        <v>14424.397706939373</v>
      </c>
      <c r="J1429" s="27">
        <v>22960.882565974403</v>
      </c>
      <c r="K1429" s="27">
        <v>49704.880597901967</v>
      </c>
      <c r="L1429" s="27">
        <v>117219.41780653794</v>
      </c>
      <c r="M1429" s="27">
        <v>235593.96726392888</v>
      </c>
    </row>
    <row r="1430" spans="1:13" x14ac:dyDescent="0.75">
      <c r="A1430" s="40">
        <v>1428</v>
      </c>
      <c r="B1430" s="27">
        <v>515.5210406822589</v>
      </c>
      <c r="C1430" s="27">
        <v>867.84316518589912</v>
      </c>
      <c r="D1430" s="27">
        <v>1764.2617227599258</v>
      </c>
      <c r="E1430" s="27">
        <v>2854.2083535657439</v>
      </c>
      <c r="F1430" s="27">
        <v>4796.6012518275384</v>
      </c>
      <c r="G1430" s="27">
        <v>6939.1855050174345</v>
      </c>
      <c r="H1430" s="27">
        <v>9479.308941334195</v>
      </c>
      <c r="I1430" s="27">
        <v>13528.552316208559</v>
      </c>
      <c r="J1430" s="27">
        <v>22746.925403969115</v>
      </c>
      <c r="K1430" s="27">
        <v>45637.9391762124</v>
      </c>
      <c r="L1430" s="27">
        <v>113236.96515894948</v>
      </c>
      <c r="M1430" s="27">
        <v>222367.31203571253</v>
      </c>
    </row>
    <row r="1431" spans="1:13" x14ac:dyDescent="0.75">
      <c r="A1431" s="40">
        <v>1429</v>
      </c>
      <c r="B1431" s="27">
        <v>1246.4427313007327</v>
      </c>
      <c r="C1431" s="27">
        <v>1612.717452656434</v>
      </c>
      <c r="D1431" s="27">
        <v>2386.7770373122767</v>
      </c>
      <c r="E1431" s="27">
        <v>3314.6424045304157</v>
      </c>
      <c r="F1431" s="27">
        <v>5435.7105850578228</v>
      </c>
      <c r="G1431" s="27">
        <v>7293.6140385034669</v>
      </c>
      <c r="H1431" s="27">
        <v>9996.1799549939024</v>
      </c>
      <c r="I1431" s="27">
        <v>14682.280586529669</v>
      </c>
      <c r="J1431" s="27">
        <v>23038.150036050181</v>
      </c>
      <c r="K1431" s="27">
        <v>46897.026081679214</v>
      </c>
      <c r="L1431" s="27">
        <v>105204.33163883875</v>
      </c>
      <c r="M1431" s="27">
        <v>221107.87254745286</v>
      </c>
    </row>
    <row r="1432" spans="1:13" x14ac:dyDescent="0.75">
      <c r="A1432" s="40">
        <v>1430</v>
      </c>
      <c r="B1432" s="27">
        <v>510.05168890093046</v>
      </c>
      <c r="C1432" s="27">
        <v>1238.6602139205352</v>
      </c>
      <c r="D1432" s="27">
        <v>2183.1478671340155</v>
      </c>
      <c r="E1432" s="27">
        <v>3055.2949750119587</v>
      </c>
      <c r="F1432" s="27">
        <v>5104.9174227247713</v>
      </c>
      <c r="G1432" s="27">
        <v>6890.4422180093825</v>
      </c>
      <c r="H1432" s="27">
        <v>9786.2800248501007</v>
      </c>
      <c r="I1432" s="27">
        <v>14265.060729969176</v>
      </c>
      <c r="J1432" s="27">
        <v>23968.224536248919</v>
      </c>
      <c r="K1432" s="27">
        <v>46551.641677730484</v>
      </c>
      <c r="L1432" s="27">
        <v>109526.61140607254</v>
      </c>
      <c r="M1432" s="27">
        <v>223080.33276057281</v>
      </c>
    </row>
    <row r="1433" spans="1:13" x14ac:dyDescent="0.75">
      <c r="A1433" s="40">
        <v>1431</v>
      </c>
      <c r="B1433" s="27">
        <v>772.60740125557641</v>
      </c>
      <c r="C1433" s="27">
        <v>1179.5414968959522</v>
      </c>
      <c r="D1433" s="27">
        <v>2083.9910264297214</v>
      </c>
      <c r="E1433" s="27">
        <v>3203.2989678389858</v>
      </c>
      <c r="F1433" s="27">
        <v>5015.430716507457</v>
      </c>
      <c r="G1433" s="27">
        <v>7091.8911073502386</v>
      </c>
      <c r="H1433" s="27">
        <v>9932.2808453521284</v>
      </c>
      <c r="I1433" s="27">
        <v>13736.321146653136</v>
      </c>
      <c r="J1433" s="27">
        <v>23238.632989182137</v>
      </c>
      <c r="K1433" s="27">
        <v>48070.235832619728</v>
      </c>
      <c r="L1433" s="27">
        <v>107162.62067447734</v>
      </c>
      <c r="M1433" s="27">
        <v>221486.8522045624</v>
      </c>
    </row>
    <row r="1434" spans="1:13" x14ac:dyDescent="0.75">
      <c r="A1434" s="40">
        <v>1432</v>
      </c>
      <c r="B1434" s="27">
        <v>692.45883426263754</v>
      </c>
      <c r="C1434" s="27">
        <v>1297.3391811644833</v>
      </c>
      <c r="D1434" s="27">
        <v>2172.0765361655504</v>
      </c>
      <c r="E1434" s="27">
        <v>3521.6421472016809</v>
      </c>
      <c r="F1434" s="27">
        <v>5655.9001894449175</v>
      </c>
      <c r="G1434" s="27">
        <v>7629.3732349120546</v>
      </c>
      <c r="H1434" s="27">
        <v>9866.8111194740195</v>
      </c>
      <c r="I1434" s="27">
        <v>13491.582827863909</v>
      </c>
      <c r="J1434" s="27">
        <v>22542.17845020887</v>
      </c>
      <c r="K1434" s="27">
        <v>47526.094163736998</v>
      </c>
      <c r="L1434" s="27">
        <v>118668.61812406743</v>
      </c>
      <c r="M1434" s="27">
        <v>233064.07480850257</v>
      </c>
    </row>
    <row r="1435" spans="1:13" x14ac:dyDescent="0.75">
      <c r="A1435" s="40">
        <v>1433</v>
      </c>
      <c r="B1435" s="27">
        <v>499.15303205160308</v>
      </c>
      <c r="C1435" s="27">
        <v>738.43055212477339</v>
      </c>
      <c r="D1435" s="27">
        <v>1522.0614840309136</v>
      </c>
      <c r="E1435" s="27">
        <v>2727.3427714425052</v>
      </c>
      <c r="F1435" s="27">
        <v>4780.577206825139</v>
      </c>
      <c r="G1435" s="27">
        <v>6453.4365575585689</v>
      </c>
      <c r="H1435" s="27">
        <v>8935.0865465809038</v>
      </c>
      <c r="I1435" s="27">
        <v>13019.092237872013</v>
      </c>
      <c r="J1435" s="27">
        <v>21022.644274539314</v>
      </c>
      <c r="K1435" s="27">
        <v>44079.247897625959</v>
      </c>
      <c r="L1435" s="27">
        <v>109853.9079597698</v>
      </c>
      <c r="M1435" s="27">
        <v>213630.98052042149</v>
      </c>
    </row>
    <row r="1436" spans="1:13" x14ac:dyDescent="0.75">
      <c r="A1436" s="40">
        <v>1434</v>
      </c>
      <c r="B1436" s="27">
        <v>1080.8877577333624</v>
      </c>
      <c r="C1436" s="27">
        <v>1583.2942265389138</v>
      </c>
      <c r="D1436" s="27">
        <v>2551.347800687523</v>
      </c>
      <c r="E1436" s="27">
        <v>3576.1707848009537</v>
      </c>
      <c r="F1436" s="27">
        <v>5731.0711300123075</v>
      </c>
      <c r="G1436" s="27">
        <v>7758.6385217912029</v>
      </c>
      <c r="H1436" s="27">
        <v>10735.047043387254</v>
      </c>
      <c r="I1436" s="27">
        <v>14552.995706872811</v>
      </c>
      <c r="J1436" s="27">
        <v>23671.66577639796</v>
      </c>
      <c r="K1436" s="27">
        <v>48239.590542361664</v>
      </c>
      <c r="L1436" s="27">
        <v>119471.30025349463</v>
      </c>
      <c r="M1436" s="27">
        <v>238952.00954407858</v>
      </c>
    </row>
    <row r="1437" spans="1:13" x14ac:dyDescent="0.75">
      <c r="A1437" s="40">
        <v>1435</v>
      </c>
      <c r="B1437" s="27">
        <v>814.25817996180558</v>
      </c>
      <c r="C1437" s="27">
        <v>1350.9585312644485</v>
      </c>
      <c r="D1437" s="27">
        <v>2185.012917283515</v>
      </c>
      <c r="E1437" s="27">
        <v>2977.2016508588567</v>
      </c>
      <c r="F1437" s="27">
        <v>4570.8258298676228</v>
      </c>
      <c r="G1437" s="27">
        <v>7078.0338226394961</v>
      </c>
      <c r="H1437" s="27">
        <v>10010.22151944795</v>
      </c>
      <c r="I1437" s="27">
        <v>13700.679123538532</v>
      </c>
      <c r="J1437" s="27">
        <v>22648.265889148897</v>
      </c>
      <c r="K1437" s="27">
        <v>45833.541769584248</v>
      </c>
      <c r="L1437" s="27">
        <v>116750.83125528773</v>
      </c>
      <c r="M1437" s="27">
        <v>227919.8304888831</v>
      </c>
    </row>
    <row r="1438" spans="1:13" x14ac:dyDescent="0.75">
      <c r="A1438" s="40">
        <v>1436</v>
      </c>
      <c r="B1438" s="27">
        <v>1197.6280564299959</v>
      </c>
      <c r="C1438" s="27">
        <v>2088.9974141207931</v>
      </c>
      <c r="D1438" s="27">
        <v>2807.8877608730254</v>
      </c>
      <c r="E1438" s="27">
        <v>3729.8710801393463</v>
      </c>
      <c r="F1438" s="27">
        <v>5523.0857704342779</v>
      </c>
      <c r="G1438" s="27">
        <v>8107.1332143599284</v>
      </c>
      <c r="H1438" s="27">
        <v>11110.97874183883</v>
      </c>
      <c r="I1438" s="27">
        <v>14893.87993144957</v>
      </c>
      <c r="J1438" s="27">
        <v>22974.006250438601</v>
      </c>
      <c r="K1438" s="27">
        <v>47594.124008385756</v>
      </c>
      <c r="L1438" s="27">
        <v>115728.54070340907</v>
      </c>
      <c r="M1438" s="27">
        <v>235756.1329318792</v>
      </c>
    </row>
    <row r="1439" spans="1:13" x14ac:dyDescent="0.75">
      <c r="A1439" s="40">
        <v>1437</v>
      </c>
      <c r="B1439" s="27">
        <v>740.515579763407</v>
      </c>
      <c r="C1439" s="27">
        <v>1275.8870682811685</v>
      </c>
      <c r="D1439" s="27">
        <v>2306.2332335782703</v>
      </c>
      <c r="E1439" s="27">
        <v>3620.5727939044737</v>
      </c>
      <c r="F1439" s="27">
        <v>5302.0416486459726</v>
      </c>
      <c r="G1439" s="27">
        <v>7658.1374027287238</v>
      </c>
      <c r="H1439" s="27">
        <v>10943.41112189283</v>
      </c>
      <c r="I1439" s="27">
        <v>14189.210425109937</v>
      </c>
      <c r="J1439" s="27">
        <v>21877.34958758195</v>
      </c>
      <c r="K1439" s="27">
        <v>47224.823665180607</v>
      </c>
      <c r="L1439" s="27">
        <v>115812.89584296022</v>
      </c>
      <c r="M1439" s="27">
        <v>230951.07836962756</v>
      </c>
    </row>
    <row r="1440" spans="1:13" x14ac:dyDescent="0.75">
      <c r="A1440" s="40">
        <v>1438</v>
      </c>
      <c r="B1440" s="27">
        <v>949.10157048318069</v>
      </c>
      <c r="C1440" s="27">
        <v>1292.7129279709043</v>
      </c>
      <c r="D1440" s="27">
        <v>1946.4729789419362</v>
      </c>
      <c r="E1440" s="27">
        <v>2991.6415448122134</v>
      </c>
      <c r="F1440" s="27">
        <v>4859.4781599024718</v>
      </c>
      <c r="G1440" s="27">
        <v>7565.6477314941585</v>
      </c>
      <c r="H1440" s="27">
        <v>9967.8403691053973</v>
      </c>
      <c r="I1440" s="27">
        <v>14012.482606749996</v>
      </c>
      <c r="J1440" s="27">
        <v>23806.227048352128</v>
      </c>
      <c r="K1440" s="27">
        <v>49590.3391897314</v>
      </c>
      <c r="L1440" s="27">
        <v>111118.66372960302</v>
      </c>
      <c r="M1440" s="27">
        <v>228100.60785714682</v>
      </c>
    </row>
    <row r="1441" spans="1:13" x14ac:dyDescent="0.75">
      <c r="A1441" s="40">
        <v>1439</v>
      </c>
      <c r="B1441" s="27">
        <v>1210.1927029727813</v>
      </c>
      <c r="C1441" s="27">
        <v>1761.5400430287118</v>
      </c>
      <c r="D1441" s="27">
        <v>2852.5158733717108</v>
      </c>
      <c r="E1441" s="27">
        <v>3900.5390240996785</v>
      </c>
      <c r="F1441" s="27">
        <v>5973.807793286338</v>
      </c>
      <c r="G1441" s="27">
        <v>8283.5550875401241</v>
      </c>
      <c r="H1441" s="27">
        <v>10550.260294976979</v>
      </c>
      <c r="I1441" s="27">
        <v>14725.800450701339</v>
      </c>
      <c r="J1441" s="27">
        <v>23538.16040226724</v>
      </c>
      <c r="K1441" s="27">
        <v>46903.290539731941</v>
      </c>
      <c r="L1441" s="27">
        <v>116088.8090308792</v>
      </c>
      <c r="M1441" s="27">
        <v>235788.47124285606</v>
      </c>
    </row>
    <row r="1442" spans="1:13" x14ac:dyDescent="0.75">
      <c r="A1442" s="40">
        <v>1440</v>
      </c>
      <c r="B1442" s="27">
        <v>377.55443269060925</v>
      </c>
      <c r="C1442" s="27">
        <v>977.68970740049554</v>
      </c>
      <c r="D1442" s="27">
        <v>1735.2617041041522</v>
      </c>
      <c r="E1442" s="27">
        <v>3015.044548937658</v>
      </c>
      <c r="F1442" s="27">
        <v>4901.0205389151815</v>
      </c>
      <c r="G1442" s="27">
        <v>7113.8193262908317</v>
      </c>
      <c r="H1442" s="27">
        <v>9992.7458928734559</v>
      </c>
      <c r="I1442" s="27">
        <v>14302.679065568474</v>
      </c>
      <c r="J1442" s="27">
        <v>23723.48536073904</v>
      </c>
      <c r="K1442" s="27">
        <v>45197.132343689591</v>
      </c>
      <c r="L1442" s="27">
        <v>101610.66915778274</v>
      </c>
      <c r="M1442" s="27">
        <v>212947.10207899223</v>
      </c>
    </row>
    <row r="1443" spans="1:13" x14ac:dyDescent="0.75">
      <c r="A1443" s="40">
        <v>1441</v>
      </c>
      <c r="B1443" s="27">
        <v>795.97264194436138</v>
      </c>
      <c r="C1443" s="27">
        <v>1078.8521923919034</v>
      </c>
      <c r="D1443" s="27">
        <v>2078.5086742159037</v>
      </c>
      <c r="E1443" s="27">
        <v>3215.29303585866</v>
      </c>
      <c r="F1443" s="27">
        <v>5115.2027294925647</v>
      </c>
      <c r="G1443" s="27">
        <v>7895.2743630780606</v>
      </c>
      <c r="H1443" s="27">
        <v>10334.306506885216</v>
      </c>
      <c r="I1443" s="27">
        <v>15027.08792957422</v>
      </c>
      <c r="J1443" s="27">
        <v>23114.026453463681</v>
      </c>
      <c r="K1443" s="27">
        <v>47857.325701097259</v>
      </c>
      <c r="L1443" s="27">
        <v>102972.81624810377</v>
      </c>
      <c r="M1443" s="27">
        <v>219484.6664761056</v>
      </c>
    </row>
    <row r="1444" spans="1:13" x14ac:dyDescent="0.75">
      <c r="A1444" s="40">
        <v>1442</v>
      </c>
      <c r="B1444" s="27">
        <v>501.35577762413595</v>
      </c>
      <c r="C1444" s="27">
        <v>995.87506213165761</v>
      </c>
      <c r="D1444" s="27">
        <v>2102.4796372976853</v>
      </c>
      <c r="E1444" s="27">
        <v>3203.7021292268473</v>
      </c>
      <c r="F1444" s="27">
        <v>5278.2195741641044</v>
      </c>
      <c r="G1444" s="27">
        <v>7429.4174263334426</v>
      </c>
      <c r="H1444" s="27">
        <v>10076.161749581399</v>
      </c>
      <c r="I1444" s="27">
        <v>13699.60447441072</v>
      </c>
      <c r="J1444" s="27">
        <v>22643.56330650828</v>
      </c>
      <c r="K1444" s="27">
        <v>46571.611595667026</v>
      </c>
      <c r="L1444" s="27">
        <v>114985.4787031598</v>
      </c>
      <c r="M1444" s="27">
        <v>227487.46943610511</v>
      </c>
    </row>
    <row r="1445" spans="1:13" x14ac:dyDescent="0.75">
      <c r="A1445" s="40">
        <v>1443</v>
      </c>
      <c r="B1445" s="27">
        <v>550.05919271452876</v>
      </c>
      <c r="C1445" s="27">
        <v>1098.0656338288391</v>
      </c>
      <c r="D1445" s="27">
        <v>1784.1999545492872</v>
      </c>
      <c r="E1445" s="27">
        <v>2603.2292379060382</v>
      </c>
      <c r="F1445" s="27">
        <v>4610.7080422439321</v>
      </c>
      <c r="G1445" s="27">
        <v>7276.4479445150064</v>
      </c>
      <c r="H1445" s="27">
        <v>9531.7491549979895</v>
      </c>
      <c r="I1445" s="27">
        <v>13806.392096769414</v>
      </c>
      <c r="J1445" s="27">
        <v>22139.496386749175</v>
      </c>
      <c r="K1445" s="27">
        <v>44896.422062209094</v>
      </c>
      <c r="L1445" s="27">
        <v>110779.43642384405</v>
      </c>
      <c r="M1445" s="27">
        <v>219076.20613032737</v>
      </c>
    </row>
    <row r="1446" spans="1:13" x14ac:dyDescent="0.75">
      <c r="A1446" s="40">
        <v>1444</v>
      </c>
      <c r="B1446" s="27">
        <v>1117.7014271289227</v>
      </c>
      <c r="C1446" s="27">
        <v>1550.1448433577316</v>
      </c>
      <c r="D1446" s="27">
        <v>2306.5716821936512</v>
      </c>
      <c r="E1446" s="27">
        <v>3514.5287257231103</v>
      </c>
      <c r="F1446" s="27">
        <v>5347.039227140951</v>
      </c>
      <c r="G1446" s="27">
        <v>7857.0825921924843</v>
      </c>
      <c r="H1446" s="27">
        <v>9973.8873449790262</v>
      </c>
      <c r="I1446" s="27">
        <v>14222.324101835053</v>
      </c>
      <c r="J1446" s="27">
        <v>23677.948253277704</v>
      </c>
      <c r="K1446" s="27">
        <v>45442.037447536713</v>
      </c>
      <c r="L1446" s="27">
        <v>105065.16867441476</v>
      </c>
      <c r="M1446" s="27">
        <v>220074.43431978009</v>
      </c>
    </row>
    <row r="1447" spans="1:13" x14ac:dyDescent="0.75">
      <c r="A1447" s="40">
        <v>1445</v>
      </c>
      <c r="B1447" s="27">
        <v>1432.037123072776</v>
      </c>
      <c r="C1447" s="27">
        <v>2224.3158202007326</v>
      </c>
      <c r="D1447" s="27">
        <v>3182.4468602715788</v>
      </c>
      <c r="E1447" s="27">
        <v>4364.116128602167</v>
      </c>
      <c r="F1447" s="27">
        <v>6340.851402676155</v>
      </c>
      <c r="G1447" s="27">
        <v>8967.5380657694186</v>
      </c>
      <c r="H1447" s="27">
        <v>11738.080238048948</v>
      </c>
      <c r="I1447" s="27">
        <v>15948.397282509395</v>
      </c>
      <c r="J1447" s="27">
        <v>23824.830017503496</v>
      </c>
      <c r="K1447" s="27">
        <v>49634.542718852841</v>
      </c>
      <c r="L1447" s="27">
        <v>116217.21304435133</v>
      </c>
      <c r="M1447" s="27">
        <v>243874.36870185885</v>
      </c>
    </row>
    <row r="1448" spans="1:13" x14ac:dyDescent="0.75">
      <c r="A1448" s="40">
        <v>1446</v>
      </c>
      <c r="B1448" s="27">
        <v>801.71994112101675</v>
      </c>
      <c r="C1448" s="27">
        <v>1432.2747711559496</v>
      </c>
      <c r="D1448" s="27">
        <v>2560.7648413850111</v>
      </c>
      <c r="E1448" s="27">
        <v>3826.6224386490358</v>
      </c>
      <c r="F1448" s="27">
        <v>5829.727879433427</v>
      </c>
      <c r="G1448" s="27">
        <v>8113.2195704532787</v>
      </c>
      <c r="H1448" s="27">
        <v>10679.017360048121</v>
      </c>
      <c r="I1448" s="27">
        <v>13960.669211455112</v>
      </c>
      <c r="J1448" s="27">
        <v>22204.425129763287</v>
      </c>
      <c r="K1448" s="27">
        <v>44600.213089001161</v>
      </c>
      <c r="L1448" s="27">
        <v>107463.09682497122</v>
      </c>
      <c r="M1448" s="27">
        <v>221471.75105743663</v>
      </c>
    </row>
    <row r="1449" spans="1:13" x14ac:dyDescent="0.75">
      <c r="A1449" s="40">
        <v>1447</v>
      </c>
      <c r="B1449" s="27">
        <v>514.82892534726125</v>
      </c>
      <c r="C1449" s="27">
        <v>1057.5924553723162</v>
      </c>
      <c r="D1449" s="27">
        <v>1825.9573119749839</v>
      </c>
      <c r="E1449" s="27">
        <v>2886.8272131821286</v>
      </c>
      <c r="F1449" s="27">
        <v>4592.1074128678738</v>
      </c>
      <c r="G1449" s="27">
        <v>7211.7290515770146</v>
      </c>
      <c r="H1449" s="27">
        <v>10245.246049658133</v>
      </c>
      <c r="I1449" s="27">
        <v>14370.727531231561</v>
      </c>
      <c r="J1449" s="27">
        <v>25023.790861027286</v>
      </c>
      <c r="K1449" s="27">
        <v>49066.736327198189</v>
      </c>
      <c r="L1449" s="27">
        <v>109944.37895387571</v>
      </c>
      <c r="M1449" s="27">
        <v>226739.92209331246</v>
      </c>
    </row>
    <row r="1450" spans="1:13" x14ac:dyDescent="0.75">
      <c r="A1450" s="40">
        <v>1448</v>
      </c>
      <c r="B1450" s="27">
        <v>749.20616183694801</v>
      </c>
      <c r="C1450" s="27">
        <v>1243.7751345559955</v>
      </c>
      <c r="D1450" s="27">
        <v>2339.9223721959279</v>
      </c>
      <c r="E1450" s="27">
        <v>3175.1595420134399</v>
      </c>
      <c r="F1450" s="27">
        <v>5073.4749486129731</v>
      </c>
      <c r="G1450" s="27">
        <v>7482.2587998102827</v>
      </c>
      <c r="H1450" s="27">
        <v>10586.085793170729</v>
      </c>
      <c r="I1450" s="27">
        <v>15161.632090097832</v>
      </c>
      <c r="J1450" s="27">
        <v>23570.887109085554</v>
      </c>
      <c r="K1450" s="27">
        <v>45862.513715400244</v>
      </c>
      <c r="L1450" s="27">
        <v>111887.49621235003</v>
      </c>
      <c r="M1450" s="27">
        <v>227132.41187912994</v>
      </c>
    </row>
    <row r="1451" spans="1:13" x14ac:dyDescent="0.75">
      <c r="A1451" s="40">
        <v>1449</v>
      </c>
      <c r="B1451" s="27">
        <v>721.33466687717009</v>
      </c>
      <c r="C1451" s="27">
        <v>1061.2833404020057</v>
      </c>
      <c r="D1451" s="27">
        <v>2125.9039010288107</v>
      </c>
      <c r="E1451" s="27">
        <v>2992.7648394784192</v>
      </c>
      <c r="F1451" s="27">
        <v>5108.8722428263573</v>
      </c>
      <c r="G1451" s="27">
        <v>7143.3648291663849</v>
      </c>
      <c r="H1451" s="27">
        <v>10260.282960605575</v>
      </c>
      <c r="I1451" s="27">
        <v>13685.468512900974</v>
      </c>
      <c r="J1451" s="27">
        <v>22786.412925064913</v>
      </c>
      <c r="K1451" s="27">
        <v>48092.04629154774</v>
      </c>
      <c r="L1451" s="27">
        <v>116602.31631319418</v>
      </c>
      <c r="M1451" s="27">
        <v>230580.05082309252</v>
      </c>
    </row>
    <row r="1452" spans="1:13" x14ac:dyDescent="0.75">
      <c r="A1452" s="40">
        <v>1450</v>
      </c>
      <c r="B1452" s="27">
        <v>696.43123822152847</v>
      </c>
      <c r="C1452" s="27">
        <v>1130.9139739747043</v>
      </c>
      <c r="D1452" s="27">
        <v>1780.7703536445188</v>
      </c>
      <c r="E1452" s="27">
        <v>2954.2029472855356</v>
      </c>
      <c r="F1452" s="27">
        <v>4864.4791565194027</v>
      </c>
      <c r="G1452" s="27">
        <v>6522.0179396222229</v>
      </c>
      <c r="H1452" s="27">
        <v>9289.129596606741</v>
      </c>
      <c r="I1452" s="27">
        <v>13537.880869946865</v>
      </c>
      <c r="J1452" s="27">
        <v>20448.88800988195</v>
      </c>
      <c r="K1452" s="27">
        <v>42265.848914139438</v>
      </c>
      <c r="L1452" s="27">
        <v>102975.88278791185</v>
      </c>
      <c r="M1452" s="27">
        <v>206466.44578775475</v>
      </c>
    </row>
    <row r="1453" spans="1:13" x14ac:dyDescent="0.75">
      <c r="A1453" s="40">
        <v>1451</v>
      </c>
      <c r="B1453" s="27">
        <v>687.60380266034917</v>
      </c>
      <c r="C1453" s="27">
        <v>1249.6730421811662</v>
      </c>
      <c r="D1453" s="27">
        <v>1688.3543289688096</v>
      </c>
      <c r="E1453" s="27">
        <v>2860.1282365275256</v>
      </c>
      <c r="F1453" s="27">
        <v>4885.3696453814628</v>
      </c>
      <c r="G1453" s="27">
        <v>7029.9282225426869</v>
      </c>
      <c r="H1453" s="27">
        <v>9417.6239364291541</v>
      </c>
      <c r="I1453" s="27">
        <v>13133.462978202922</v>
      </c>
      <c r="J1453" s="27">
        <v>22915.450839982586</v>
      </c>
      <c r="K1453" s="27">
        <v>49264.290792916829</v>
      </c>
      <c r="L1453" s="27">
        <v>110744.32265278214</v>
      </c>
      <c r="M1453" s="27">
        <v>223876.20847857563</v>
      </c>
    </row>
    <row r="1454" spans="1:13" x14ac:dyDescent="0.75">
      <c r="A1454" s="40">
        <v>1452</v>
      </c>
      <c r="B1454" s="27">
        <v>1580.698006491788</v>
      </c>
      <c r="C1454" s="27">
        <v>1975.3224038613698</v>
      </c>
      <c r="D1454" s="27">
        <v>2701.6153101159289</v>
      </c>
      <c r="E1454" s="27">
        <v>3778.4967702303256</v>
      </c>
      <c r="F1454" s="27">
        <v>5642.8692237617797</v>
      </c>
      <c r="G1454" s="27">
        <v>7735.0689484886243</v>
      </c>
      <c r="H1454" s="27">
        <v>11181.951268906967</v>
      </c>
      <c r="I1454" s="27">
        <v>14721.625785700016</v>
      </c>
      <c r="J1454" s="27">
        <v>23853.361758925879</v>
      </c>
      <c r="K1454" s="27">
        <v>46459.153537638631</v>
      </c>
      <c r="L1454" s="27">
        <v>116098.41938814922</v>
      </c>
      <c r="M1454" s="27">
        <v>235728.58240227052</v>
      </c>
    </row>
    <row r="1455" spans="1:13" x14ac:dyDescent="0.75">
      <c r="A1455" s="40">
        <v>1453</v>
      </c>
      <c r="B1455" s="27">
        <v>680.01718758720381</v>
      </c>
      <c r="C1455" s="27">
        <v>1113.4183793317934</v>
      </c>
      <c r="D1455" s="27">
        <v>2103.0993953294528</v>
      </c>
      <c r="E1455" s="27">
        <v>3120.7617203964182</v>
      </c>
      <c r="F1455" s="27">
        <v>5508.5992720046779</v>
      </c>
      <c r="G1455" s="27">
        <v>7946.0068446575897</v>
      </c>
      <c r="H1455" s="27">
        <v>10623.793778454812</v>
      </c>
      <c r="I1455" s="27">
        <v>15418.621158468508</v>
      </c>
      <c r="J1455" s="27">
        <v>23915.683955653774</v>
      </c>
      <c r="K1455" s="27">
        <v>49511.188097163395</v>
      </c>
      <c r="L1455" s="27">
        <v>107689.10046644493</v>
      </c>
      <c r="M1455" s="27">
        <v>227630.29025549255</v>
      </c>
    </row>
    <row r="1456" spans="1:13" x14ac:dyDescent="0.75">
      <c r="A1456" s="40">
        <v>1454</v>
      </c>
      <c r="B1456" s="27">
        <v>1241.6555900813692</v>
      </c>
      <c r="C1456" s="27">
        <v>1804.2917888958909</v>
      </c>
      <c r="D1456" s="27">
        <v>2383.4037102681032</v>
      </c>
      <c r="E1456" s="27">
        <v>3398.958586930923</v>
      </c>
      <c r="F1456" s="27">
        <v>5628.9709104694193</v>
      </c>
      <c r="G1456" s="27">
        <v>8017.7525721271813</v>
      </c>
      <c r="H1456" s="27">
        <v>10793.712882457185</v>
      </c>
      <c r="I1456" s="27">
        <v>14139.489780782576</v>
      </c>
      <c r="J1456" s="27">
        <v>23327.134917085685</v>
      </c>
      <c r="K1456" s="27">
        <v>46604.75185006269</v>
      </c>
      <c r="L1456" s="27">
        <v>116875.88906330858</v>
      </c>
      <c r="M1456" s="27">
        <v>234216.01165246961</v>
      </c>
    </row>
    <row r="1457" spans="1:13" x14ac:dyDescent="0.75">
      <c r="A1457" s="40">
        <v>1455</v>
      </c>
      <c r="B1457" s="27">
        <v>1175.5045312378061</v>
      </c>
      <c r="C1457" s="27">
        <v>1614.8950473258883</v>
      </c>
      <c r="D1457" s="27">
        <v>2328.3154984473658</v>
      </c>
      <c r="E1457" s="27">
        <v>3510.4463394862105</v>
      </c>
      <c r="F1457" s="27">
        <v>5978.9070434416353</v>
      </c>
      <c r="G1457" s="27">
        <v>8113.8931694692001</v>
      </c>
      <c r="H1457" s="27">
        <v>10679.132029308006</v>
      </c>
      <c r="I1457" s="27">
        <v>14015.93093875148</v>
      </c>
      <c r="J1457" s="27">
        <v>23948.027299380046</v>
      </c>
      <c r="K1457" s="27">
        <v>45560.360771096297</v>
      </c>
      <c r="L1457" s="27">
        <v>115453.94997529502</v>
      </c>
      <c r="M1457" s="27">
        <v>232379.36264323897</v>
      </c>
    </row>
    <row r="1458" spans="1:13" x14ac:dyDescent="0.75">
      <c r="A1458" s="40">
        <v>1456</v>
      </c>
      <c r="B1458" s="27">
        <v>848.52361815077893</v>
      </c>
      <c r="C1458" s="27">
        <v>1188.7249297767121</v>
      </c>
      <c r="D1458" s="27">
        <v>2339.7007434286061</v>
      </c>
      <c r="E1458" s="27">
        <v>3680.2964549769385</v>
      </c>
      <c r="F1458" s="27">
        <v>5778.2993578622118</v>
      </c>
      <c r="G1458" s="27">
        <v>8100.8600423551106</v>
      </c>
      <c r="H1458" s="27">
        <v>10537.275487563864</v>
      </c>
      <c r="I1458" s="27">
        <v>14583.105922686023</v>
      </c>
      <c r="J1458" s="27">
        <v>24370.70379128831</v>
      </c>
      <c r="K1458" s="27">
        <v>45277.190935368591</v>
      </c>
      <c r="L1458" s="27">
        <v>114989.19452860887</v>
      </c>
      <c r="M1458" s="27">
        <v>231693.87581206602</v>
      </c>
    </row>
    <row r="1459" spans="1:13" x14ac:dyDescent="0.75">
      <c r="A1459" s="40">
        <v>1457</v>
      </c>
      <c r="B1459" s="27">
        <v>1215.8272740789544</v>
      </c>
      <c r="C1459" s="27">
        <v>1558.569513914641</v>
      </c>
      <c r="D1459" s="27">
        <v>2084.0617293178802</v>
      </c>
      <c r="E1459" s="27">
        <v>3451.7728564141144</v>
      </c>
      <c r="F1459" s="27">
        <v>5428.9241513957386</v>
      </c>
      <c r="G1459" s="27">
        <v>7813.366701614199</v>
      </c>
      <c r="H1459" s="27">
        <v>9624.3843649985647</v>
      </c>
      <c r="I1459" s="27">
        <v>13504.121809132048</v>
      </c>
      <c r="J1459" s="27">
        <v>23762.431676064807</v>
      </c>
      <c r="K1459" s="27">
        <v>45556.172478301014</v>
      </c>
      <c r="L1459" s="27">
        <v>114852.09393915923</v>
      </c>
      <c r="M1459" s="27">
        <v>228851.72649439119</v>
      </c>
    </row>
    <row r="1460" spans="1:13" x14ac:dyDescent="0.75">
      <c r="A1460" s="40">
        <v>1458</v>
      </c>
      <c r="B1460" s="27">
        <v>868.89354734598601</v>
      </c>
      <c r="C1460" s="27">
        <v>1531.7783705842448</v>
      </c>
      <c r="D1460" s="27">
        <v>2355.7930257579283</v>
      </c>
      <c r="E1460" s="27">
        <v>3334.0254637203034</v>
      </c>
      <c r="F1460" s="27">
        <v>5438.2395159355365</v>
      </c>
      <c r="G1460" s="27">
        <v>7966.9036239433335</v>
      </c>
      <c r="H1460" s="27">
        <v>10755.075117024389</v>
      </c>
      <c r="I1460" s="27">
        <v>14475.794219339557</v>
      </c>
      <c r="J1460" s="27">
        <v>23900.612724396779</v>
      </c>
      <c r="K1460" s="27">
        <v>47195.648348630348</v>
      </c>
      <c r="L1460" s="27">
        <v>120793.52902923392</v>
      </c>
      <c r="M1460" s="27">
        <v>238616.29298591233</v>
      </c>
    </row>
    <row r="1461" spans="1:13" x14ac:dyDescent="0.75">
      <c r="A1461" s="40">
        <v>1459</v>
      </c>
      <c r="B1461" s="27">
        <v>646.80491791084933</v>
      </c>
      <c r="C1461" s="27">
        <v>798.93432594585465</v>
      </c>
      <c r="D1461" s="27">
        <v>1929.7883318648965</v>
      </c>
      <c r="E1461" s="27">
        <v>2858.294542016738</v>
      </c>
      <c r="F1461" s="27">
        <v>4533.8630522678141</v>
      </c>
      <c r="G1461" s="27">
        <v>7065.2418893730792</v>
      </c>
      <c r="H1461" s="27">
        <v>9706.409718398063</v>
      </c>
      <c r="I1461" s="27">
        <v>14259.022761676868</v>
      </c>
      <c r="J1461" s="27">
        <v>23969.501032399334</v>
      </c>
      <c r="K1461" s="27">
        <v>44746.461089522069</v>
      </c>
      <c r="L1461" s="27">
        <v>113612.54734626057</v>
      </c>
      <c r="M1461" s="27">
        <v>224126.86900763615</v>
      </c>
    </row>
    <row r="1462" spans="1:13" x14ac:dyDescent="0.75">
      <c r="A1462" s="40">
        <v>1460</v>
      </c>
      <c r="B1462" s="27">
        <v>812.44754777701746</v>
      </c>
      <c r="C1462" s="27">
        <v>1491.2668431269994</v>
      </c>
      <c r="D1462" s="27">
        <v>2358.6075402222195</v>
      </c>
      <c r="E1462" s="27">
        <v>3579.1635090688069</v>
      </c>
      <c r="F1462" s="27">
        <v>5510.1470876355743</v>
      </c>
      <c r="G1462" s="27">
        <v>8021.5117637502262</v>
      </c>
      <c r="H1462" s="27">
        <v>10919.224946233822</v>
      </c>
      <c r="I1462" s="27">
        <v>14778.487115212745</v>
      </c>
      <c r="J1462" s="27">
        <v>23635.235771441541</v>
      </c>
      <c r="K1462" s="27">
        <v>47133.714543992755</v>
      </c>
      <c r="L1462" s="27">
        <v>111010.7722848574</v>
      </c>
      <c r="M1462" s="27">
        <v>229250.57895331911</v>
      </c>
    </row>
    <row r="1463" spans="1:13" x14ac:dyDescent="0.75">
      <c r="A1463" s="40">
        <v>1461</v>
      </c>
      <c r="B1463" s="27">
        <v>612.37033735665318</v>
      </c>
      <c r="C1463" s="27">
        <v>1187.6411344728549</v>
      </c>
      <c r="D1463" s="27">
        <v>1996.9216165364487</v>
      </c>
      <c r="E1463" s="27">
        <v>3062.1465983417729</v>
      </c>
      <c r="F1463" s="27">
        <v>5135.3028306777123</v>
      </c>
      <c r="G1463" s="27">
        <v>7652.7522826088825</v>
      </c>
      <c r="H1463" s="27">
        <v>11029.647131424659</v>
      </c>
      <c r="I1463" s="27">
        <v>14255.028330666362</v>
      </c>
      <c r="J1463" s="27">
        <v>23969.294159601661</v>
      </c>
      <c r="K1463" s="27">
        <v>44958.09621293575</v>
      </c>
      <c r="L1463" s="27">
        <v>111740.48676428935</v>
      </c>
      <c r="M1463" s="27">
        <v>225599.68739891209</v>
      </c>
    </row>
    <row r="1464" spans="1:13" x14ac:dyDescent="0.75">
      <c r="A1464" s="40">
        <v>1462</v>
      </c>
      <c r="B1464" s="27">
        <v>1212.1785896775255</v>
      </c>
      <c r="C1464" s="27">
        <v>1698.7933908279374</v>
      </c>
      <c r="D1464" s="27">
        <v>2626.5867542594206</v>
      </c>
      <c r="E1464" s="27">
        <v>3781.3802162468783</v>
      </c>
      <c r="F1464" s="27">
        <v>6105.7518826416635</v>
      </c>
      <c r="G1464" s="27">
        <v>8552.8327798157407</v>
      </c>
      <c r="H1464" s="27">
        <v>11540.10455713961</v>
      </c>
      <c r="I1464" s="27">
        <v>15506.606177155656</v>
      </c>
      <c r="J1464" s="27">
        <v>23327.401591984119</v>
      </c>
      <c r="K1464" s="27">
        <v>47493.640209861362</v>
      </c>
      <c r="L1464" s="27">
        <v>115668.97618679675</v>
      </c>
      <c r="M1464" s="27">
        <v>237514.25233640667</v>
      </c>
    </row>
    <row r="1465" spans="1:13" x14ac:dyDescent="0.75">
      <c r="A1465" s="40">
        <v>1463</v>
      </c>
      <c r="B1465" s="27">
        <v>629.35470469712163</v>
      </c>
      <c r="C1465" s="27">
        <v>1384.2148066369555</v>
      </c>
      <c r="D1465" s="27">
        <v>2090.202010066525</v>
      </c>
      <c r="E1465" s="27">
        <v>2989.5489497685048</v>
      </c>
      <c r="F1465" s="27">
        <v>5013.7574641741521</v>
      </c>
      <c r="G1465" s="27">
        <v>7825.7702609115804</v>
      </c>
      <c r="H1465" s="27">
        <v>10614.613799211249</v>
      </c>
      <c r="I1465" s="27">
        <v>14338.315555805937</v>
      </c>
      <c r="J1465" s="27">
        <v>23411.156323489558</v>
      </c>
      <c r="K1465" s="27">
        <v>46219.052081545931</v>
      </c>
      <c r="L1465" s="27">
        <v>110728.89053499563</v>
      </c>
      <c r="M1465" s="27">
        <v>225244.87649130315</v>
      </c>
    </row>
    <row r="1466" spans="1:13" x14ac:dyDescent="0.75">
      <c r="A1466" s="40">
        <v>1464</v>
      </c>
      <c r="B1466" s="27">
        <v>811.5949648438982</v>
      </c>
      <c r="C1466" s="27">
        <v>1149.0709384157963</v>
      </c>
      <c r="D1466" s="27">
        <v>2028.9739301154186</v>
      </c>
      <c r="E1466" s="27">
        <v>3098.1058660795097</v>
      </c>
      <c r="F1466" s="27">
        <v>5095.3022923302779</v>
      </c>
      <c r="G1466" s="27">
        <v>7355.3621372443158</v>
      </c>
      <c r="H1466" s="27">
        <v>10084.044899967121</v>
      </c>
      <c r="I1466" s="27">
        <v>14149.582100545871</v>
      </c>
      <c r="J1466" s="27">
        <v>23340.552120049353</v>
      </c>
      <c r="K1466" s="27">
        <v>45633.870930818259</v>
      </c>
      <c r="L1466" s="27">
        <v>106285.02741699232</v>
      </c>
      <c r="M1466" s="27">
        <v>219031.48759740213</v>
      </c>
    </row>
    <row r="1467" spans="1:13" x14ac:dyDescent="0.75">
      <c r="A1467" s="40">
        <v>1465</v>
      </c>
      <c r="B1467" s="27">
        <v>901.61359616964182</v>
      </c>
      <c r="C1467" s="27">
        <v>1083.0845842498675</v>
      </c>
      <c r="D1467" s="27">
        <v>2072.1352243238944</v>
      </c>
      <c r="E1467" s="27">
        <v>3371.1265065464977</v>
      </c>
      <c r="F1467" s="27">
        <v>5243.8555033182201</v>
      </c>
      <c r="G1467" s="27">
        <v>8254.191744026728</v>
      </c>
      <c r="H1467" s="27">
        <v>9984.0065931584541</v>
      </c>
      <c r="I1467" s="27">
        <v>13513.317559296556</v>
      </c>
      <c r="J1467" s="27">
        <v>22865.203619566135</v>
      </c>
      <c r="K1467" s="27">
        <v>46391.712954684379</v>
      </c>
      <c r="L1467" s="27">
        <v>117858.25287557178</v>
      </c>
      <c r="M1467" s="27">
        <v>231538.50076091214</v>
      </c>
    </row>
    <row r="1468" spans="1:13" x14ac:dyDescent="0.75">
      <c r="A1468" s="40">
        <v>1466</v>
      </c>
      <c r="B1468" s="27">
        <v>909.36613452300662</v>
      </c>
      <c r="C1468" s="27">
        <v>1208.219138459579</v>
      </c>
      <c r="D1468" s="27">
        <v>1754.5496612566058</v>
      </c>
      <c r="E1468" s="27">
        <v>2621.7411773480417</v>
      </c>
      <c r="F1468" s="27">
        <v>4219.945162787466</v>
      </c>
      <c r="G1468" s="27">
        <v>6863.0213487930305</v>
      </c>
      <c r="H1468" s="27">
        <v>8983.9331080352567</v>
      </c>
      <c r="I1468" s="27">
        <v>13694.498037669313</v>
      </c>
      <c r="J1468" s="27">
        <v>22064.958354188158</v>
      </c>
      <c r="K1468" s="27">
        <v>44865.550963007263</v>
      </c>
      <c r="L1468" s="27">
        <v>107886.99773500953</v>
      </c>
      <c r="M1468" s="27">
        <v>215072.78082107723</v>
      </c>
    </row>
    <row r="1469" spans="1:13" x14ac:dyDescent="0.75">
      <c r="A1469" s="40">
        <v>1467</v>
      </c>
      <c r="B1469" s="27">
        <v>1100.8074216287059</v>
      </c>
      <c r="C1469" s="27">
        <v>1502.9529892625724</v>
      </c>
      <c r="D1469" s="27">
        <v>2759.2686674961733</v>
      </c>
      <c r="E1469" s="27">
        <v>3661.6862649057148</v>
      </c>
      <c r="F1469" s="27">
        <v>5928.9876530072361</v>
      </c>
      <c r="G1469" s="27">
        <v>8128.9423210355453</v>
      </c>
      <c r="H1469" s="27">
        <v>10549.441893209631</v>
      </c>
      <c r="I1469" s="27">
        <v>15242.628702750997</v>
      </c>
      <c r="J1469" s="27">
        <v>23600.245308136218</v>
      </c>
      <c r="K1469" s="27">
        <v>45311.992923249461</v>
      </c>
      <c r="L1469" s="27">
        <v>117119.84134782437</v>
      </c>
      <c r="M1469" s="27">
        <v>234906.79549250664</v>
      </c>
    </row>
    <row r="1470" spans="1:13" x14ac:dyDescent="0.75">
      <c r="A1470" s="40">
        <v>1468</v>
      </c>
      <c r="B1470" s="27">
        <v>727.57101163463085</v>
      </c>
      <c r="C1470" s="27">
        <v>1451.8207565147313</v>
      </c>
      <c r="D1470" s="27">
        <v>2602.5585273069883</v>
      </c>
      <c r="E1470" s="27">
        <v>3576.9354976837203</v>
      </c>
      <c r="F1470" s="27">
        <v>5359.0885930581717</v>
      </c>
      <c r="G1470" s="27">
        <v>8092.7583302278363</v>
      </c>
      <c r="H1470" s="27">
        <v>10787.926483887393</v>
      </c>
      <c r="I1470" s="27">
        <v>15137.628537027544</v>
      </c>
      <c r="J1470" s="27">
        <v>22937.685868624336</v>
      </c>
      <c r="K1470" s="27">
        <v>46582.612779662595</v>
      </c>
      <c r="L1470" s="27">
        <v>107008.95424474511</v>
      </c>
      <c r="M1470" s="27">
        <v>224265.54063037306</v>
      </c>
    </row>
    <row r="1471" spans="1:13" x14ac:dyDescent="0.75">
      <c r="A1471" s="40">
        <v>1469</v>
      </c>
      <c r="B1471" s="27">
        <v>620.14554891469015</v>
      </c>
      <c r="C1471" s="27">
        <v>1041.6526823581662</v>
      </c>
      <c r="D1471" s="27">
        <v>1781.5753988093784</v>
      </c>
      <c r="E1471" s="27">
        <v>2875.4759961367818</v>
      </c>
      <c r="F1471" s="27">
        <v>4959.1676783163566</v>
      </c>
      <c r="G1471" s="27">
        <v>6966.4468344684865</v>
      </c>
      <c r="H1471" s="27">
        <v>9366.9733180722833</v>
      </c>
      <c r="I1471" s="27">
        <v>14603.561595288775</v>
      </c>
      <c r="J1471" s="27">
        <v>23293.464832908678</v>
      </c>
      <c r="K1471" s="27">
        <v>45427.681912370026</v>
      </c>
      <c r="L1471" s="27">
        <v>112982.10054213548</v>
      </c>
      <c r="M1471" s="27">
        <v>223918.24633977911</v>
      </c>
    </row>
    <row r="1472" spans="1:13" x14ac:dyDescent="0.75">
      <c r="A1472" s="40">
        <v>1470</v>
      </c>
      <c r="B1472" s="27">
        <v>715.32072864667862</v>
      </c>
      <c r="C1472" s="27">
        <v>1478.9039952337043</v>
      </c>
      <c r="D1472" s="27">
        <v>2598.0164805400127</v>
      </c>
      <c r="E1472" s="27">
        <v>3757.6476490669593</v>
      </c>
      <c r="F1472" s="27">
        <v>5935.5575273199065</v>
      </c>
      <c r="G1472" s="27">
        <v>7836.881780034164</v>
      </c>
      <c r="H1472" s="27">
        <v>10496.706160946982</v>
      </c>
      <c r="I1472" s="27">
        <v>14187.649872250433</v>
      </c>
      <c r="J1472" s="27">
        <v>23202.417761482939</v>
      </c>
      <c r="K1472" s="27">
        <v>46096.085975284775</v>
      </c>
      <c r="L1472" s="27">
        <v>110124.15814378328</v>
      </c>
      <c r="M1472" s="27">
        <v>226429.34607458982</v>
      </c>
    </row>
    <row r="1473" spans="1:13" x14ac:dyDescent="0.75">
      <c r="A1473" s="40">
        <v>1471</v>
      </c>
      <c r="B1473" s="27">
        <v>745.08308387397847</v>
      </c>
      <c r="C1473" s="27">
        <v>1263.7958161154384</v>
      </c>
      <c r="D1473" s="27">
        <v>2071.545035200048</v>
      </c>
      <c r="E1473" s="27">
        <v>3292.0951323999325</v>
      </c>
      <c r="F1473" s="27">
        <v>4972.4271560694469</v>
      </c>
      <c r="G1473" s="27">
        <v>7289.313982027641</v>
      </c>
      <c r="H1473" s="27">
        <v>9639.9979277042585</v>
      </c>
      <c r="I1473" s="27">
        <v>13688.13931898828</v>
      </c>
      <c r="J1473" s="27">
        <v>21809.480176306781</v>
      </c>
      <c r="K1473" s="27">
        <v>47407.475117396447</v>
      </c>
      <c r="L1473" s="27">
        <v>110700.91766292637</v>
      </c>
      <c r="M1473" s="27">
        <v>222880.2704090086</v>
      </c>
    </row>
    <row r="1474" spans="1:13" x14ac:dyDescent="0.75">
      <c r="A1474" s="40">
        <v>1472</v>
      </c>
      <c r="B1474" s="27">
        <v>511.2393409050128</v>
      </c>
      <c r="C1474" s="27">
        <v>811.56262956440332</v>
      </c>
      <c r="D1474" s="27">
        <v>1641.6771573268488</v>
      </c>
      <c r="E1474" s="27">
        <v>2855.5698062082374</v>
      </c>
      <c r="F1474" s="27">
        <v>4582.553975490795</v>
      </c>
      <c r="G1474" s="27">
        <v>6994.0628351436462</v>
      </c>
      <c r="H1474" s="27">
        <v>9527.2812675039313</v>
      </c>
      <c r="I1474" s="27">
        <v>13629.916484518297</v>
      </c>
      <c r="J1474" s="27">
        <v>23338.021759385796</v>
      </c>
      <c r="K1474" s="27">
        <v>45332.415668279107</v>
      </c>
      <c r="L1474" s="27">
        <v>116716.38171154923</v>
      </c>
      <c r="M1474" s="27">
        <v>225940.6826358753</v>
      </c>
    </row>
    <row r="1475" spans="1:13" x14ac:dyDescent="0.75">
      <c r="A1475" s="40">
        <v>1473</v>
      </c>
      <c r="B1475" s="27">
        <v>673.37615304610517</v>
      </c>
      <c r="C1475" s="27">
        <v>1071.9399174849677</v>
      </c>
      <c r="D1475" s="27">
        <v>2166.9408783623949</v>
      </c>
      <c r="E1475" s="27">
        <v>3197.9273955369281</v>
      </c>
      <c r="F1475" s="27">
        <v>5231.5599660318694</v>
      </c>
      <c r="G1475" s="27">
        <v>7232.5581671606633</v>
      </c>
      <c r="H1475" s="27">
        <v>10152.302519195917</v>
      </c>
      <c r="I1475" s="27">
        <v>14060.566688210936</v>
      </c>
      <c r="J1475" s="27">
        <v>23363.637444922497</v>
      </c>
      <c r="K1475" s="27">
        <v>44672.256744471131</v>
      </c>
      <c r="L1475" s="27">
        <v>113894.85458647637</v>
      </c>
      <c r="M1475" s="27">
        <v>225717.92046089977</v>
      </c>
    </row>
    <row r="1476" spans="1:13" x14ac:dyDescent="0.75">
      <c r="A1476" s="40">
        <v>1474</v>
      </c>
      <c r="B1476" s="27">
        <v>467.57683406821161</v>
      </c>
      <c r="C1476" s="27">
        <v>655.06415239968919</v>
      </c>
      <c r="D1476" s="27">
        <v>1678.6224981364649</v>
      </c>
      <c r="E1476" s="27">
        <v>2769.7323651235783</v>
      </c>
      <c r="F1476" s="27">
        <v>4492.5431421096728</v>
      </c>
      <c r="G1476" s="27">
        <v>6688.7378176407074</v>
      </c>
      <c r="H1476" s="27">
        <v>9368.4613642828044</v>
      </c>
      <c r="I1476" s="27">
        <v>12817.265197378991</v>
      </c>
      <c r="J1476" s="27">
        <v>22116.114259143098</v>
      </c>
      <c r="K1476" s="27">
        <v>47572.505493379431</v>
      </c>
      <c r="L1476" s="27">
        <v>115211.07156552382</v>
      </c>
      <c r="M1476" s="27">
        <v>223837.69468918646</v>
      </c>
    </row>
    <row r="1477" spans="1:13" x14ac:dyDescent="0.75">
      <c r="A1477" s="40">
        <v>1475</v>
      </c>
      <c r="B1477" s="27">
        <v>962.92510800877062</v>
      </c>
      <c r="C1477" s="27">
        <v>1732.6456584944535</v>
      </c>
      <c r="D1477" s="27">
        <v>2799.8612481368618</v>
      </c>
      <c r="E1477" s="27">
        <v>3972.2526153685758</v>
      </c>
      <c r="F1477" s="27">
        <v>6049.7679809373803</v>
      </c>
      <c r="G1477" s="27">
        <v>8743.5726238780189</v>
      </c>
      <c r="H1477" s="27">
        <v>10979.498903252956</v>
      </c>
      <c r="I1477" s="27">
        <v>14996.383454769471</v>
      </c>
      <c r="J1477" s="27">
        <v>24134.932881893095</v>
      </c>
      <c r="K1477" s="27">
        <v>45076.483888416493</v>
      </c>
      <c r="L1477" s="27">
        <v>117905.86470492849</v>
      </c>
      <c r="M1477" s="27">
        <v>237354.18906808458</v>
      </c>
    </row>
    <row r="1478" spans="1:13" x14ac:dyDescent="0.75">
      <c r="A1478" s="40">
        <v>1476</v>
      </c>
      <c r="B1478" s="27">
        <v>511.65746188507183</v>
      </c>
      <c r="C1478" s="27">
        <v>1048.5340301898832</v>
      </c>
      <c r="D1478" s="27">
        <v>1883.1096230405092</v>
      </c>
      <c r="E1478" s="27">
        <v>3056.8793478058942</v>
      </c>
      <c r="F1478" s="27">
        <v>5076.8293467814365</v>
      </c>
      <c r="G1478" s="27">
        <v>7313.8023583489412</v>
      </c>
      <c r="H1478" s="27">
        <v>10262.56374465338</v>
      </c>
      <c r="I1478" s="27">
        <v>13918.170529865747</v>
      </c>
      <c r="J1478" s="27">
        <v>22875.482976069674</v>
      </c>
      <c r="K1478" s="27">
        <v>43012.761533622164</v>
      </c>
      <c r="L1478" s="27">
        <v>104770.31504288317</v>
      </c>
      <c r="M1478" s="27">
        <v>213730.10599514586</v>
      </c>
    </row>
    <row r="1479" spans="1:13" x14ac:dyDescent="0.75">
      <c r="A1479" s="40">
        <v>1477</v>
      </c>
      <c r="B1479" s="27">
        <v>577.71033579533105</v>
      </c>
      <c r="C1479" s="27">
        <v>998.99153356268653</v>
      </c>
      <c r="D1479" s="27">
        <v>2050.2520024396799</v>
      </c>
      <c r="E1479" s="27">
        <v>3356.92294187269</v>
      </c>
      <c r="F1479" s="27">
        <v>4977.6589127178595</v>
      </c>
      <c r="G1479" s="27">
        <v>7358.1648011292273</v>
      </c>
      <c r="H1479" s="27">
        <v>9537.6065469432506</v>
      </c>
      <c r="I1479" s="27">
        <v>14300.550209466513</v>
      </c>
      <c r="J1479" s="27">
        <v>23372.012392701916</v>
      </c>
      <c r="K1479" s="27">
        <v>45424.495296355861</v>
      </c>
      <c r="L1479" s="27">
        <v>105409.71995161242</v>
      </c>
      <c r="M1479" s="27">
        <v>217364.08492459744</v>
      </c>
    </row>
    <row r="1480" spans="1:13" x14ac:dyDescent="0.75">
      <c r="A1480" s="40">
        <v>1478</v>
      </c>
      <c r="B1480" s="27">
        <v>282.2936831877887</v>
      </c>
      <c r="C1480" s="27">
        <v>703.96971120969101</v>
      </c>
      <c r="D1480" s="27">
        <v>1507.76947122805</v>
      </c>
      <c r="E1480" s="27">
        <v>2551.7314659777621</v>
      </c>
      <c r="F1480" s="27">
        <v>4355.3322772910178</v>
      </c>
      <c r="G1480" s="27">
        <v>6481.0295441215858</v>
      </c>
      <c r="H1480" s="27">
        <v>9271.6592625526391</v>
      </c>
      <c r="I1480" s="27">
        <v>13953.244094602458</v>
      </c>
      <c r="J1480" s="27">
        <v>22677.713290932763</v>
      </c>
      <c r="K1480" s="27">
        <v>47194.193194232823</v>
      </c>
      <c r="L1480" s="27">
        <v>122700.11196615419</v>
      </c>
      <c r="M1480" s="27">
        <v>231679.04796149075</v>
      </c>
    </row>
    <row r="1481" spans="1:13" x14ac:dyDescent="0.75">
      <c r="A1481" s="40">
        <v>1479</v>
      </c>
      <c r="B1481" s="27">
        <v>620.08481479815964</v>
      </c>
      <c r="C1481" s="27">
        <v>989.41945839230902</v>
      </c>
      <c r="D1481" s="27">
        <v>1649.9469212031399</v>
      </c>
      <c r="E1481" s="27">
        <v>3006.4886226163508</v>
      </c>
      <c r="F1481" s="27">
        <v>4914.017664670042</v>
      </c>
      <c r="G1481" s="27">
        <v>6877.3243636208645</v>
      </c>
      <c r="H1481" s="27">
        <v>9575.2529503315163</v>
      </c>
      <c r="I1481" s="27">
        <v>13745.453125080108</v>
      </c>
      <c r="J1481" s="27">
        <v>23551.69618663544</v>
      </c>
      <c r="K1481" s="27">
        <v>46866.326455548231</v>
      </c>
      <c r="L1481" s="27">
        <v>107186.72787830007</v>
      </c>
      <c r="M1481" s="27">
        <v>218982.73844119621</v>
      </c>
    </row>
    <row r="1482" spans="1:13" x14ac:dyDescent="0.75">
      <c r="A1482" s="40">
        <v>1480</v>
      </c>
      <c r="B1482" s="27">
        <v>496.42182011048135</v>
      </c>
      <c r="C1482" s="27">
        <v>964.50956015654083</v>
      </c>
      <c r="D1482" s="27">
        <v>1833.800313059488</v>
      </c>
      <c r="E1482" s="27">
        <v>2717.8025273281091</v>
      </c>
      <c r="F1482" s="27">
        <v>4523.2439785817987</v>
      </c>
      <c r="G1482" s="27">
        <v>7192.1323495662655</v>
      </c>
      <c r="H1482" s="27">
        <v>9549.5933564494044</v>
      </c>
      <c r="I1482" s="27">
        <v>13539.943118557509</v>
      </c>
      <c r="J1482" s="27">
        <v>24347.820888908405</v>
      </c>
      <c r="K1482" s="27">
        <v>46453.627806761186</v>
      </c>
      <c r="L1482" s="27">
        <v>105147.3309320285</v>
      </c>
      <c r="M1482" s="27">
        <v>216766.22665150769</v>
      </c>
    </row>
    <row r="1483" spans="1:13" x14ac:dyDescent="0.75">
      <c r="A1483" s="40">
        <v>1481</v>
      </c>
      <c r="B1483" s="27">
        <v>982.32353562153003</v>
      </c>
      <c r="C1483" s="27">
        <v>1306.847939199346</v>
      </c>
      <c r="D1483" s="27">
        <v>2052.2173730841605</v>
      </c>
      <c r="E1483" s="27">
        <v>3357.0350702990545</v>
      </c>
      <c r="F1483" s="27">
        <v>5064.5340859821008</v>
      </c>
      <c r="G1483" s="27">
        <v>8142.4790362837957</v>
      </c>
      <c r="H1483" s="27">
        <v>10646.259811841068</v>
      </c>
      <c r="I1483" s="27">
        <v>15070.41454668704</v>
      </c>
      <c r="J1483" s="27">
        <v>23457.826800310228</v>
      </c>
      <c r="K1483" s="27">
        <v>46501.621604936532</v>
      </c>
      <c r="L1483" s="27">
        <v>111597.44333738147</v>
      </c>
      <c r="M1483" s="27">
        <v>228179.00314162631</v>
      </c>
    </row>
    <row r="1484" spans="1:13" x14ac:dyDescent="0.75">
      <c r="A1484" s="40">
        <v>1482</v>
      </c>
      <c r="B1484" s="27">
        <v>709.24663028698706</v>
      </c>
      <c r="C1484" s="27">
        <v>1215.415327045499</v>
      </c>
      <c r="D1484" s="27">
        <v>2158.5983074743999</v>
      </c>
      <c r="E1484" s="27">
        <v>3310.7199599533342</v>
      </c>
      <c r="F1484" s="27">
        <v>5640.9314998105983</v>
      </c>
      <c r="G1484" s="27">
        <v>7537.578437411139</v>
      </c>
      <c r="H1484" s="27">
        <v>11024.709591403604</v>
      </c>
      <c r="I1484" s="27">
        <v>14786.553963632527</v>
      </c>
      <c r="J1484" s="27">
        <v>24877.43529085326</v>
      </c>
      <c r="K1484" s="27">
        <v>48924.023530231992</v>
      </c>
      <c r="L1484" s="27">
        <v>110439.43505180164</v>
      </c>
      <c r="M1484" s="27">
        <v>230624.64758990498</v>
      </c>
    </row>
    <row r="1485" spans="1:13" x14ac:dyDescent="0.75">
      <c r="A1485" s="40">
        <v>1483</v>
      </c>
      <c r="B1485" s="27">
        <v>685.11427431268385</v>
      </c>
      <c r="C1485" s="27">
        <v>1136.1173034029634</v>
      </c>
      <c r="D1485" s="27">
        <v>2050.1260874149884</v>
      </c>
      <c r="E1485" s="27">
        <v>3022.8433410544239</v>
      </c>
      <c r="F1485" s="27">
        <v>4951.7305149993917</v>
      </c>
      <c r="G1485" s="27">
        <v>7113.452574446681</v>
      </c>
      <c r="H1485" s="27">
        <v>10072.91568430599</v>
      </c>
      <c r="I1485" s="27">
        <v>14101.909015014535</v>
      </c>
      <c r="J1485" s="27">
        <v>22932.565755987016</v>
      </c>
      <c r="K1485" s="27">
        <v>48473.534109474655</v>
      </c>
      <c r="L1485" s="27">
        <v>107589.53305098787</v>
      </c>
      <c r="M1485" s="27">
        <v>222129.84171140118</v>
      </c>
    </row>
    <row r="1486" spans="1:13" x14ac:dyDescent="0.75">
      <c r="A1486" s="40">
        <v>1484</v>
      </c>
      <c r="B1486" s="27">
        <v>1112.4315786135994</v>
      </c>
      <c r="C1486" s="27">
        <v>1794.9525521743053</v>
      </c>
      <c r="D1486" s="27">
        <v>2919.6468817945279</v>
      </c>
      <c r="E1486" s="27">
        <v>4060.7953166159568</v>
      </c>
      <c r="F1486" s="27">
        <v>6305.1917035981023</v>
      </c>
      <c r="G1486" s="27">
        <v>8650.7968948510534</v>
      </c>
      <c r="H1486" s="27">
        <v>11101.804979642853</v>
      </c>
      <c r="I1486" s="27">
        <v>15616.850268260954</v>
      </c>
      <c r="J1486" s="27">
        <v>23785.217999428452</v>
      </c>
      <c r="K1486" s="27">
        <v>47011.46468228726</v>
      </c>
      <c r="L1486" s="27">
        <v>117676.88048460969</v>
      </c>
      <c r="M1486" s="27">
        <v>240036.03334187676</v>
      </c>
    </row>
    <row r="1487" spans="1:13" x14ac:dyDescent="0.75">
      <c r="A1487" s="40">
        <v>1485</v>
      </c>
      <c r="B1487" s="27">
        <v>1130.061212318833</v>
      </c>
      <c r="C1487" s="27">
        <v>1808.3636706203542</v>
      </c>
      <c r="D1487" s="27">
        <v>2794.3233235554071</v>
      </c>
      <c r="E1487" s="27">
        <v>3840.1950237700075</v>
      </c>
      <c r="F1487" s="27">
        <v>6184.9060375945701</v>
      </c>
      <c r="G1487" s="27">
        <v>8573.982290434622</v>
      </c>
      <c r="H1487" s="27">
        <v>11391.661698275362</v>
      </c>
      <c r="I1487" s="27">
        <v>14844.862689977264</v>
      </c>
      <c r="J1487" s="27">
        <v>25559.362823141826</v>
      </c>
      <c r="K1487" s="27">
        <v>48693.987372341668</v>
      </c>
      <c r="L1487" s="27">
        <v>112859.26527025839</v>
      </c>
      <c r="M1487" s="27">
        <v>237680.97141228832</v>
      </c>
    </row>
    <row r="1488" spans="1:13" x14ac:dyDescent="0.75">
      <c r="A1488" s="40">
        <v>1486</v>
      </c>
      <c r="B1488" s="27">
        <v>1107.9026965521043</v>
      </c>
      <c r="C1488" s="27">
        <v>1647.8989306358417</v>
      </c>
      <c r="D1488" s="27">
        <v>2597.0851539466821</v>
      </c>
      <c r="E1488" s="27">
        <v>4284.4320792637882</v>
      </c>
      <c r="F1488" s="27">
        <v>6427.6135008831625</v>
      </c>
      <c r="G1488" s="27">
        <v>9243.0711141062493</v>
      </c>
      <c r="H1488" s="27">
        <v>10995.583652916757</v>
      </c>
      <c r="I1488" s="27">
        <v>15665.910286795872</v>
      </c>
      <c r="J1488" s="27">
        <v>25410.650562389113</v>
      </c>
      <c r="K1488" s="27">
        <v>47247.979352153605</v>
      </c>
      <c r="L1488" s="27">
        <v>121486.79026443182</v>
      </c>
      <c r="M1488" s="27">
        <v>246114.917594075</v>
      </c>
    </row>
    <row r="1489" spans="1:13" x14ac:dyDescent="0.75">
      <c r="A1489" s="40">
        <v>1487</v>
      </c>
      <c r="B1489" s="27">
        <v>538.18862358882325</v>
      </c>
      <c r="C1489" s="27">
        <v>824.08725916589901</v>
      </c>
      <c r="D1489" s="27">
        <v>1662.937213924728</v>
      </c>
      <c r="E1489" s="27">
        <v>2851.6225303254323</v>
      </c>
      <c r="F1489" s="27">
        <v>4880.4565087852097</v>
      </c>
      <c r="G1489" s="27">
        <v>7555.4540903198358</v>
      </c>
      <c r="H1489" s="27">
        <v>9904.8359885154496</v>
      </c>
      <c r="I1489" s="27">
        <v>14445.562777424813</v>
      </c>
      <c r="J1489" s="27">
        <v>22601.169666768837</v>
      </c>
      <c r="K1489" s="27">
        <v>44315.219517729143</v>
      </c>
      <c r="L1489" s="27">
        <v>112660.16410607198</v>
      </c>
      <c r="M1489" s="27">
        <v>222239.69828262017</v>
      </c>
    </row>
    <row r="1490" spans="1:13" x14ac:dyDescent="0.75">
      <c r="A1490" s="40">
        <v>1488</v>
      </c>
      <c r="B1490" s="27">
        <v>1124.4495157844794</v>
      </c>
      <c r="C1490" s="27">
        <v>1758.8554423376336</v>
      </c>
      <c r="D1490" s="27">
        <v>2602.589931614144</v>
      </c>
      <c r="E1490" s="27">
        <v>3569.5571393230639</v>
      </c>
      <c r="F1490" s="27">
        <v>5530.0686576501466</v>
      </c>
      <c r="G1490" s="27">
        <v>7899.9098699167371</v>
      </c>
      <c r="H1490" s="27">
        <v>10873.509447719494</v>
      </c>
      <c r="I1490" s="27">
        <v>14834.174604309068</v>
      </c>
      <c r="J1490" s="27">
        <v>23539.849925436589</v>
      </c>
      <c r="K1490" s="27">
        <v>49297.280366465959</v>
      </c>
      <c r="L1490" s="27">
        <v>119674.76654206729</v>
      </c>
      <c r="M1490" s="27">
        <v>240705.01144262461</v>
      </c>
    </row>
    <row r="1491" spans="1:13" x14ac:dyDescent="0.75">
      <c r="A1491" s="40">
        <v>1489</v>
      </c>
      <c r="B1491" s="27">
        <v>693.24104031705065</v>
      </c>
      <c r="C1491" s="27">
        <v>1341.5540935073077</v>
      </c>
      <c r="D1491" s="27">
        <v>2314.6132963046257</v>
      </c>
      <c r="E1491" s="27">
        <v>3176.0098933240806</v>
      </c>
      <c r="F1491" s="27">
        <v>4974.9470434226532</v>
      </c>
      <c r="G1491" s="27">
        <v>7688.1653873316827</v>
      </c>
      <c r="H1491" s="27">
        <v>9876.2983752672444</v>
      </c>
      <c r="I1491" s="27">
        <v>14081.725032661285</v>
      </c>
      <c r="J1491" s="27">
        <v>22620.029156514662</v>
      </c>
      <c r="K1491" s="27">
        <v>47479.080544824857</v>
      </c>
      <c r="L1491" s="27">
        <v>117464.57192759763</v>
      </c>
      <c r="M1491" s="27">
        <v>231710.23579107306</v>
      </c>
    </row>
    <row r="1492" spans="1:13" x14ac:dyDescent="0.75">
      <c r="A1492" s="40">
        <v>1490</v>
      </c>
      <c r="B1492" s="27">
        <v>757.07982782089675</v>
      </c>
      <c r="C1492" s="27">
        <v>1376.7472434582742</v>
      </c>
      <c r="D1492" s="27">
        <v>2453.2504066930123</v>
      </c>
      <c r="E1492" s="27">
        <v>3437.0105752428062</v>
      </c>
      <c r="F1492" s="27">
        <v>5678.2461483525985</v>
      </c>
      <c r="G1492" s="27">
        <v>7797.5774330748536</v>
      </c>
      <c r="H1492" s="27">
        <v>10984.741961474938</v>
      </c>
      <c r="I1492" s="27">
        <v>14790.991203166559</v>
      </c>
      <c r="J1492" s="27">
        <v>24273.825368829668</v>
      </c>
      <c r="K1492" s="27">
        <v>46825.015971003275</v>
      </c>
      <c r="L1492" s="27">
        <v>112877.03897065023</v>
      </c>
      <c r="M1492" s="27">
        <v>231251.5251097671</v>
      </c>
    </row>
    <row r="1493" spans="1:13" x14ac:dyDescent="0.75">
      <c r="A1493" s="40">
        <v>1491</v>
      </c>
      <c r="B1493" s="27">
        <v>1036.704895332703</v>
      </c>
      <c r="C1493" s="27">
        <v>1692.6935984649463</v>
      </c>
      <c r="D1493" s="27">
        <v>2848.6169273067935</v>
      </c>
      <c r="E1493" s="27">
        <v>3993.3899148867495</v>
      </c>
      <c r="F1493" s="27">
        <v>6107.8226782382699</v>
      </c>
      <c r="G1493" s="27">
        <v>7847.0344389738457</v>
      </c>
      <c r="H1493" s="27">
        <v>11157.350970316271</v>
      </c>
      <c r="I1493" s="27">
        <v>14890.08372556114</v>
      </c>
      <c r="J1493" s="27">
        <v>24118.746335884774</v>
      </c>
      <c r="K1493" s="27">
        <v>48734.609895152724</v>
      </c>
      <c r="L1493" s="27">
        <v>111749.70408176104</v>
      </c>
      <c r="M1493" s="27">
        <v>234176.75746187926</v>
      </c>
    </row>
    <row r="1494" spans="1:13" x14ac:dyDescent="0.75">
      <c r="A1494" s="40">
        <v>1492</v>
      </c>
      <c r="B1494" s="27">
        <v>1357.7613829992479</v>
      </c>
      <c r="C1494" s="27">
        <v>1866.9985861604073</v>
      </c>
      <c r="D1494" s="27">
        <v>2961.4898011190671</v>
      </c>
      <c r="E1494" s="27">
        <v>4227.6485042167187</v>
      </c>
      <c r="F1494" s="27">
        <v>6348.033460420178</v>
      </c>
      <c r="G1494" s="27">
        <v>8419.8163211616629</v>
      </c>
      <c r="H1494" s="27">
        <v>10460.184093571763</v>
      </c>
      <c r="I1494" s="27">
        <v>14647.344092534651</v>
      </c>
      <c r="J1494" s="27">
        <v>23585.326412506984</v>
      </c>
      <c r="K1494" s="27">
        <v>46260.341732137909</v>
      </c>
      <c r="L1494" s="27">
        <v>110253.3604636566</v>
      </c>
      <c r="M1494" s="27">
        <v>230388.30485048518</v>
      </c>
    </row>
    <row r="1495" spans="1:13" x14ac:dyDescent="0.75">
      <c r="A1495" s="40">
        <v>1493</v>
      </c>
      <c r="B1495" s="27">
        <v>799.21051040716702</v>
      </c>
      <c r="C1495" s="27">
        <v>1218.8527432957635</v>
      </c>
      <c r="D1495" s="27">
        <v>2085.8176678527961</v>
      </c>
      <c r="E1495" s="27">
        <v>3361.8153258353559</v>
      </c>
      <c r="F1495" s="27">
        <v>5292.4979568938725</v>
      </c>
      <c r="G1495" s="27">
        <v>7888.1465479306935</v>
      </c>
      <c r="H1495" s="27">
        <v>10680.175548919622</v>
      </c>
      <c r="I1495" s="27">
        <v>15493.341212771731</v>
      </c>
      <c r="J1495" s="27">
        <v>23509.340186168614</v>
      </c>
      <c r="K1495" s="27">
        <v>44913.032163416327</v>
      </c>
      <c r="L1495" s="27">
        <v>107229.33123858031</v>
      </c>
      <c r="M1495" s="27">
        <v>222471.56110207224</v>
      </c>
    </row>
    <row r="1496" spans="1:13" x14ac:dyDescent="0.75">
      <c r="A1496" s="40">
        <v>1494</v>
      </c>
      <c r="B1496" s="27">
        <v>849.13532080881123</v>
      </c>
      <c r="C1496" s="27">
        <v>1434.7687024125917</v>
      </c>
      <c r="D1496" s="27">
        <v>2568.6446125337534</v>
      </c>
      <c r="E1496" s="27">
        <v>3855.9651002064493</v>
      </c>
      <c r="F1496" s="27">
        <v>6035.3135902589129</v>
      </c>
      <c r="G1496" s="27">
        <v>7750.0903851416952</v>
      </c>
      <c r="H1496" s="27">
        <v>10713.350944508478</v>
      </c>
      <c r="I1496" s="27">
        <v>15460.956696821944</v>
      </c>
      <c r="J1496" s="27">
        <v>24877.82655851201</v>
      </c>
      <c r="K1496" s="27">
        <v>51037.054754625045</v>
      </c>
      <c r="L1496" s="27">
        <v>112515.71947303247</v>
      </c>
      <c r="M1496" s="27">
        <v>237098.82613886218</v>
      </c>
    </row>
    <row r="1497" spans="1:13" x14ac:dyDescent="0.75">
      <c r="A1497" s="40">
        <v>1495</v>
      </c>
      <c r="B1497" s="27">
        <v>1173.422341179481</v>
      </c>
      <c r="C1497" s="27">
        <v>1584.591586055074</v>
      </c>
      <c r="D1497" s="27">
        <v>2395.2930704153696</v>
      </c>
      <c r="E1497" s="27">
        <v>3266.8569005836471</v>
      </c>
      <c r="F1497" s="27">
        <v>5233.5698190809198</v>
      </c>
      <c r="G1497" s="27">
        <v>8291.0631739000091</v>
      </c>
      <c r="H1497" s="27">
        <v>11221.321811728587</v>
      </c>
      <c r="I1497" s="27">
        <v>15276.731814669358</v>
      </c>
      <c r="J1497" s="27">
        <v>24672.355810862966</v>
      </c>
      <c r="K1497" s="27">
        <v>48872.87513784859</v>
      </c>
      <c r="L1497" s="27">
        <v>111101.78538192186</v>
      </c>
      <c r="M1497" s="27">
        <v>233089.86684824585</v>
      </c>
    </row>
    <row r="1498" spans="1:13" x14ac:dyDescent="0.75">
      <c r="A1498" s="40">
        <v>1496</v>
      </c>
      <c r="B1498" s="27">
        <v>755.9383662086766</v>
      </c>
      <c r="C1498" s="27">
        <v>1405.4307442188001</v>
      </c>
      <c r="D1498" s="27">
        <v>2498.8832136078709</v>
      </c>
      <c r="E1498" s="27">
        <v>3433.2278839465434</v>
      </c>
      <c r="F1498" s="27">
        <v>5706.0182556736399</v>
      </c>
      <c r="G1498" s="27">
        <v>8190.4827129442419</v>
      </c>
      <c r="H1498" s="27">
        <v>10980.856296279439</v>
      </c>
      <c r="I1498" s="27">
        <v>16243.823851377238</v>
      </c>
      <c r="J1498" s="27">
        <v>24234.975016166645</v>
      </c>
      <c r="K1498" s="27">
        <v>50048.453866066237</v>
      </c>
      <c r="L1498" s="27">
        <v>115229.58924827602</v>
      </c>
      <c r="M1498" s="27">
        <v>238727.67945476534</v>
      </c>
    </row>
    <row r="1499" spans="1:13" x14ac:dyDescent="0.75">
      <c r="A1499" s="40">
        <v>1497</v>
      </c>
      <c r="B1499" s="27">
        <v>1137.1050022244599</v>
      </c>
      <c r="C1499" s="27">
        <v>1679.487575558509</v>
      </c>
      <c r="D1499" s="27">
        <v>2601.439244898429</v>
      </c>
      <c r="E1499" s="27">
        <v>3236.5811990478105</v>
      </c>
      <c r="F1499" s="27">
        <v>5604.5051150067884</v>
      </c>
      <c r="G1499" s="27">
        <v>7893.9161152123997</v>
      </c>
      <c r="H1499" s="27">
        <v>10602.071962795977</v>
      </c>
      <c r="I1499" s="27">
        <v>13919.371775981679</v>
      </c>
      <c r="J1499" s="27">
        <v>23597.034595800767</v>
      </c>
      <c r="K1499" s="27">
        <v>49624.368155048665</v>
      </c>
      <c r="L1499" s="27">
        <v>113191.34411084713</v>
      </c>
      <c r="M1499" s="27">
        <v>233087.2248524226</v>
      </c>
    </row>
    <row r="1500" spans="1:13" x14ac:dyDescent="0.75">
      <c r="A1500" s="40">
        <v>1498</v>
      </c>
      <c r="B1500" s="27">
        <v>1407.4884334611561</v>
      </c>
      <c r="C1500" s="27">
        <v>2070.2512614021252</v>
      </c>
      <c r="D1500" s="27">
        <v>3082.6654104771296</v>
      </c>
      <c r="E1500" s="27">
        <v>4751.8436128214671</v>
      </c>
      <c r="F1500" s="27">
        <v>7281.3658906647761</v>
      </c>
      <c r="G1500" s="27">
        <v>9368.6199323815235</v>
      </c>
      <c r="H1500" s="27">
        <v>12171.8125015845</v>
      </c>
      <c r="I1500" s="27">
        <v>15687.724958795268</v>
      </c>
      <c r="J1500" s="27">
        <v>24829.260408615955</v>
      </c>
      <c r="K1500" s="27">
        <v>47302.054289316526</v>
      </c>
      <c r="L1500" s="27">
        <v>115110.41956331889</v>
      </c>
      <c r="M1500" s="27">
        <v>243063.50626283931</v>
      </c>
    </row>
    <row r="1501" spans="1:13" x14ac:dyDescent="0.75">
      <c r="A1501" s="40">
        <v>1499</v>
      </c>
      <c r="B1501" s="27">
        <v>1097.6713247227744</v>
      </c>
      <c r="C1501" s="27">
        <v>1614.0631175807212</v>
      </c>
      <c r="D1501" s="27">
        <v>2568.3413213182066</v>
      </c>
      <c r="E1501" s="27">
        <v>3765.622197538818</v>
      </c>
      <c r="F1501" s="27">
        <v>5600.4167149489222</v>
      </c>
      <c r="G1501" s="27">
        <v>8265.3706627381616</v>
      </c>
      <c r="H1501" s="27">
        <v>10839.184523441843</v>
      </c>
      <c r="I1501" s="27">
        <v>14051.834264519057</v>
      </c>
      <c r="J1501" s="27">
        <v>22670.955795976566</v>
      </c>
      <c r="K1501" s="27">
        <v>47549.58691854708</v>
      </c>
      <c r="L1501" s="27">
        <v>112437.06120549535</v>
      </c>
      <c r="M1501" s="27">
        <v>230460.10804682749</v>
      </c>
    </row>
    <row r="1502" spans="1:13" x14ac:dyDescent="0.75">
      <c r="A1502" s="40">
        <v>1500</v>
      </c>
      <c r="B1502" s="27">
        <v>1006.6132910022861</v>
      </c>
      <c r="C1502" s="27">
        <v>1464.2067568002531</v>
      </c>
      <c r="D1502" s="27">
        <v>2145.8199208622536</v>
      </c>
      <c r="E1502" s="27">
        <v>3255.0060811216099</v>
      </c>
      <c r="F1502" s="27">
        <v>4816.114020670153</v>
      </c>
      <c r="G1502" s="27">
        <v>7027.8681130400219</v>
      </c>
      <c r="H1502" s="27">
        <v>9774.6212738091272</v>
      </c>
      <c r="I1502" s="27">
        <v>13679.897759116633</v>
      </c>
      <c r="J1502" s="27">
        <v>23559.679064692173</v>
      </c>
      <c r="K1502" s="27">
        <v>47856.28919037302</v>
      </c>
      <c r="L1502" s="27">
        <v>115875.8713705168</v>
      </c>
      <c r="M1502" s="27">
        <v>230461.98684200435</v>
      </c>
    </row>
    <row r="1503" spans="1:13" x14ac:dyDescent="0.75">
      <c r="A1503" s="40">
        <v>1501</v>
      </c>
      <c r="B1503" s="27">
        <v>964.56029241945362</v>
      </c>
      <c r="C1503" s="27">
        <v>1542.2804205649445</v>
      </c>
      <c r="D1503" s="27">
        <v>2429.4395481407701</v>
      </c>
      <c r="E1503" s="27">
        <v>4014.8108686998457</v>
      </c>
      <c r="F1503" s="27">
        <v>5765.2115190195909</v>
      </c>
      <c r="G1503" s="27">
        <v>8895.395747527713</v>
      </c>
      <c r="H1503" s="27">
        <v>11159.082426949841</v>
      </c>
      <c r="I1503" s="27">
        <v>14893.401053038935</v>
      </c>
      <c r="J1503" s="27">
        <v>23638.715901631556</v>
      </c>
      <c r="K1503" s="27">
        <v>48762.140247995529</v>
      </c>
      <c r="L1503" s="27">
        <v>114395.34166414963</v>
      </c>
      <c r="M1503" s="27">
        <v>236460.37969013781</v>
      </c>
    </row>
    <row r="1504" spans="1:13" x14ac:dyDescent="0.75">
      <c r="A1504" s="40">
        <v>1502</v>
      </c>
      <c r="B1504" s="27">
        <v>920.96274088173232</v>
      </c>
      <c r="C1504" s="27">
        <v>1265.4714100580313</v>
      </c>
      <c r="D1504" s="27">
        <v>2246.1960818027583</v>
      </c>
      <c r="E1504" s="27">
        <v>3495.2762562306889</v>
      </c>
      <c r="F1504" s="27">
        <v>5537.7246395272086</v>
      </c>
      <c r="G1504" s="27">
        <v>8039.8468333320925</v>
      </c>
      <c r="H1504" s="27">
        <v>10777.761390694504</v>
      </c>
      <c r="I1504" s="27">
        <v>15247.855698383602</v>
      </c>
      <c r="J1504" s="27">
        <v>23428.343612841083</v>
      </c>
      <c r="K1504" s="27">
        <v>45346.639418545266</v>
      </c>
      <c r="L1504" s="27">
        <v>109391.19504663403</v>
      </c>
      <c r="M1504" s="27">
        <v>225697.273128931</v>
      </c>
    </row>
    <row r="1505" spans="1:13" x14ac:dyDescent="0.75">
      <c r="A1505" s="40">
        <v>1503</v>
      </c>
      <c r="B1505" s="27">
        <v>697.89266417991894</v>
      </c>
      <c r="C1505" s="27">
        <v>1022.9811274670501</v>
      </c>
      <c r="D1505" s="27">
        <v>1999.8736833196454</v>
      </c>
      <c r="E1505" s="27">
        <v>3172.2525925612426</v>
      </c>
      <c r="F1505" s="27">
        <v>5328.7944443914748</v>
      </c>
      <c r="G1505" s="27">
        <v>7797.7933732980164</v>
      </c>
      <c r="H1505" s="27">
        <v>10009.596958906259</v>
      </c>
      <c r="I1505" s="27">
        <v>14186.210798004642</v>
      </c>
      <c r="J1505" s="27">
        <v>23489.383518415532</v>
      </c>
      <c r="K1505" s="27">
        <v>46813.141049476981</v>
      </c>
      <c r="L1505" s="27">
        <v>105029.12463508353</v>
      </c>
      <c r="M1505" s="27">
        <v>219547.04484510428</v>
      </c>
    </row>
    <row r="1506" spans="1:13" x14ac:dyDescent="0.75">
      <c r="A1506" s="40">
        <v>1504</v>
      </c>
      <c r="B1506" s="27">
        <v>1103.6801877993857</v>
      </c>
      <c r="C1506" s="27">
        <v>1613.0818664930412</v>
      </c>
      <c r="D1506" s="27">
        <v>2352.7496402055694</v>
      </c>
      <c r="E1506" s="27">
        <v>3182.4374004689016</v>
      </c>
      <c r="F1506" s="27">
        <v>5264.5785719327978</v>
      </c>
      <c r="G1506" s="27">
        <v>7887.2831639892538</v>
      </c>
      <c r="H1506" s="27">
        <v>9707.9335025611217</v>
      </c>
      <c r="I1506" s="27">
        <v>14698.069032602609</v>
      </c>
      <c r="J1506" s="27">
        <v>23153.588511183785</v>
      </c>
      <c r="K1506" s="27">
        <v>49418.061857105669</v>
      </c>
      <c r="L1506" s="27">
        <v>113061.43568458626</v>
      </c>
      <c r="M1506" s="27">
        <v>231442.8994189284</v>
      </c>
    </row>
    <row r="1507" spans="1:13" x14ac:dyDescent="0.75">
      <c r="A1507" s="40">
        <v>1505</v>
      </c>
      <c r="B1507" s="27">
        <v>724.70205551470281</v>
      </c>
      <c r="C1507" s="27">
        <v>1163.9763225650386</v>
      </c>
      <c r="D1507" s="27">
        <v>1925.5965871350927</v>
      </c>
      <c r="E1507" s="27">
        <v>3169.2590509341535</v>
      </c>
      <c r="F1507" s="27">
        <v>5011.8366820335214</v>
      </c>
      <c r="G1507" s="27">
        <v>7547.8152024734882</v>
      </c>
      <c r="H1507" s="27">
        <v>9732.3488656513946</v>
      </c>
      <c r="I1507" s="27">
        <v>14002.379194706562</v>
      </c>
      <c r="J1507" s="27">
        <v>22907.998886001238</v>
      </c>
      <c r="K1507" s="27">
        <v>47280.411474269655</v>
      </c>
      <c r="L1507" s="27">
        <v>108588.28559970891</v>
      </c>
      <c r="M1507" s="27">
        <v>222054.60992099374</v>
      </c>
    </row>
    <row r="1508" spans="1:13" x14ac:dyDescent="0.75">
      <c r="A1508" s="40">
        <v>1506</v>
      </c>
      <c r="B1508" s="27">
        <v>911.34248104940343</v>
      </c>
      <c r="C1508" s="27">
        <v>1346.1710826707858</v>
      </c>
      <c r="D1508" s="27">
        <v>2234.393384816809</v>
      </c>
      <c r="E1508" s="27">
        <v>3359.0050325485208</v>
      </c>
      <c r="F1508" s="27">
        <v>5225.58951195181</v>
      </c>
      <c r="G1508" s="27">
        <v>7586.4237025186303</v>
      </c>
      <c r="H1508" s="27">
        <v>10324.199313355261</v>
      </c>
      <c r="I1508" s="27">
        <v>14394.198806180691</v>
      </c>
      <c r="J1508" s="27">
        <v>22602.730207293687</v>
      </c>
      <c r="K1508" s="27">
        <v>45974.439059328011</v>
      </c>
      <c r="L1508" s="27">
        <v>116858.86065712542</v>
      </c>
      <c r="M1508" s="27">
        <v>230817.35323883902</v>
      </c>
    </row>
    <row r="1509" spans="1:13" x14ac:dyDescent="0.75">
      <c r="A1509" s="40">
        <v>1507</v>
      </c>
      <c r="B1509" s="27">
        <v>1049.2514708233502</v>
      </c>
      <c r="C1509" s="27">
        <v>1618.3916785291076</v>
      </c>
      <c r="D1509" s="27">
        <v>2241.2383998760197</v>
      </c>
      <c r="E1509" s="27">
        <v>3456.5375753828412</v>
      </c>
      <c r="F1509" s="27">
        <v>5900.1612212055188</v>
      </c>
      <c r="G1509" s="27">
        <v>8215.0241469044122</v>
      </c>
      <c r="H1509" s="27">
        <v>11285.363293106086</v>
      </c>
      <c r="I1509" s="27">
        <v>15372.583454643478</v>
      </c>
      <c r="J1509" s="27">
        <v>23569.090106998367</v>
      </c>
      <c r="K1509" s="27">
        <v>46307.996974138223</v>
      </c>
      <c r="L1509" s="27">
        <v>111948.24940084829</v>
      </c>
      <c r="M1509" s="27">
        <v>230963.88772245569</v>
      </c>
    </row>
    <row r="1510" spans="1:13" x14ac:dyDescent="0.75">
      <c r="A1510" s="40">
        <v>1508</v>
      </c>
      <c r="B1510" s="27">
        <v>1107.1505626707367</v>
      </c>
      <c r="C1510" s="27">
        <v>1443.3103488905763</v>
      </c>
      <c r="D1510" s="27">
        <v>2541.4275748385262</v>
      </c>
      <c r="E1510" s="27">
        <v>3628.1621165808901</v>
      </c>
      <c r="F1510" s="27">
        <v>5293.7224759832316</v>
      </c>
      <c r="G1510" s="27">
        <v>8103.2564971022657</v>
      </c>
      <c r="H1510" s="27">
        <v>9964.8562641019671</v>
      </c>
      <c r="I1510" s="27">
        <v>15290.402454731346</v>
      </c>
      <c r="J1510" s="27">
        <v>22973.291726436946</v>
      </c>
      <c r="K1510" s="27">
        <v>46981.196021911644</v>
      </c>
      <c r="L1510" s="27">
        <v>109713.3929999661</v>
      </c>
      <c r="M1510" s="27">
        <v>227040.16904321423</v>
      </c>
    </row>
    <row r="1511" spans="1:13" x14ac:dyDescent="0.75">
      <c r="A1511" s="40">
        <v>1509</v>
      </c>
      <c r="B1511" s="27">
        <v>1045.8205795112008</v>
      </c>
      <c r="C1511" s="27">
        <v>1390.2835543894034</v>
      </c>
      <c r="D1511" s="27">
        <v>2386.7851589357015</v>
      </c>
      <c r="E1511" s="27">
        <v>3885.2630758249579</v>
      </c>
      <c r="F1511" s="27">
        <v>5412.4073186643509</v>
      </c>
      <c r="G1511" s="27">
        <v>7467.6588266335602</v>
      </c>
      <c r="H1511" s="27">
        <v>10270.234435582097</v>
      </c>
      <c r="I1511" s="27">
        <v>14254.968291400481</v>
      </c>
      <c r="J1511" s="27">
        <v>22982.545934811249</v>
      </c>
      <c r="K1511" s="27">
        <v>46325.353483296611</v>
      </c>
      <c r="L1511" s="27">
        <v>110107.70935600022</v>
      </c>
      <c r="M1511" s="27">
        <v>225529.03001504985</v>
      </c>
    </row>
    <row r="1512" spans="1:13" x14ac:dyDescent="0.75">
      <c r="A1512" s="40">
        <v>1510</v>
      </c>
      <c r="B1512" s="27">
        <v>188.58193091981229</v>
      </c>
      <c r="C1512" s="27">
        <v>884.65315116892452</v>
      </c>
      <c r="D1512" s="27">
        <v>1732.726997014237</v>
      </c>
      <c r="E1512" s="27">
        <v>2698.6653082680277</v>
      </c>
      <c r="F1512" s="27">
        <v>4429.7354834261641</v>
      </c>
      <c r="G1512" s="27">
        <v>6665.1540186074271</v>
      </c>
      <c r="H1512" s="27">
        <v>9327.7757139690366</v>
      </c>
      <c r="I1512" s="27">
        <v>13694.35527396109</v>
      </c>
      <c r="J1512" s="27">
        <v>21625.247193768839</v>
      </c>
      <c r="K1512" s="27">
        <v>46973.584432813615</v>
      </c>
      <c r="L1512" s="27">
        <v>110831.14477963184</v>
      </c>
      <c r="M1512" s="27">
        <v>219051.62428354903</v>
      </c>
    </row>
    <row r="1513" spans="1:13" x14ac:dyDescent="0.75">
      <c r="A1513" s="40">
        <v>1511</v>
      </c>
      <c r="B1513" s="27">
        <v>995.99453350860858</v>
      </c>
      <c r="C1513" s="27">
        <v>1460.7556012049317</v>
      </c>
      <c r="D1513" s="27">
        <v>2356.2156993664248</v>
      </c>
      <c r="E1513" s="27">
        <v>3399.7156774879841</v>
      </c>
      <c r="F1513" s="27">
        <v>5599.1869178921625</v>
      </c>
      <c r="G1513" s="27">
        <v>7614.9088408673124</v>
      </c>
      <c r="H1513" s="27">
        <v>10264.937048353677</v>
      </c>
      <c r="I1513" s="27">
        <v>14112.010646626281</v>
      </c>
      <c r="J1513" s="27">
        <v>23480.746007032198</v>
      </c>
      <c r="K1513" s="27">
        <v>46845.604089061904</v>
      </c>
      <c r="L1513" s="27">
        <v>112712.52390650424</v>
      </c>
      <c r="M1513" s="27">
        <v>228842.59896790574</v>
      </c>
    </row>
    <row r="1514" spans="1:13" x14ac:dyDescent="0.75">
      <c r="A1514" s="40">
        <v>1512</v>
      </c>
      <c r="B1514" s="27">
        <v>595.7084954745078</v>
      </c>
      <c r="C1514" s="27">
        <v>1042.2651439712936</v>
      </c>
      <c r="D1514" s="27">
        <v>2022.1178873669269</v>
      </c>
      <c r="E1514" s="27">
        <v>3349.9133274593914</v>
      </c>
      <c r="F1514" s="27">
        <v>5429.7061541661678</v>
      </c>
      <c r="G1514" s="27">
        <v>7714.9304420267872</v>
      </c>
      <c r="H1514" s="27">
        <v>10395.803271141529</v>
      </c>
      <c r="I1514" s="27">
        <v>14965.402457405056</v>
      </c>
      <c r="J1514" s="27">
        <v>24107.973760989844</v>
      </c>
      <c r="K1514" s="27">
        <v>48367.801135108501</v>
      </c>
      <c r="L1514" s="27">
        <v>118266.98359200949</v>
      </c>
      <c r="M1514" s="27">
        <v>236258.6056671195</v>
      </c>
    </row>
    <row r="1515" spans="1:13" x14ac:dyDescent="0.75">
      <c r="A1515" s="40">
        <v>1513</v>
      </c>
      <c r="B1515" s="27">
        <v>403.50235185670317</v>
      </c>
      <c r="C1515" s="27">
        <v>773.73603031947277</v>
      </c>
      <c r="D1515" s="27">
        <v>1376.6656197359698</v>
      </c>
      <c r="E1515" s="27">
        <v>2311.5749648035271</v>
      </c>
      <c r="F1515" s="27">
        <v>4439.5599974817305</v>
      </c>
      <c r="G1515" s="27">
        <v>6726.2636157573725</v>
      </c>
      <c r="H1515" s="27">
        <v>8962.7593276544067</v>
      </c>
      <c r="I1515" s="27">
        <v>13285.727017703903</v>
      </c>
      <c r="J1515" s="27">
        <v>22811.491832638872</v>
      </c>
      <c r="K1515" s="27">
        <v>46283.071474615193</v>
      </c>
      <c r="L1515" s="27">
        <v>103282.80139328845</v>
      </c>
      <c r="M1515" s="27">
        <v>210657.1536258556</v>
      </c>
    </row>
    <row r="1516" spans="1:13" x14ac:dyDescent="0.75">
      <c r="A1516" s="40">
        <v>1514</v>
      </c>
      <c r="B1516" s="27">
        <v>711.21361051294662</v>
      </c>
      <c r="C1516" s="27">
        <v>1260.7188611121965</v>
      </c>
      <c r="D1516" s="27">
        <v>2147.7591759500938</v>
      </c>
      <c r="E1516" s="27">
        <v>3267.3381348190596</v>
      </c>
      <c r="F1516" s="27">
        <v>5175.5310517852777</v>
      </c>
      <c r="G1516" s="27">
        <v>6961.9638629463734</v>
      </c>
      <c r="H1516" s="27">
        <v>9500.3539514893491</v>
      </c>
      <c r="I1516" s="27">
        <v>14280.193493523373</v>
      </c>
      <c r="J1516" s="27">
        <v>24579.732547881664</v>
      </c>
      <c r="K1516" s="27">
        <v>49152.303428083425</v>
      </c>
      <c r="L1516" s="27">
        <v>115585.09140964595</v>
      </c>
      <c r="M1516" s="27">
        <v>232622.1995277497</v>
      </c>
    </row>
    <row r="1517" spans="1:13" x14ac:dyDescent="0.75">
      <c r="A1517" s="40">
        <v>1515</v>
      </c>
      <c r="B1517" s="27">
        <v>1520.2613988945232</v>
      </c>
      <c r="C1517" s="27">
        <v>2046.913269044162</v>
      </c>
      <c r="D1517" s="27">
        <v>3009.0817187239736</v>
      </c>
      <c r="E1517" s="27">
        <v>4077.4086860962998</v>
      </c>
      <c r="F1517" s="27">
        <v>6080.6395964246476</v>
      </c>
      <c r="G1517" s="27">
        <v>8515.0045297025936</v>
      </c>
      <c r="H1517" s="27">
        <v>11441.320955108706</v>
      </c>
      <c r="I1517" s="27">
        <v>14097.074931132083</v>
      </c>
      <c r="J1517" s="27">
        <v>22998.223855961332</v>
      </c>
      <c r="K1517" s="27">
        <v>46295.097595676489</v>
      </c>
      <c r="L1517" s="27">
        <v>113166.60059284564</v>
      </c>
      <c r="M1517" s="27">
        <v>233247.62712961045</v>
      </c>
    </row>
    <row r="1518" spans="1:13" x14ac:dyDescent="0.75">
      <c r="A1518" s="40">
        <v>1516</v>
      </c>
      <c r="B1518" s="27">
        <v>944.23074508110585</v>
      </c>
      <c r="C1518" s="27">
        <v>1454.5704949634528</v>
      </c>
      <c r="D1518" s="27">
        <v>2116.8150402967585</v>
      </c>
      <c r="E1518" s="27">
        <v>3283.5698096375709</v>
      </c>
      <c r="F1518" s="27">
        <v>4957.8741450991656</v>
      </c>
      <c r="G1518" s="27">
        <v>7360.9477001258347</v>
      </c>
      <c r="H1518" s="27">
        <v>9802.5061166816595</v>
      </c>
      <c r="I1518" s="27">
        <v>14624.069691290308</v>
      </c>
      <c r="J1518" s="27">
        <v>23328.834580906303</v>
      </c>
      <c r="K1518" s="27">
        <v>49314.045623487706</v>
      </c>
      <c r="L1518" s="27">
        <v>108026.43917818418</v>
      </c>
      <c r="M1518" s="27">
        <v>225213.90312575403</v>
      </c>
    </row>
    <row r="1519" spans="1:13" x14ac:dyDescent="0.75">
      <c r="A1519" s="40">
        <v>1517</v>
      </c>
      <c r="B1519" s="27">
        <v>534.16168849363748</v>
      </c>
      <c r="C1519" s="27">
        <v>915.20007308961067</v>
      </c>
      <c r="D1519" s="27">
        <v>1590.7628897918039</v>
      </c>
      <c r="E1519" s="27">
        <v>2735.2886671841843</v>
      </c>
      <c r="F1519" s="27">
        <v>4340.8880005989195</v>
      </c>
      <c r="G1519" s="27">
        <v>6858.8328565252596</v>
      </c>
      <c r="H1519" s="27">
        <v>9586.9466295603779</v>
      </c>
      <c r="I1519" s="27">
        <v>13768.955586746917</v>
      </c>
      <c r="J1519" s="27">
        <v>21903.573410710014</v>
      </c>
      <c r="K1519" s="27">
        <v>46859.145761035994</v>
      </c>
      <c r="L1519" s="27">
        <v>108996.80029223619</v>
      </c>
      <c r="M1519" s="27">
        <v>218090.55585597293</v>
      </c>
    </row>
    <row r="1520" spans="1:13" x14ac:dyDescent="0.75">
      <c r="A1520" s="40">
        <v>1518</v>
      </c>
      <c r="B1520" s="27">
        <v>933.27011105943529</v>
      </c>
      <c r="C1520" s="27">
        <v>1473.7238224139146</v>
      </c>
      <c r="D1520" s="27">
        <v>2283.0600110328232</v>
      </c>
      <c r="E1520" s="27">
        <v>3448.1961001828167</v>
      </c>
      <c r="F1520" s="27">
        <v>5170.5080317991233</v>
      </c>
      <c r="G1520" s="27">
        <v>7956.5640237857006</v>
      </c>
      <c r="H1520" s="27">
        <v>9900.359969826648</v>
      </c>
      <c r="I1520" s="27">
        <v>14251.670373354311</v>
      </c>
      <c r="J1520" s="27">
        <v>23438.930863518442</v>
      </c>
      <c r="K1520" s="27">
        <v>48764.784623998014</v>
      </c>
      <c r="L1520" s="27">
        <v>115932.0872309347</v>
      </c>
      <c r="M1520" s="27">
        <v>233553.15516190592</v>
      </c>
    </row>
    <row r="1521" spans="1:13" x14ac:dyDescent="0.75">
      <c r="A1521" s="40">
        <v>1519</v>
      </c>
      <c r="B1521" s="27">
        <v>878.95310727672768</v>
      </c>
      <c r="C1521" s="27">
        <v>1399.4668362845405</v>
      </c>
      <c r="D1521" s="27">
        <v>2182.404856811132</v>
      </c>
      <c r="E1521" s="27">
        <v>3402.0249663035502</v>
      </c>
      <c r="F1521" s="27">
        <v>4981.0024548410729</v>
      </c>
      <c r="G1521" s="27">
        <v>7388.4233934767253</v>
      </c>
      <c r="H1521" s="27">
        <v>10161.417956127567</v>
      </c>
      <c r="I1521" s="27">
        <v>13963.596287111606</v>
      </c>
      <c r="J1521" s="27">
        <v>23082.727039714897</v>
      </c>
      <c r="K1521" s="27">
        <v>47086.138037743236</v>
      </c>
      <c r="L1521" s="27">
        <v>110242.1298611135</v>
      </c>
      <c r="M1521" s="27">
        <v>224768.28479680454</v>
      </c>
    </row>
    <row r="1522" spans="1:13" x14ac:dyDescent="0.75">
      <c r="A1522" s="40">
        <v>1520</v>
      </c>
      <c r="B1522" s="27">
        <v>495.18380800065643</v>
      </c>
      <c r="C1522" s="27">
        <v>660.16429213994707</v>
      </c>
      <c r="D1522" s="27">
        <v>1660.7605102843227</v>
      </c>
      <c r="E1522" s="27">
        <v>2891.5011011745373</v>
      </c>
      <c r="F1522" s="27">
        <v>4519.1769771135587</v>
      </c>
      <c r="G1522" s="27">
        <v>7072.0384843976644</v>
      </c>
      <c r="H1522" s="27">
        <v>9784.1641274751892</v>
      </c>
      <c r="I1522" s="27">
        <v>13981.44789049399</v>
      </c>
      <c r="J1522" s="27">
        <v>23298.83888732671</v>
      </c>
      <c r="K1522" s="27">
        <v>42299.850811978424</v>
      </c>
      <c r="L1522" s="27">
        <v>119822.14076072672</v>
      </c>
      <c r="M1522" s="27">
        <v>226485.2676511117</v>
      </c>
    </row>
    <row r="1523" spans="1:13" x14ac:dyDescent="0.75">
      <c r="A1523" s="40">
        <v>1521</v>
      </c>
      <c r="B1523" s="27">
        <v>460.42986348753038</v>
      </c>
      <c r="C1523" s="27">
        <v>725.43551030538219</v>
      </c>
      <c r="D1523" s="27">
        <v>1583.9252083264437</v>
      </c>
      <c r="E1523" s="27">
        <v>2904.2457596136228</v>
      </c>
      <c r="F1523" s="27">
        <v>4516.2665883977606</v>
      </c>
      <c r="G1523" s="27">
        <v>7053.9432617108396</v>
      </c>
      <c r="H1523" s="27">
        <v>9365.6776989632635</v>
      </c>
      <c r="I1523" s="27">
        <v>13656.895325508405</v>
      </c>
      <c r="J1523" s="27">
        <v>21677.600057979376</v>
      </c>
      <c r="K1523" s="27">
        <v>45878.231061156723</v>
      </c>
      <c r="L1523" s="27">
        <v>106676.64958679065</v>
      </c>
      <c r="M1523" s="27">
        <v>214499.29992224</v>
      </c>
    </row>
    <row r="1524" spans="1:13" x14ac:dyDescent="0.75">
      <c r="A1524" s="40">
        <v>1522</v>
      </c>
      <c r="B1524" s="27">
        <v>488.52312349676504</v>
      </c>
      <c r="C1524" s="27">
        <v>658.85238201834727</v>
      </c>
      <c r="D1524" s="27">
        <v>1529.2125619443541</v>
      </c>
      <c r="E1524" s="27">
        <v>2482.6083049774315</v>
      </c>
      <c r="F1524" s="27">
        <v>4548.9364929021976</v>
      </c>
      <c r="G1524" s="27">
        <v>6858.6382934688882</v>
      </c>
      <c r="H1524" s="27">
        <v>9461.0084608155012</v>
      </c>
      <c r="I1524" s="27">
        <v>13622.747178652047</v>
      </c>
      <c r="J1524" s="27">
        <v>23959.489603564027</v>
      </c>
      <c r="K1524" s="27">
        <v>44683.559490558851</v>
      </c>
      <c r="L1524" s="27">
        <v>109563.08822873249</v>
      </c>
      <c r="M1524" s="27">
        <v>217856.66412113089</v>
      </c>
    </row>
    <row r="1525" spans="1:13" x14ac:dyDescent="0.75">
      <c r="A1525" s="40">
        <v>1523</v>
      </c>
      <c r="B1525" s="27">
        <v>523.39894949139853</v>
      </c>
      <c r="C1525" s="27">
        <v>1093.8193358144781</v>
      </c>
      <c r="D1525" s="27">
        <v>1767.4698738464358</v>
      </c>
      <c r="E1525" s="27">
        <v>2711.8255918809737</v>
      </c>
      <c r="F1525" s="27">
        <v>4393.6283643548668</v>
      </c>
      <c r="G1525" s="27">
        <v>6528.4178144549369</v>
      </c>
      <c r="H1525" s="27">
        <v>9111.1473611060064</v>
      </c>
      <c r="I1525" s="27">
        <v>13966.060498584717</v>
      </c>
      <c r="J1525" s="27">
        <v>22713.048604020965</v>
      </c>
      <c r="K1525" s="27">
        <v>44654.436509406922</v>
      </c>
      <c r="L1525" s="27">
        <v>114290.18346893016</v>
      </c>
      <c r="M1525" s="27">
        <v>221753.43637189188</v>
      </c>
    </row>
    <row r="1526" spans="1:13" x14ac:dyDescent="0.75">
      <c r="A1526" s="40">
        <v>1524</v>
      </c>
      <c r="B1526" s="27">
        <v>725.12180038068618</v>
      </c>
      <c r="C1526" s="27">
        <v>1080.8679913482774</v>
      </c>
      <c r="D1526" s="27">
        <v>1726.4536716244183</v>
      </c>
      <c r="E1526" s="27">
        <v>3102.9477406088408</v>
      </c>
      <c r="F1526" s="27">
        <v>5075.6479861329717</v>
      </c>
      <c r="G1526" s="27">
        <v>7187.9806383548421</v>
      </c>
      <c r="H1526" s="27">
        <v>9695.3291342580924</v>
      </c>
      <c r="I1526" s="27">
        <v>14385.356431888722</v>
      </c>
      <c r="J1526" s="27">
        <v>23833.848773816018</v>
      </c>
      <c r="K1526" s="27">
        <v>49698.357795404096</v>
      </c>
      <c r="L1526" s="27">
        <v>101528.98921190121</v>
      </c>
      <c r="M1526" s="27">
        <v>218040.90117571817</v>
      </c>
    </row>
    <row r="1527" spans="1:13" x14ac:dyDescent="0.75">
      <c r="A1527" s="40">
        <v>1525</v>
      </c>
      <c r="B1527" s="27">
        <v>738.87907111519598</v>
      </c>
      <c r="C1527" s="27">
        <v>1143.3806805672648</v>
      </c>
      <c r="D1527" s="27">
        <v>1837.1212977534597</v>
      </c>
      <c r="E1527" s="27">
        <v>3003.6162458684121</v>
      </c>
      <c r="F1527" s="27">
        <v>5082.343655268618</v>
      </c>
      <c r="G1527" s="27">
        <v>7962.1355796090502</v>
      </c>
      <c r="H1527" s="27">
        <v>10269.483887524664</v>
      </c>
      <c r="I1527" s="27">
        <v>13565.775484072292</v>
      </c>
      <c r="J1527" s="27">
        <v>22657.072030600335</v>
      </c>
      <c r="K1527" s="27">
        <v>44544.246890431619</v>
      </c>
      <c r="L1527" s="27">
        <v>100677.16310904894</v>
      </c>
      <c r="M1527" s="27">
        <v>211481.21793185984</v>
      </c>
    </row>
    <row r="1528" spans="1:13" x14ac:dyDescent="0.75">
      <c r="A1528" s="40">
        <v>1526</v>
      </c>
      <c r="B1528" s="27">
        <v>1224.9220715294359</v>
      </c>
      <c r="C1528" s="27">
        <v>1691.9116301950271</v>
      </c>
      <c r="D1528" s="27">
        <v>2747.2135140992032</v>
      </c>
      <c r="E1528" s="27">
        <v>3550.4315350019315</v>
      </c>
      <c r="F1528" s="27">
        <v>5417.2846062030294</v>
      </c>
      <c r="G1528" s="27">
        <v>7900.7061193279515</v>
      </c>
      <c r="H1528" s="27">
        <v>10662.014908260026</v>
      </c>
      <c r="I1528" s="27">
        <v>14572.594870763074</v>
      </c>
      <c r="J1528" s="27">
        <v>24457.841575924045</v>
      </c>
      <c r="K1528" s="27">
        <v>47809.47138232569</v>
      </c>
      <c r="L1528" s="27">
        <v>110593.85260678153</v>
      </c>
      <c r="M1528" s="27">
        <v>230628.24482041094</v>
      </c>
    </row>
    <row r="1529" spans="1:13" x14ac:dyDescent="0.75">
      <c r="A1529" s="40">
        <v>1527</v>
      </c>
      <c r="B1529" s="27">
        <v>292.42699913860997</v>
      </c>
      <c r="C1529" s="27">
        <v>810.05728787450062</v>
      </c>
      <c r="D1529" s="27">
        <v>1314.0175703494024</v>
      </c>
      <c r="E1529" s="27">
        <v>2318.7138964082696</v>
      </c>
      <c r="F1529" s="27">
        <v>3890.5060428347933</v>
      </c>
      <c r="G1529" s="27">
        <v>6166.1105524203449</v>
      </c>
      <c r="H1529" s="27">
        <v>9122.0769087232475</v>
      </c>
      <c r="I1529" s="27">
        <v>13013.297341158963</v>
      </c>
      <c r="J1529" s="27">
        <v>21786.64002006354</v>
      </c>
      <c r="K1529" s="27">
        <v>45554.013811039389</v>
      </c>
      <c r="L1529" s="27">
        <v>111357.68073238546</v>
      </c>
      <c r="M1529" s="27">
        <v>215625.54116239652</v>
      </c>
    </row>
    <row r="1530" spans="1:13" x14ac:dyDescent="0.75">
      <c r="A1530" s="40">
        <v>1528</v>
      </c>
      <c r="B1530" s="27">
        <v>1167.9171314840642</v>
      </c>
      <c r="C1530" s="27">
        <v>1816.5728939698456</v>
      </c>
      <c r="D1530" s="27">
        <v>2910.5546278513211</v>
      </c>
      <c r="E1530" s="27">
        <v>3857.4426204103074</v>
      </c>
      <c r="F1530" s="27">
        <v>5879.0792457139032</v>
      </c>
      <c r="G1530" s="27">
        <v>8660.7397138701053</v>
      </c>
      <c r="H1530" s="27">
        <v>12345.68959685092</v>
      </c>
      <c r="I1530" s="27">
        <v>15052.561823591168</v>
      </c>
      <c r="J1530" s="27">
        <v>24113.540552476887</v>
      </c>
      <c r="K1530" s="27">
        <v>47928.387999735627</v>
      </c>
      <c r="L1530" s="27">
        <v>112810.70235555316</v>
      </c>
      <c r="M1530" s="27">
        <v>236543.18856150733</v>
      </c>
    </row>
    <row r="1531" spans="1:13" x14ac:dyDescent="0.75">
      <c r="A1531" s="40">
        <v>1529</v>
      </c>
      <c r="B1531" s="27">
        <v>453.17347507285012</v>
      </c>
      <c r="C1531" s="27">
        <v>1038.9576429463341</v>
      </c>
      <c r="D1531" s="27">
        <v>2111.5391062520357</v>
      </c>
      <c r="E1531" s="27">
        <v>2969.2295237294311</v>
      </c>
      <c r="F1531" s="27">
        <v>4809.8868479021185</v>
      </c>
      <c r="G1531" s="27">
        <v>6466.7143691323872</v>
      </c>
      <c r="H1531" s="27">
        <v>9342.2247821011551</v>
      </c>
      <c r="I1531" s="27">
        <v>13230.080731921887</v>
      </c>
      <c r="J1531" s="27">
        <v>23112.959767312626</v>
      </c>
      <c r="K1531" s="27">
        <v>43596.735644249042</v>
      </c>
      <c r="L1531" s="27">
        <v>110146.4189327504</v>
      </c>
      <c r="M1531" s="27">
        <v>217277.92082337028</v>
      </c>
    </row>
    <row r="1532" spans="1:13" x14ac:dyDescent="0.75">
      <c r="A1532" s="40">
        <v>1530</v>
      </c>
      <c r="B1532" s="27">
        <v>1124.2670946231083</v>
      </c>
      <c r="C1532" s="27">
        <v>1378.6951734582108</v>
      </c>
      <c r="D1532" s="27">
        <v>2521.6290600085049</v>
      </c>
      <c r="E1532" s="27">
        <v>3566.5658547435887</v>
      </c>
      <c r="F1532" s="27">
        <v>5275.1537683378556</v>
      </c>
      <c r="G1532" s="27">
        <v>7418.8034109488071</v>
      </c>
      <c r="H1532" s="27">
        <v>10257.704421644841</v>
      </c>
      <c r="I1532" s="27">
        <v>14171.140812044017</v>
      </c>
      <c r="J1532" s="27">
        <v>23898.850684449688</v>
      </c>
      <c r="K1532" s="27">
        <v>46370.162502186606</v>
      </c>
      <c r="L1532" s="27">
        <v>104308.33466622964</v>
      </c>
      <c r="M1532" s="27">
        <v>220291.30744867487</v>
      </c>
    </row>
    <row r="1533" spans="1:13" x14ac:dyDescent="0.75">
      <c r="A1533" s="40">
        <v>1531</v>
      </c>
      <c r="B1533" s="27">
        <v>739.07262315067055</v>
      </c>
      <c r="C1533" s="27">
        <v>1060.3624592848355</v>
      </c>
      <c r="D1533" s="27">
        <v>1754.971075799258</v>
      </c>
      <c r="E1533" s="27">
        <v>2776.0417713888019</v>
      </c>
      <c r="F1533" s="27">
        <v>4413.1101112477481</v>
      </c>
      <c r="G1533" s="27">
        <v>6606.2117310000176</v>
      </c>
      <c r="H1533" s="27">
        <v>10238.58991639351</v>
      </c>
      <c r="I1533" s="27">
        <v>13894.983762714895</v>
      </c>
      <c r="J1533" s="27">
        <v>22791.315608189791</v>
      </c>
      <c r="K1533" s="27">
        <v>44583.181003296224</v>
      </c>
      <c r="L1533" s="27">
        <v>112778.8146263487</v>
      </c>
      <c r="M1533" s="27">
        <v>221636.65468881445</v>
      </c>
    </row>
    <row r="1534" spans="1:13" x14ac:dyDescent="0.75">
      <c r="A1534" s="40">
        <v>1532</v>
      </c>
      <c r="B1534" s="27">
        <v>725.82204630812339</v>
      </c>
      <c r="C1534" s="27">
        <v>1301.3736994647188</v>
      </c>
      <c r="D1534" s="27">
        <v>2286.5818887464848</v>
      </c>
      <c r="E1534" s="27">
        <v>3183.3132008445391</v>
      </c>
      <c r="F1534" s="27">
        <v>4867.1920563645981</v>
      </c>
      <c r="G1534" s="27">
        <v>7368.7275218115246</v>
      </c>
      <c r="H1534" s="27">
        <v>10156.461014203203</v>
      </c>
      <c r="I1534" s="27">
        <v>14173.720406856854</v>
      </c>
      <c r="J1534" s="27">
        <v>23447.838051495084</v>
      </c>
      <c r="K1534" s="27">
        <v>45479.091621936052</v>
      </c>
      <c r="L1534" s="27">
        <v>109424.40828313326</v>
      </c>
      <c r="M1534" s="27">
        <v>222414.52979116444</v>
      </c>
    </row>
    <row r="1535" spans="1:13" x14ac:dyDescent="0.75">
      <c r="A1535" s="40">
        <v>1533</v>
      </c>
      <c r="B1535" s="27">
        <v>1005.7884763836482</v>
      </c>
      <c r="C1535" s="27">
        <v>1585.8571320797637</v>
      </c>
      <c r="D1535" s="27">
        <v>2549.3748873691511</v>
      </c>
      <c r="E1535" s="27">
        <v>3970.5481483066542</v>
      </c>
      <c r="F1535" s="27">
        <v>5798.4674394778413</v>
      </c>
      <c r="G1535" s="27">
        <v>8513.5024062728044</v>
      </c>
      <c r="H1535" s="27">
        <v>11262.859427982505</v>
      </c>
      <c r="I1535" s="27">
        <v>14243.334312443374</v>
      </c>
      <c r="J1535" s="27">
        <v>23089.052082171867</v>
      </c>
      <c r="K1535" s="27">
        <v>45506.841601052583</v>
      </c>
      <c r="L1535" s="27">
        <v>112530.61313124452</v>
      </c>
      <c r="M1535" s="27">
        <v>230056.23904478471</v>
      </c>
    </row>
    <row r="1536" spans="1:13" x14ac:dyDescent="0.75">
      <c r="A1536" s="40">
        <v>1534</v>
      </c>
      <c r="B1536" s="27">
        <v>197.4976114933088</v>
      </c>
      <c r="C1536" s="27">
        <v>787.58909597806633</v>
      </c>
      <c r="D1536" s="27">
        <v>1674.9327898767515</v>
      </c>
      <c r="E1536" s="27">
        <v>2539.3851563446806</v>
      </c>
      <c r="F1536" s="27">
        <v>4809.9854126089776</v>
      </c>
      <c r="G1536" s="27">
        <v>7159.0433611831104</v>
      </c>
      <c r="H1536" s="27">
        <v>9979.7963311640196</v>
      </c>
      <c r="I1536" s="27">
        <v>14082.521970473317</v>
      </c>
      <c r="J1536" s="27">
        <v>24006.41257180403</v>
      </c>
      <c r="K1536" s="27">
        <v>47862.170572623683</v>
      </c>
      <c r="L1536" s="27">
        <v>117214.15640645615</v>
      </c>
      <c r="M1536" s="27">
        <v>230313.4912800061</v>
      </c>
    </row>
    <row r="1537" spans="1:13" x14ac:dyDescent="0.75">
      <c r="A1537" s="40">
        <v>1535</v>
      </c>
      <c r="B1537" s="27">
        <v>877.3004096592922</v>
      </c>
      <c r="C1537" s="27">
        <v>1402.0752829182893</v>
      </c>
      <c r="D1537" s="27">
        <v>2119.4205942519038</v>
      </c>
      <c r="E1537" s="27">
        <v>3466.4770319277304</v>
      </c>
      <c r="F1537" s="27">
        <v>5380.6001837997756</v>
      </c>
      <c r="G1537" s="27">
        <v>7932.9992596465454</v>
      </c>
      <c r="H1537" s="27">
        <v>9536.4489398825681</v>
      </c>
      <c r="I1537" s="27">
        <v>14145.188491410707</v>
      </c>
      <c r="J1537" s="27">
        <v>22845.262270222156</v>
      </c>
      <c r="K1537" s="27">
        <v>48006.077183646878</v>
      </c>
      <c r="L1537" s="27">
        <v>110288.8483733914</v>
      </c>
      <c r="M1537" s="27">
        <v>226000.69802075723</v>
      </c>
    </row>
    <row r="1538" spans="1:13" x14ac:dyDescent="0.75">
      <c r="A1538" s="40">
        <v>1536</v>
      </c>
      <c r="B1538" s="27">
        <v>761.10933911672328</v>
      </c>
      <c r="C1538" s="27">
        <v>1365.1212705200451</v>
      </c>
      <c r="D1538" s="27">
        <v>2333.3623547745083</v>
      </c>
      <c r="E1538" s="27">
        <v>3329.6865421332768</v>
      </c>
      <c r="F1538" s="27">
        <v>5235.7715363230091</v>
      </c>
      <c r="G1538" s="27">
        <v>7490.6500766886456</v>
      </c>
      <c r="H1538" s="27">
        <v>10501.818230797217</v>
      </c>
      <c r="I1538" s="27">
        <v>14049.27777898105</v>
      </c>
      <c r="J1538" s="27">
        <v>23458.439314475938</v>
      </c>
      <c r="K1538" s="27">
        <v>47169.305455153284</v>
      </c>
      <c r="L1538" s="27">
        <v>112458.53697075753</v>
      </c>
      <c r="M1538" s="27">
        <v>228153.07886972121</v>
      </c>
    </row>
    <row r="1539" spans="1:13" x14ac:dyDescent="0.75">
      <c r="A1539" s="40">
        <v>1537</v>
      </c>
      <c r="B1539" s="27">
        <v>751.38379879199783</v>
      </c>
      <c r="C1539" s="27">
        <v>1177.2128505882283</v>
      </c>
      <c r="D1539" s="27">
        <v>2085.6844200992055</v>
      </c>
      <c r="E1539" s="27">
        <v>3282.061817857073</v>
      </c>
      <c r="F1539" s="27">
        <v>5001.4489262994612</v>
      </c>
      <c r="G1539" s="27">
        <v>7185.0654326924996</v>
      </c>
      <c r="H1539" s="27">
        <v>10025.594873024413</v>
      </c>
      <c r="I1539" s="27">
        <v>14589.832268209793</v>
      </c>
      <c r="J1539" s="27">
        <v>23319.002089923801</v>
      </c>
      <c r="K1539" s="27">
        <v>46425.943755547138</v>
      </c>
      <c r="L1539" s="27">
        <v>117433.18648821973</v>
      </c>
      <c r="M1539" s="27">
        <v>231276.41672125334</v>
      </c>
    </row>
    <row r="1540" spans="1:13" x14ac:dyDescent="0.75">
      <c r="A1540" s="40">
        <v>1538</v>
      </c>
      <c r="B1540" s="27">
        <v>649.64403973985463</v>
      </c>
      <c r="C1540" s="27">
        <v>1290.9016964977491</v>
      </c>
      <c r="D1540" s="27">
        <v>2273.5116905049363</v>
      </c>
      <c r="E1540" s="27">
        <v>3550.5893561642442</v>
      </c>
      <c r="F1540" s="27">
        <v>5729.551787482822</v>
      </c>
      <c r="G1540" s="27">
        <v>8036.3505899633165</v>
      </c>
      <c r="H1540" s="27">
        <v>10983.18102265065</v>
      </c>
      <c r="I1540" s="27">
        <v>14379.115386852704</v>
      </c>
      <c r="J1540" s="27">
        <v>24185.820897543832</v>
      </c>
      <c r="K1540" s="27">
        <v>48103.782273903285</v>
      </c>
      <c r="L1540" s="27">
        <v>114722.62088909667</v>
      </c>
      <c r="M1540" s="27">
        <v>233905.06963040004</v>
      </c>
    </row>
    <row r="1541" spans="1:13" x14ac:dyDescent="0.75">
      <c r="A1541" s="40">
        <v>1539</v>
      </c>
      <c r="B1541" s="27">
        <v>476.98937322842539</v>
      </c>
      <c r="C1541" s="27">
        <v>714.2750312811404</v>
      </c>
      <c r="D1541" s="27">
        <v>1870.334125303576</v>
      </c>
      <c r="E1541" s="27">
        <v>2880.3941953328758</v>
      </c>
      <c r="F1541" s="27">
        <v>4921.2562105081306</v>
      </c>
      <c r="G1541" s="27">
        <v>7330.3792198637675</v>
      </c>
      <c r="H1541" s="27">
        <v>9763.0536568631942</v>
      </c>
      <c r="I1541" s="27">
        <v>13995.195366630287</v>
      </c>
      <c r="J1541" s="27">
        <v>21894.05080330951</v>
      </c>
      <c r="K1541" s="27">
        <v>43670.531578080932</v>
      </c>
      <c r="L1541" s="27">
        <v>113653.30091742474</v>
      </c>
      <c r="M1541" s="27">
        <v>221169.76047782658</v>
      </c>
    </row>
    <row r="1542" spans="1:13" x14ac:dyDescent="0.75">
      <c r="A1542" s="40">
        <v>1540</v>
      </c>
      <c r="B1542" s="27">
        <v>883.82751575935981</v>
      </c>
      <c r="C1542" s="27">
        <v>1526.2788489140366</v>
      </c>
      <c r="D1542" s="27">
        <v>2564.7962398631062</v>
      </c>
      <c r="E1542" s="27">
        <v>3662.8024167935801</v>
      </c>
      <c r="F1542" s="27">
        <v>5561.8914295763534</v>
      </c>
      <c r="G1542" s="27">
        <v>7731.3184831801918</v>
      </c>
      <c r="H1542" s="27">
        <v>10349.726099101157</v>
      </c>
      <c r="I1542" s="27">
        <v>14728.21102410811</v>
      </c>
      <c r="J1542" s="27">
        <v>23045.427536418792</v>
      </c>
      <c r="K1542" s="27">
        <v>43642.095850360798</v>
      </c>
      <c r="L1542" s="27">
        <v>105567.23514781237</v>
      </c>
      <c r="M1542" s="27">
        <v>219263.61059188785</v>
      </c>
    </row>
    <row r="1543" spans="1:13" x14ac:dyDescent="0.75">
      <c r="A1543" s="40">
        <v>1541</v>
      </c>
      <c r="B1543" s="27">
        <v>1274.3635457008786</v>
      </c>
      <c r="C1543" s="27">
        <v>1804.8282411627151</v>
      </c>
      <c r="D1543" s="27">
        <v>2694.2947793666535</v>
      </c>
      <c r="E1543" s="27">
        <v>3567.374929946367</v>
      </c>
      <c r="F1543" s="27">
        <v>5223.9144337663311</v>
      </c>
      <c r="G1543" s="27">
        <v>7797.6278836072306</v>
      </c>
      <c r="H1543" s="27">
        <v>10380.347071327094</v>
      </c>
      <c r="I1543" s="27">
        <v>13955.566868393245</v>
      </c>
      <c r="J1543" s="27">
        <v>25028.164982114686</v>
      </c>
      <c r="K1543" s="27">
        <v>49569.163301192311</v>
      </c>
      <c r="L1543" s="27">
        <v>107071.83928572707</v>
      </c>
      <c r="M1543" s="27">
        <v>228367.48532230459</v>
      </c>
    </row>
    <row r="1544" spans="1:13" x14ac:dyDescent="0.75">
      <c r="A1544" s="40">
        <v>1542</v>
      </c>
      <c r="B1544" s="27">
        <v>1235.4851066041156</v>
      </c>
      <c r="C1544" s="27">
        <v>1899.1209119724517</v>
      </c>
      <c r="D1544" s="27">
        <v>2567.8493084759975</v>
      </c>
      <c r="E1544" s="27">
        <v>3641.1080642592133</v>
      </c>
      <c r="F1544" s="27">
        <v>5309.1327310282795</v>
      </c>
      <c r="G1544" s="27">
        <v>8422.6745258216979</v>
      </c>
      <c r="H1544" s="27">
        <v>10860.534632241382</v>
      </c>
      <c r="I1544" s="27">
        <v>14824.067208951194</v>
      </c>
      <c r="J1544" s="27">
        <v>23618.741250676787</v>
      </c>
      <c r="K1544" s="27">
        <v>44629.34591901605</v>
      </c>
      <c r="L1544" s="27">
        <v>107200.14484314807</v>
      </c>
      <c r="M1544" s="27">
        <v>224208.20450219524</v>
      </c>
    </row>
    <row r="1545" spans="1:13" x14ac:dyDescent="0.75">
      <c r="A1545" s="40">
        <v>1543</v>
      </c>
      <c r="B1545" s="27">
        <v>1631.1267527675664</v>
      </c>
      <c r="C1545" s="27">
        <v>2110.6662284719059</v>
      </c>
      <c r="D1545" s="27">
        <v>2815.4527066929732</v>
      </c>
      <c r="E1545" s="27">
        <v>3910.5943903309089</v>
      </c>
      <c r="F1545" s="27">
        <v>6072.4644680904312</v>
      </c>
      <c r="G1545" s="27">
        <v>8482.3612290561723</v>
      </c>
      <c r="H1545" s="27">
        <v>11090.270759431049</v>
      </c>
      <c r="I1545" s="27">
        <v>14383.810188304909</v>
      </c>
      <c r="J1545" s="27">
        <v>23181.660198775891</v>
      </c>
      <c r="K1545" s="27">
        <v>47129.439755228916</v>
      </c>
      <c r="L1545" s="27">
        <v>123354.29552543009</v>
      </c>
      <c r="M1545" s="27">
        <v>244162.14220258081</v>
      </c>
    </row>
    <row r="1546" spans="1:13" x14ac:dyDescent="0.75">
      <c r="A1546" s="40">
        <v>1544</v>
      </c>
      <c r="B1546" s="27">
        <v>582.30345219677838</v>
      </c>
      <c r="C1546" s="27">
        <v>1038.6931900371128</v>
      </c>
      <c r="D1546" s="27">
        <v>2278.8543641608412</v>
      </c>
      <c r="E1546" s="27">
        <v>3394.1616396832687</v>
      </c>
      <c r="F1546" s="27">
        <v>5042.4184544700256</v>
      </c>
      <c r="G1546" s="27">
        <v>7365.1267929619353</v>
      </c>
      <c r="H1546" s="27">
        <v>10629.82237503794</v>
      </c>
      <c r="I1546" s="27">
        <v>14453.197056700912</v>
      </c>
      <c r="J1546" s="27">
        <v>23212.349395820027</v>
      </c>
      <c r="K1546" s="27">
        <v>43417.034571572527</v>
      </c>
      <c r="L1546" s="27">
        <v>100477.41653596889</v>
      </c>
      <c r="M1546" s="27">
        <v>211891.37782861025</v>
      </c>
    </row>
    <row r="1547" spans="1:13" x14ac:dyDescent="0.75">
      <c r="A1547" s="40">
        <v>1545</v>
      </c>
      <c r="B1547" s="27">
        <v>193.16361429350218</v>
      </c>
      <c r="C1547" s="27">
        <v>868.51127700864163</v>
      </c>
      <c r="D1547" s="27">
        <v>1778.912439286054</v>
      </c>
      <c r="E1547" s="27">
        <v>2899.1709460254497</v>
      </c>
      <c r="F1547" s="27">
        <v>4497.2901668333798</v>
      </c>
      <c r="G1547" s="27">
        <v>6955.5318968087086</v>
      </c>
      <c r="H1547" s="27">
        <v>9599.5436524309334</v>
      </c>
      <c r="I1547" s="27">
        <v>14014.192112350429</v>
      </c>
      <c r="J1547" s="27">
        <v>22344.440264486635</v>
      </c>
      <c r="K1547" s="27">
        <v>43605.830842486495</v>
      </c>
      <c r="L1547" s="27">
        <v>108393.44553877079</v>
      </c>
      <c r="M1547" s="27">
        <v>215150.03275078101</v>
      </c>
    </row>
    <row r="1548" spans="1:13" x14ac:dyDescent="0.75">
      <c r="A1548" s="40">
        <v>1546</v>
      </c>
      <c r="B1548" s="27">
        <v>999.77415644952271</v>
      </c>
      <c r="C1548" s="27">
        <v>1208.705128192596</v>
      </c>
      <c r="D1548" s="27">
        <v>1780.4988148175617</v>
      </c>
      <c r="E1548" s="27">
        <v>2737.3625880542095</v>
      </c>
      <c r="F1548" s="27">
        <v>4530.3508694539196</v>
      </c>
      <c r="G1548" s="27">
        <v>6710.725360605662</v>
      </c>
      <c r="H1548" s="27">
        <v>9749.8837299081788</v>
      </c>
      <c r="I1548" s="27">
        <v>13221.55175751257</v>
      </c>
      <c r="J1548" s="27">
        <v>23274.040410004978</v>
      </c>
      <c r="K1548" s="27">
        <v>44831.682642835833</v>
      </c>
      <c r="L1548" s="27">
        <v>109420.32445360138</v>
      </c>
      <c r="M1548" s="27">
        <v>218464.89991143643</v>
      </c>
    </row>
    <row r="1549" spans="1:13" x14ac:dyDescent="0.75">
      <c r="A1549" s="40">
        <v>1547</v>
      </c>
      <c r="B1549" s="27">
        <v>842.2080184839142</v>
      </c>
      <c r="C1549" s="27">
        <v>1212.1592993915256</v>
      </c>
      <c r="D1549" s="27">
        <v>2125.9056020078278</v>
      </c>
      <c r="E1549" s="27">
        <v>3280.5873844308517</v>
      </c>
      <c r="F1549" s="27">
        <v>4784.8477285613626</v>
      </c>
      <c r="G1549" s="27">
        <v>7183.0814169505902</v>
      </c>
      <c r="H1549" s="27">
        <v>9604.0331048878434</v>
      </c>
      <c r="I1549" s="27">
        <v>13625.490402986601</v>
      </c>
      <c r="J1549" s="27">
        <v>22423.220839983871</v>
      </c>
      <c r="K1549" s="27">
        <v>44786.493568090664</v>
      </c>
      <c r="L1549" s="27">
        <v>110182.60684146924</v>
      </c>
      <c r="M1549" s="27">
        <v>220050.63420724429</v>
      </c>
    </row>
    <row r="1550" spans="1:13" x14ac:dyDescent="0.75">
      <c r="A1550" s="40">
        <v>1548</v>
      </c>
      <c r="B1550" s="27">
        <v>1090.1227634768729</v>
      </c>
      <c r="C1550" s="27">
        <v>1806.0206219183892</v>
      </c>
      <c r="D1550" s="27">
        <v>2656.1065689503012</v>
      </c>
      <c r="E1550" s="27">
        <v>3959.8187821002793</v>
      </c>
      <c r="F1550" s="27">
        <v>5750.4613764468377</v>
      </c>
      <c r="G1550" s="27">
        <v>7941.4338874230452</v>
      </c>
      <c r="H1550" s="27">
        <v>11328.42835424465</v>
      </c>
      <c r="I1550" s="27">
        <v>15553.695560026492</v>
      </c>
      <c r="J1550" s="27">
        <v>22841.774149233956</v>
      </c>
      <c r="K1550" s="27">
        <v>45589.727586642126</v>
      </c>
      <c r="L1550" s="27">
        <v>107227.67202252502</v>
      </c>
      <c r="M1550" s="27">
        <v>225745.26167298795</v>
      </c>
    </row>
    <row r="1551" spans="1:13" x14ac:dyDescent="0.75">
      <c r="A1551" s="40">
        <v>1549</v>
      </c>
      <c r="B1551" s="27">
        <v>848.03719218586048</v>
      </c>
      <c r="C1551" s="27">
        <v>1491.6723205159506</v>
      </c>
      <c r="D1551" s="27">
        <v>2335.7020929469145</v>
      </c>
      <c r="E1551" s="27">
        <v>3806.7027544652665</v>
      </c>
      <c r="F1551" s="27">
        <v>5902.8284395415394</v>
      </c>
      <c r="G1551" s="27">
        <v>7831.52607880492</v>
      </c>
      <c r="H1551" s="27">
        <v>10972.622831080924</v>
      </c>
      <c r="I1551" s="27">
        <v>14936.663910476127</v>
      </c>
      <c r="J1551" s="27">
        <v>25687.640140807693</v>
      </c>
      <c r="K1551" s="27">
        <v>49900.148097589728</v>
      </c>
      <c r="L1551" s="27">
        <v>117628.45956448687</v>
      </c>
      <c r="M1551" s="27">
        <v>241342.00342290179</v>
      </c>
    </row>
    <row r="1552" spans="1:13" x14ac:dyDescent="0.75">
      <c r="A1552" s="40">
        <v>1550</v>
      </c>
      <c r="B1552" s="27">
        <v>537.17193259070336</v>
      </c>
      <c r="C1552" s="27">
        <v>1228.4342632095941</v>
      </c>
      <c r="D1552" s="27">
        <v>2272.6100496558356</v>
      </c>
      <c r="E1552" s="27">
        <v>3694.0224180469959</v>
      </c>
      <c r="F1552" s="27">
        <v>5502.4842204062297</v>
      </c>
      <c r="G1552" s="27">
        <v>8106.5143184661574</v>
      </c>
      <c r="H1552" s="27">
        <v>10603.68687279812</v>
      </c>
      <c r="I1552" s="27">
        <v>14144.125836551</v>
      </c>
      <c r="J1552" s="27">
        <v>23976.910777291589</v>
      </c>
      <c r="K1552" s="27">
        <v>46281.724648766292</v>
      </c>
      <c r="L1552" s="27">
        <v>115149.4973067769</v>
      </c>
      <c r="M1552" s="27">
        <v>231497.18264455942</v>
      </c>
    </row>
    <row r="1553" spans="1:13" x14ac:dyDescent="0.75">
      <c r="A1553" s="40">
        <v>1551</v>
      </c>
      <c r="B1553" s="27">
        <v>1302.5651552792551</v>
      </c>
      <c r="C1553" s="27">
        <v>1807.8201145455387</v>
      </c>
      <c r="D1553" s="27">
        <v>2659.7752703579317</v>
      </c>
      <c r="E1553" s="27">
        <v>3648.4755260787642</v>
      </c>
      <c r="F1553" s="27">
        <v>5986.5947232040635</v>
      </c>
      <c r="G1553" s="27">
        <v>8434.3223525757785</v>
      </c>
      <c r="H1553" s="27">
        <v>10943.551120478238</v>
      </c>
      <c r="I1553" s="27">
        <v>14971.910148991199</v>
      </c>
      <c r="J1553" s="27">
        <v>22247.064129079503</v>
      </c>
      <c r="K1553" s="27">
        <v>48678.955640332773</v>
      </c>
      <c r="L1553" s="27">
        <v>112501.26486183048</v>
      </c>
      <c r="M1553" s="27">
        <v>233182.29904275353</v>
      </c>
    </row>
    <row r="1554" spans="1:13" x14ac:dyDescent="0.75">
      <c r="A1554" s="40">
        <v>1552</v>
      </c>
      <c r="B1554" s="27">
        <v>1109.5380532775453</v>
      </c>
      <c r="C1554" s="27">
        <v>1416.9337174670218</v>
      </c>
      <c r="D1554" s="27">
        <v>2433.7356818076223</v>
      </c>
      <c r="E1554" s="27">
        <v>3401.7198837271717</v>
      </c>
      <c r="F1554" s="27">
        <v>5630.570263350819</v>
      </c>
      <c r="G1554" s="27">
        <v>7895.3833760384005</v>
      </c>
      <c r="H1554" s="27">
        <v>10626.251390750665</v>
      </c>
      <c r="I1554" s="27">
        <v>14704.029936980631</v>
      </c>
      <c r="J1554" s="27">
        <v>23807.748581131411</v>
      </c>
      <c r="K1554" s="27">
        <v>47540.893981463014</v>
      </c>
      <c r="L1554" s="27">
        <v>105928.13513372165</v>
      </c>
      <c r="M1554" s="27">
        <v>224494.93999971595</v>
      </c>
    </row>
    <row r="1555" spans="1:13" x14ac:dyDescent="0.75">
      <c r="A1555" s="40">
        <v>1553</v>
      </c>
      <c r="B1555" s="27">
        <v>602.80060402856907</v>
      </c>
      <c r="C1555" s="27">
        <v>1050.619976334463</v>
      </c>
      <c r="D1555" s="27">
        <v>1838.4693032619252</v>
      </c>
      <c r="E1555" s="27">
        <v>3039.7943129208288</v>
      </c>
      <c r="F1555" s="27">
        <v>4829.1595418669458</v>
      </c>
      <c r="G1555" s="27">
        <v>6987.4210331169015</v>
      </c>
      <c r="H1555" s="27">
        <v>9686.1294260951836</v>
      </c>
      <c r="I1555" s="27">
        <v>14030.342022939949</v>
      </c>
      <c r="J1555" s="27">
        <v>23225.55893273832</v>
      </c>
      <c r="K1555" s="27">
        <v>46762.838329984603</v>
      </c>
      <c r="L1555" s="27">
        <v>110124.31061482639</v>
      </c>
      <c r="M1555" s="27">
        <v>222177.44409811409</v>
      </c>
    </row>
    <row r="1556" spans="1:13" x14ac:dyDescent="0.75">
      <c r="A1556" s="40">
        <v>1554</v>
      </c>
      <c r="B1556" s="27">
        <v>582.44677453998884</v>
      </c>
      <c r="C1556" s="27">
        <v>931.39302579953801</v>
      </c>
      <c r="D1556" s="27">
        <v>1491.181950963728</v>
      </c>
      <c r="E1556" s="27">
        <v>2490.2378449904354</v>
      </c>
      <c r="F1556" s="27">
        <v>4702.1646090559952</v>
      </c>
      <c r="G1556" s="27">
        <v>6936.2775682643696</v>
      </c>
      <c r="H1556" s="27">
        <v>9547.4511437566252</v>
      </c>
      <c r="I1556" s="27">
        <v>13531.295886746579</v>
      </c>
      <c r="J1556" s="27">
        <v>21293.601983742919</v>
      </c>
      <c r="K1556" s="27">
        <v>45305.848033852395</v>
      </c>
      <c r="L1556" s="27">
        <v>108398.29729393849</v>
      </c>
      <c r="M1556" s="27">
        <v>215210.19611565105</v>
      </c>
    </row>
    <row r="1557" spans="1:13" x14ac:dyDescent="0.75">
      <c r="A1557" s="40">
        <v>1555</v>
      </c>
      <c r="B1557" s="27">
        <v>1047.4356784971606</v>
      </c>
      <c r="C1557" s="27">
        <v>1632.4163959308498</v>
      </c>
      <c r="D1557" s="27">
        <v>2467.2464340426377</v>
      </c>
      <c r="E1557" s="27">
        <v>3680.5055045384797</v>
      </c>
      <c r="F1557" s="27">
        <v>5738.8504734895541</v>
      </c>
      <c r="G1557" s="27">
        <v>7673.6970719925594</v>
      </c>
      <c r="H1557" s="27">
        <v>10034.523482502598</v>
      </c>
      <c r="I1557" s="27">
        <v>13587.151316530697</v>
      </c>
      <c r="J1557" s="27">
        <v>23249.470378094557</v>
      </c>
      <c r="K1557" s="27">
        <v>46544.326967979578</v>
      </c>
      <c r="L1557" s="27">
        <v>111968.0449188554</v>
      </c>
      <c r="M1557" s="27">
        <v>227623.66862245408</v>
      </c>
    </row>
    <row r="1558" spans="1:13" x14ac:dyDescent="0.75">
      <c r="A1558" s="40">
        <v>1556</v>
      </c>
      <c r="B1558" s="27">
        <v>759.15843882554327</v>
      </c>
      <c r="C1558" s="27">
        <v>1270.3109301044751</v>
      </c>
      <c r="D1558" s="27">
        <v>2297.5948277215939</v>
      </c>
      <c r="E1558" s="27">
        <v>3247.4586085560004</v>
      </c>
      <c r="F1558" s="27">
        <v>5439.6959755297285</v>
      </c>
      <c r="G1558" s="27">
        <v>8020.7621516332147</v>
      </c>
      <c r="H1558" s="27">
        <v>10204.753558903627</v>
      </c>
      <c r="I1558" s="27">
        <v>13849.86832934976</v>
      </c>
      <c r="J1558" s="27">
        <v>23754.980832369954</v>
      </c>
      <c r="K1558" s="27">
        <v>48122.534604744884</v>
      </c>
      <c r="L1558" s="27">
        <v>115480.81523284504</v>
      </c>
      <c r="M1558" s="27">
        <v>232447.93349058382</v>
      </c>
    </row>
    <row r="1559" spans="1:13" x14ac:dyDescent="0.75">
      <c r="A1559" s="40">
        <v>1557</v>
      </c>
      <c r="B1559" s="27">
        <v>1073.1840279965254</v>
      </c>
      <c r="C1559" s="27">
        <v>1904.772297510819</v>
      </c>
      <c r="D1559" s="27">
        <v>2861.716045062858</v>
      </c>
      <c r="E1559" s="27">
        <v>4148.9371936291864</v>
      </c>
      <c r="F1559" s="27">
        <v>6103.3057900944259</v>
      </c>
      <c r="G1559" s="27">
        <v>8011.227203075483</v>
      </c>
      <c r="H1559" s="27">
        <v>11075.615202950547</v>
      </c>
      <c r="I1559" s="27">
        <v>14480.447295683669</v>
      </c>
      <c r="J1559" s="27">
        <v>24417.153059334378</v>
      </c>
      <c r="K1559" s="27">
        <v>45773.753248793204</v>
      </c>
      <c r="L1559" s="27">
        <v>113366.04870789542</v>
      </c>
      <c r="M1559" s="27">
        <v>233216.16007202651</v>
      </c>
    </row>
    <row r="1560" spans="1:13" x14ac:dyDescent="0.75">
      <c r="A1560" s="40">
        <v>1558</v>
      </c>
      <c r="B1560" s="27">
        <v>1313.9014915489824</v>
      </c>
      <c r="C1560" s="27">
        <v>1996.9079943955294</v>
      </c>
      <c r="D1560" s="27">
        <v>2851.6927043746255</v>
      </c>
      <c r="E1560" s="27">
        <v>4010.9854141287942</v>
      </c>
      <c r="F1560" s="27">
        <v>5882.1365317642922</v>
      </c>
      <c r="G1560" s="27">
        <v>8108.1465197373473</v>
      </c>
      <c r="H1560" s="27">
        <v>10643.756966521018</v>
      </c>
      <c r="I1560" s="27">
        <v>14896.783075392232</v>
      </c>
      <c r="J1560" s="27">
        <v>23536.445792014885</v>
      </c>
      <c r="K1560" s="27">
        <v>48182.034646985048</v>
      </c>
      <c r="L1560" s="27">
        <v>111173.37660921682</v>
      </c>
      <c r="M1560" s="27">
        <v>232596.16774607956</v>
      </c>
    </row>
    <row r="1561" spans="1:13" x14ac:dyDescent="0.75">
      <c r="A1561" s="40">
        <v>1559</v>
      </c>
      <c r="B1561" s="27">
        <v>626.40732000987919</v>
      </c>
      <c r="C1561" s="27">
        <v>1291.1469038759824</v>
      </c>
      <c r="D1561" s="27">
        <v>2306.7852553366829</v>
      </c>
      <c r="E1561" s="27">
        <v>3486.0810887920234</v>
      </c>
      <c r="F1561" s="27">
        <v>5164.5746083712438</v>
      </c>
      <c r="G1561" s="27">
        <v>7598.313142576837</v>
      </c>
      <c r="H1561" s="27">
        <v>9936.9421056355495</v>
      </c>
      <c r="I1561" s="27">
        <v>13818.070330020535</v>
      </c>
      <c r="J1561" s="27">
        <v>22773.111325983074</v>
      </c>
      <c r="K1561" s="27">
        <v>45804.027597909619</v>
      </c>
      <c r="L1561" s="27">
        <v>105795.21993092408</v>
      </c>
      <c r="M1561" s="27">
        <v>218600.67960943549</v>
      </c>
    </row>
    <row r="1562" spans="1:13" x14ac:dyDescent="0.75">
      <c r="A1562" s="40">
        <v>1560</v>
      </c>
      <c r="B1562" s="27">
        <v>798.00079002321581</v>
      </c>
      <c r="C1562" s="27">
        <v>1252.2226432801108</v>
      </c>
      <c r="D1562" s="27">
        <v>2169.3335997954709</v>
      </c>
      <c r="E1562" s="27">
        <v>3394.5829991776263</v>
      </c>
      <c r="F1562" s="27">
        <v>5479.1889638735738</v>
      </c>
      <c r="G1562" s="27">
        <v>7599.7686790153384</v>
      </c>
      <c r="H1562" s="27">
        <v>9947.6247611659055</v>
      </c>
      <c r="I1562" s="27">
        <v>13808.947237989079</v>
      </c>
      <c r="J1562" s="27">
        <v>23190.543547930938</v>
      </c>
      <c r="K1562" s="27">
        <v>44833.597558337628</v>
      </c>
      <c r="L1562" s="27">
        <v>110522.22925587482</v>
      </c>
      <c r="M1562" s="27">
        <v>222996.0400364637</v>
      </c>
    </row>
    <row r="1563" spans="1:13" x14ac:dyDescent="0.75">
      <c r="A1563" s="40">
        <v>1561</v>
      </c>
      <c r="B1563" s="27">
        <v>1013.978463256004</v>
      </c>
      <c r="C1563" s="27">
        <v>1567.1959674896207</v>
      </c>
      <c r="D1563" s="27">
        <v>2257.0185231310606</v>
      </c>
      <c r="E1563" s="27">
        <v>3390.7728938037326</v>
      </c>
      <c r="F1563" s="27">
        <v>5634.2420743957628</v>
      </c>
      <c r="G1563" s="27">
        <v>7991.3809776575654</v>
      </c>
      <c r="H1563" s="27">
        <v>10564.303013383091</v>
      </c>
      <c r="I1563" s="27">
        <v>14484.286231260819</v>
      </c>
      <c r="J1563" s="27">
        <v>24265.881445400824</v>
      </c>
      <c r="K1563" s="27">
        <v>46433.821353636609</v>
      </c>
      <c r="L1563" s="27">
        <v>115254.38136972967</v>
      </c>
      <c r="M1563" s="27">
        <v>232857.26231314475</v>
      </c>
    </row>
    <row r="1564" spans="1:13" x14ac:dyDescent="0.75">
      <c r="A1564" s="40">
        <v>1562</v>
      </c>
      <c r="B1564" s="27">
        <v>739.99198951102153</v>
      </c>
      <c r="C1564" s="27">
        <v>1294.7814359072945</v>
      </c>
      <c r="D1564" s="27">
        <v>2121.4421371446952</v>
      </c>
      <c r="E1564" s="27">
        <v>2993.1550861338037</v>
      </c>
      <c r="F1564" s="27">
        <v>5542.4952307877829</v>
      </c>
      <c r="G1564" s="27">
        <v>7849.696293166402</v>
      </c>
      <c r="H1564" s="27">
        <v>10636.319318265916</v>
      </c>
      <c r="I1564" s="27">
        <v>14561.028425808589</v>
      </c>
      <c r="J1564" s="27">
        <v>21911.258201937584</v>
      </c>
      <c r="K1564" s="27">
        <v>47198.151426437427</v>
      </c>
      <c r="L1564" s="27">
        <v>104487.35758037801</v>
      </c>
      <c r="M1564" s="27">
        <v>219335.67712547851</v>
      </c>
    </row>
    <row r="1565" spans="1:13" x14ac:dyDescent="0.75">
      <c r="A1565" s="40">
        <v>1563</v>
      </c>
      <c r="B1565" s="27">
        <v>699.11380729870871</v>
      </c>
      <c r="C1565" s="27">
        <v>1384.0414761187712</v>
      </c>
      <c r="D1565" s="27">
        <v>2402.8606263773399</v>
      </c>
      <c r="E1565" s="27">
        <v>3482.3196300554846</v>
      </c>
      <c r="F1565" s="27">
        <v>5602.0258214019414</v>
      </c>
      <c r="G1565" s="27">
        <v>8061.4331626448839</v>
      </c>
      <c r="H1565" s="27">
        <v>10528.905976630616</v>
      </c>
      <c r="I1565" s="27">
        <v>15006.948668110432</v>
      </c>
      <c r="J1565" s="27">
        <v>23907.971648731589</v>
      </c>
      <c r="K1565" s="27">
        <v>47007.915391231712</v>
      </c>
      <c r="L1565" s="27">
        <v>102977.86436681225</v>
      </c>
      <c r="M1565" s="27">
        <v>221061.40057541372</v>
      </c>
    </row>
    <row r="1566" spans="1:13" x14ac:dyDescent="0.75">
      <c r="A1566" s="40">
        <v>1564</v>
      </c>
      <c r="B1566" s="27">
        <v>1445.3320056219527</v>
      </c>
      <c r="C1566" s="27">
        <v>2025.5380555480951</v>
      </c>
      <c r="D1566" s="27">
        <v>3176.2458107836283</v>
      </c>
      <c r="E1566" s="27">
        <v>3741.1426596327365</v>
      </c>
      <c r="F1566" s="27">
        <v>6438.7807026073569</v>
      </c>
      <c r="G1566" s="27">
        <v>9023.7180335948942</v>
      </c>
      <c r="H1566" s="27">
        <v>10809.758378430939</v>
      </c>
      <c r="I1566" s="27">
        <v>14688.065103731235</v>
      </c>
      <c r="J1566" s="27">
        <v>23482.192337178029</v>
      </c>
      <c r="K1566" s="27">
        <v>47451.840835216266</v>
      </c>
      <c r="L1566" s="27">
        <v>112698.06503884628</v>
      </c>
      <c r="M1566" s="27">
        <v>234980.67896119141</v>
      </c>
    </row>
    <row r="1567" spans="1:13" x14ac:dyDescent="0.75">
      <c r="A1567" s="40">
        <v>1565</v>
      </c>
      <c r="B1567" s="27">
        <v>727.40209890136612</v>
      </c>
      <c r="C1567" s="27">
        <v>1120.1788812504819</v>
      </c>
      <c r="D1567" s="27">
        <v>1801.1792085168272</v>
      </c>
      <c r="E1567" s="27">
        <v>2967.3982518543053</v>
      </c>
      <c r="F1567" s="27">
        <v>4749.2029281056602</v>
      </c>
      <c r="G1567" s="27">
        <v>6645.038494980312</v>
      </c>
      <c r="H1567" s="27">
        <v>9230.2463744348206</v>
      </c>
      <c r="I1567" s="27">
        <v>13706.199431439221</v>
      </c>
      <c r="J1567" s="27">
        <v>22305.039910787455</v>
      </c>
      <c r="K1567" s="27">
        <v>45874.34023309451</v>
      </c>
      <c r="L1567" s="27">
        <v>117763.1486091713</v>
      </c>
      <c r="M1567" s="27">
        <v>226889.37442253626</v>
      </c>
    </row>
    <row r="1568" spans="1:13" x14ac:dyDescent="0.75">
      <c r="A1568" s="40">
        <v>1566</v>
      </c>
      <c r="B1568" s="27">
        <v>598.96693695559225</v>
      </c>
      <c r="C1568" s="27">
        <v>1253.7251790050213</v>
      </c>
      <c r="D1568" s="27">
        <v>1874.1490555489581</v>
      </c>
      <c r="E1568" s="27">
        <v>2800.7673803727521</v>
      </c>
      <c r="F1568" s="27">
        <v>4923.0491735685209</v>
      </c>
      <c r="G1568" s="27">
        <v>6924.2060917810595</v>
      </c>
      <c r="H1568" s="27">
        <v>9515.6470963290485</v>
      </c>
      <c r="I1568" s="27">
        <v>14083.918219081897</v>
      </c>
      <c r="J1568" s="27">
        <v>22752.053171838939</v>
      </c>
      <c r="K1568" s="27">
        <v>47257.580276321256</v>
      </c>
      <c r="L1568" s="27">
        <v>117769.23307347953</v>
      </c>
      <c r="M1568" s="27">
        <v>229753.29565428256</v>
      </c>
    </row>
    <row r="1569" spans="1:13" x14ac:dyDescent="0.75">
      <c r="A1569" s="40">
        <v>1567</v>
      </c>
      <c r="B1569" s="27">
        <v>1166.2480580993288</v>
      </c>
      <c r="C1569" s="27">
        <v>1811.5399902140489</v>
      </c>
      <c r="D1569" s="27">
        <v>2834.8452306046383</v>
      </c>
      <c r="E1569" s="27">
        <v>3854.7793994439562</v>
      </c>
      <c r="F1569" s="27">
        <v>5720.2886898364959</v>
      </c>
      <c r="G1569" s="27">
        <v>8264.321744554356</v>
      </c>
      <c r="H1569" s="27">
        <v>10698.076122855608</v>
      </c>
      <c r="I1569" s="27">
        <v>13868.625652229413</v>
      </c>
      <c r="J1569" s="27">
        <v>24076.00193492978</v>
      </c>
      <c r="K1569" s="27">
        <v>48376.501969570207</v>
      </c>
      <c r="L1569" s="27">
        <v>108167.88712868471</v>
      </c>
      <c r="M1569" s="27">
        <v>228839.11592102255</v>
      </c>
    </row>
    <row r="1570" spans="1:13" x14ac:dyDescent="0.75">
      <c r="A1570" s="40">
        <v>1568</v>
      </c>
      <c r="B1570" s="27">
        <v>599.42515825710143</v>
      </c>
      <c r="C1570" s="27">
        <v>891.19916186688351</v>
      </c>
      <c r="D1570" s="27">
        <v>1941.0533937034343</v>
      </c>
      <c r="E1570" s="27">
        <v>3023.7283334627427</v>
      </c>
      <c r="F1570" s="27">
        <v>4760.3469020167249</v>
      </c>
      <c r="G1570" s="27">
        <v>7304.555390836962</v>
      </c>
      <c r="H1570" s="27">
        <v>9721.6270903547411</v>
      </c>
      <c r="I1570" s="27">
        <v>13784.581007602028</v>
      </c>
      <c r="J1570" s="27">
        <v>23932.936479243654</v>
      </c>
      <c r="K1570" s="27">
        <v>47208.214911893665</v>
      </c>
      <c r="L1570" s="27">
        <v>117471.87278964222</v>
      </c>
      <c r="M1570" s="27">
        <v>230639.54061888016</v>
      </c>
    </row>
    <row r="1571" spans="1:13" x14ac:dyDescent="0.75">
      <c r="A1571" s="40">
        <v>1569</v>
      </c>
      <c r="B1571" s="27">
        <v>1117.2752619651146</v>
      </c>
      <c r="C1571" s="27">
        <v>1333.0078927274153</v>
      </c>
      <c r="D1571" s="27">
        <v>2355.0222829071863</v>
      </c>
      <c r="E1571" s="27">
        <v>3418.0214569554228</v>
      </c>
      <c r="F1571" s="27">
        <v>5519.2706128578866</v>
      </c>
      <c r="G1571" s="27">
        <v>7682.9959782982187</v>
      </c>
      <c r="H1571" s="27">
        <v>10925.688660662679</v>
      </c>
      <c r="I1571" s="27">
        <v>14732.671935336839</v>
      </c>
      <c r="J1571" s="27">
        <v>21437.384324388142</v>
      </c>
      <c r="K1571" s="27">
        <v>45525.698604928359</v>
      </c>
      <c r="L1571" s="27">
        <v>109085.68190943947</v>
      </c>
      <c r="M1571" s="27">
        <v>223132.71892046672</v>
      </c>
    </row>
    <row r="1572" spans="1:13" x14ac:dyDescent="0.75">
      <c r="A1572" s="40">
        <v>1570</v>
      </c>
      <c r="B1572" s="27">
        <v>1500.7817372383142</v>
      </c>
      <c r="C1572" s="27">
        <v>2329.3469327638304</v>
      </c>
      <c r="D1572" s="27">
        <v>3365.5084441475483</v>
      </c>
      <c r="E1572" s="27">
        <v>4139.9868138103193</v>
      </c>
      <c r="F1572" s="27">
        <v>6532.975460441201</v>
      </c>
      <c r="G1572" s="27">
        <v>8763.9519003916939</v>
      </c>
      <c r="H1572" s="27">
        <v>11343.764580855292</v>
      </c>
      <c r="I1572" s="27">
        <v>16178.080270562627</v>
      </c>
      <c r="J1572" s="27">
        <v>24162.820941478582</v>
      </c>
      <c r="K1572" s="27">
        <v>46923.398502924552</v>
      </c>
      <c r="L1572" s="27">
        <v>117751.24384077569</v>
      </c>
      <c r="M1572" s="27">
        <v>242991.85942538964</v>
      </c>
    </row>
    <row r="1573" spans="1:13" x14ac:dyDescent="0.75">
      <c r="A1573" s="40">
        <v>1571</v>
      </c>
      <c r="B1573" s="27">
        <v>924.03025021942449</v>
      </c>
      <c r="C1573" s="27">
        <v>1491.3517231454607</v>
      </c>
      <c r="D1573" s="27">
        <v>2491.3195845877344</v>
      </c>
      <c r="E1573" s="27">
        <v>3656.1750976404583</v>
      </c>
      <c r="F1573" s="27">
        <v>5388.3621756810753</v>
      </c>
      <c r="G1573" s="27">
        <v>7611.5325419682777</v>
      </c>
      <c r="H1573" s="27">
        <v>10673.277813349385</v>
      </c>
      <c r="I1573" s="27">
        <v>15089.926256888968</v>
      </c>
      <c r="J1573" s="27">
        <v>22830.655856097757</v>
      </c>
      <c r="K1573" s="27">
        <v>47382.24146521691</v>
      </c>
      <c r="L1573" s="27">
        <v>102026.46149206578</v>
      </c>
      <c r="M1573" s="27">
        <v>219565.33425686124</v>
      </c>
    </row>
    <row r="1574" spans="1:13" x14ac:dyDescent="0.75">
      <c r="A1574" s="40">
        <v>1572</v>
      </c>
      <c r="B1574" s="27">
        <v>946.65314484179544</v>
      </c>
      <c r="C1574" s="27">
        <v>1334.1553604968358</v>
      </c>
      <c r="D1574" s="27">
        <v>2070.5107522956387</v>
      </c>
      <c r="E1574" s="27">
        <v>3194.3360751136061</v>
      </c>
      <c r="F1574" s="27">
        <v>5033.0334619967616</v>
      </c>
      <c r="G1574" s="27">
        <v>7143.8109991771635</v>
      </c>
      <c r="H1574" s="27">
        <v>9981.1905994863628</v>
      </c>
      <c r="I1574" s="27">
        <v>13908.122989538271</v>
      </c>
      <c r="J1574" s="27">
        <v>23122.877834292041</v>
      </c>
      <c r="K1574" s="27">
        <v>47886.249513565897</v>
      </c>
      <c r="L1574" s="27">
        <v>108813.430834042</v>
      </c>
      <c r="M1574" s="27">
        <v>223434.37156484637</v>
      </c>
    </row>
    <row r="1575" spans="1:13" x14ac:dyDescent="0.75">
      <c r="A1575" s="40">
        <v>1573</v>
      </c>
      <c r="B1575" s="27">
        <v>731.41390032639902</v>
      </c>
      <c r="C1575" s="27">
        <v>1403.7714022064174</v>
      </c>
      <c r="D1575" s="27">
        <v>2002.5947234093765</v>
      </c>
      <c r="E1575" s="27">
        <v>2858.3364063311892</v>
      </c>
      <c r="F1575" s="27">
        <v>5053.0864303436538</v>
      </c>
      <c r="G1575" s="27">
        <v>7896.3792614481354</v>
      </c>
      <c r="H1575" s="27">
        <v>10192.30295454897</v>
      </c>
      <c r="I1575" s="27">
        <v>14259.59430426285</v>
      </c>
      <c r="J1575" s="27">
        <v>22748.639905166841</v>
      </c>
      <c r="K1575" s="27">
        <v>45918.414532997573</v>
      </c>
      <c r="L1575" s="27">
        <v>113393.95153390715</v>
      </c>
      <c r="M1575" s="27">
        <v>226458.48535494856</v>
      </c>
    </row>
    <row r="1576" spans="1:13" x14ac:dyDescent="0.75">
      <c r="A1576" s="40">
        <v>1574</v>
      </c>
      <c r="B1576" s="27">
        <v>742.51747502543731</v>
      </c>
      <c r="C1576" s="27">
        <v>1452.6891442767374</v>
      </c>
      <c r="D1576" s="27">
        <v>2478.0131054030498</v>
      </c>
      <c r="E1576" s="27">
        <v>3891.587848568568</v>
      </c>
      <c r="F1576" s="27">
        <v>5629.7675051147671</v>
      </c>
      <c r="G1576" s="27">
        <v>8624.0857456133817</v>
      </c>
      <c r="H1576" s="27">
        <v>11291.562136394787</v>
      </c>
      <c r="I1576" s="27">
        <v>14322.727729830352</v>
      </c>
      <c r="J1576" s="27">
        <v>25100.626621854084</v>
      </c>
      <c r="K1576" s="27">
        <v>48355.704767872812</v>
      </c>
      <c r="L1576" s="27">
        <v>114831.60585284187</v>
      </c>
      <c r="M1576" s="27">
        <v>236720.88793279586</v>
      </c>
    </row>
    <row r="1577" spans="1:13" x14ac:dyDescent="0.75">
      <c r="A1577" s="40">
        <v>1575</v>
      </c>
      <c r="B1577" s="27">
        <v>292.7877321588312</v>
      </c>
      <c r="C1577" s="27">
        <v>571.34099040929868</v>
      </c>
      <c r="D1577" s="27">
        <v>1270.2902776629344</v>
      </c>
      <c r="E1577" s="27">
        <v>2283.0967059706891</v>
      </c>
      <c r="F1577" s="27">
        <v>4617.852010188828</v>
      </c>
      <c r="G1577" s="27">
        <v>6869.5782594431075</v>
      </c>
      <c r="H1577" s="27">
        <v>9919.7960195575433</v>
      </c>
      <c r="I1577" s="27">
        <v>13926.661852500692</v>
      </c>
      <c r="J1577" s="27">
        <v>21772.612151205583</v>
      </c>
      <c r="K1577" s="27">
        <v>47181.457433561562</v>
      </c>
      <c r="L1577" s="27">
        <v>118652.64774700493</v>
      </c>
      <c r="M1577" s="27">
        <v>227358.12117966398</v>
      </c>
    </row>
    <row r="1578" spans="1:13" x14ac:dyDescent="0.75">
      <c r="A1578" s="40">
        <v>1576</v>
      </c>
      <c r="B1578" s="27">
        <v>746.2799717848975</v>
      </c>
      <c r="C1578" s="27">
        <v>1152.1505325816252</v>
      </c>
      <c r="D1578" s="27">
        <v>2043.1125244348805</v>
      </c>
      <c r="E1578" s="27">
        <v>2922.4350323408144</v>
      </c>
      <c r="F1578" s="27">
        <v>4745.6402991315699</v>
      </c>
      <c r="G1578" s="27">
        <v>7080.9034687169769</v>
      </c>
      <c r="H1578" s="27">
        <v>9346.7496070573543</v>
      </c>
      <c r="I1578" s="27">
        <v>13275.863381440155</v>
      </c>
      <c r="J1578" s="27">
        <v>21868.991987205998</v>
      </c>
      <c r="K1578" s="27">
        <v>47432.990511553769</v>
      </c>
      <c r="L1578" s="27">
        <v>115330.98526617509</v>
      </c>
      <c r="M1578" s="27">
        <v>225946.10258242313</v>
      </c>
    </row>
    <row r="1579" spans="1:13" x14ac:dyDescent="0.75">
      <c r="A1579" s="40">
        <v>1577</v>
      </c>
      <c r="B1579" s="27">
        <v>806.91854672730551</v>
      </c>
      <c r="C1579" s="27">
        <v>1606.7930702781741</v>
      </c>
      <c r="D1579" s="27">
        <v>2568.2225273320073</v>
      </c>
      <c r="E1579" s="27">
        <v>3737.6267146517785</v>
      </c>
      <c r="F1579" s="27">
        <v>5481.7200829363137</v>
      </c>
      <c r="G1579" s="27">
        <v>7733.8963532890193</v>
      </c>
      <c r="H1579" s="27">
        <v>10280.336154950201</v>
      </c>
      <c r="I1579" s="27">
        <v>14755.369190702957</v>
      </c>
      <c r="J1579" s="27">
        <v>23346.154527680512</v>
      </c>
      <c r="K1579" s="27">
        <v>47537.200343466058</v>
      </c>
      <c r="L1579" s="27">
        <v>123293.19798249374</v>
      </c>
      <c r="M1579" s="27">
        <v>241147.43549450807</v>
      </c>
    </row>
    <row r="1580" spans="1:13" x14ac:dyDescent="0.75">
      <c r="A1580" s="40">
        <v>1578</v>
      </c>
      <c r="B1580" s="27">
        <v>716.8035195791017</v>
      </c>
      <c r="C1580" s="27">
        <v>1286.578069901705</v>
      </c>
      <c r="D1580" s="27">
        <v>2247.0949832074111</v>
      </c>
      <c r="E1580" s="27">
        <v>3120.99004150361</v>
      </c>
      <c r="F1580" s="27">
        <v>5400.7510045068047</v>
      </c>
      <c r="G1580" s="27">
        <v>7354.5897705499083</v>
      </c>
      <c r="H1580" s="27">
        <v>10032.416574218267</v>
      </c>
      <c r="I1580" s="27">
        <v>14455.135962861081</v>
      </c>
      <c r="J1580" s="27">
        <v>22381.167794650173</v>
      </c>
      <c r="K1580" s="27">
        <v>45865.958268516872</v>
      </c>
      <c r="L1580" s="27">
        <v>113217.23172430573</v>
      </c>
      <c r="M1580" s="27">
        <v>226078.71771380067</v>
      </c>
    </row>
    <row r="1581" spans="1:13" x14ac:dyDescent="0.75">
      <c r="A1581" s="40">
        <v>1579</v>
      </c>
      <c r="B1581" s="27">
        <v>757.27092033204099</v>
      </c>
      <c r="C1581" s="27">
        <v>981.29168103085249</v>
      </c>
      <c r="D1581" s="27">
        <v>1889.0826523722935</v>
      </c>
      <c r="E1581" s="27">
        <v>3063.9348891246336</v>
      </c>
      <c r="F1581" s="27">
        <v>4487.095872910606</v>
      </c>
      <c r="G1581" s="27">
        <v>6853.7048592938809</v>
      </c>
      <c r="H1581" s="27">
        <v>9894.1105236395379</v>
      </c>
      <c r="I1581" s="27">
        <v>14001.863246228269</v>
      </c>
      <c r="J1581" s="27">
        <v>22113.710598342441</v>
      </c>
      <c r="K1581" s="27">
        <v>44130.610866964998</v>
      </c>
      <c r="L1581" s="27">
        <v>109797.53731107066</v>
      </c>
      <c r="M1581" s="27">
        <v>217970.21342131021</v>
      </c>
    </row>
    <row r="1582" spans="1:13" x14ac:dyDescent="0.75">
      <c r="A1582" s="40">
        <v>1580</v>
      </c>
      <c r="B1582" s="27">
        <v>631.77135284263932</v>
      </c>
      <c r="C1582" s="27">
        <v>1114.4802769362432</v>
      </c>
      <c r="D1582" s="27">
        <v>2186.630815704717</v>
      </c>
      <c r="E1582" s="27">
        <v>3076.2829657127004</v>
      </c>
      <c r="F1582" s="27">
        <v>5096.6138419051713</v>
      </c>
      <c r="G1582" s="27">
        <v>7516.4378539479221</v>
      </c>
      <c r="H1582" s="27">
        <v>10147.052670788922</v>
      </c>
      <c r="I1582" s="27">
        <v>14117.557929556569</v>
      </c>
      <c r="J1582" s="27">
        <v>23503.986676739005</v>
      </c>
      <c r="K1582" s="27">
        <v>46268.577970297192</v>
      </c>
      <c r="L1582" s="27">
        <v>116292.98708482303</v>
      </c>
      <c r="M1582" s="27">
        <v>229952.37943925412</v>
      </c>
    </row>
    <row r="1583" spans="1:13" x14ac:dyDescent="0.75">
      <c r="A1583" s="40">
        <v>1581</v>
      </c>
      <c r="B1583" s="27">
        <v>799.95280495460611</v>
      </c>
      <c r="C1583" s="27">
        <v>1387.9752099734324</v>
      </c>
      <c r="D1583" s="27">
        <v>2467.7542691669078</v>
      </c>
      <c r="E1583" s="27">
        <v>3455.9848364790669</v>
      </c>
      <c r="F1583" s="27">
        <v>5507.343833722116</v>
      </c>
      <c r="G1583" s="27">
        <v>8533.1968120519887</v>
      </c>
      <c r="H1583" s="27">
        <v>10850.485118804267</v>
      </c>
      <c r="I1583" s="27">
        <v>15416.239460590194</v>
      </c>
      <c r="J1583" s="27">
        <v>24044.701224589691</v>
      </c>
      <c r="K1583" s="27">
        <v>46598.103688037358</v>
      </c>
      <c r="L1583" s="27">
        <v>109679.05917599774</v>
      </c>
      <c r="M1583" s="27">
        <v>228740.79643436737</v>
      </c>
    </row>
    <row r="1584" spans="1:13" x14ac:dyDescent="0.75">
      <c r="A1584" s="40">
        <v>1582</v>
      </c>
      <c r="B1584" s="27">
        <v>512.6448905634752</v>
      </c>
      <c r="C1584" s="27">
        <v>949.96420519646199</v>
      </c>
      <c r="D1584" s="27">
        <v>1946.9171347320225</v>
      </c>
      <c r="E1584" s="27">
        <v>2876.3048164739157</v>
      </c>
      <c r="F1584" s="27">
        <v>5055.9502343252243</v>
      </c>
      <c r="G1584" s="27">
        <v>7571.5173831858556</v>
      </c>
      <c r="H1584" s="27">
        <v>10318.129956957739</v>
      </c>
      <c r="I1584" s="27">
        <v>14983.276207381306</v>
      </c>
      <c r="J1584" s="27">
        <v>22710.148265171534</v>
      </c>
      <c r="K1584" s="27">
        <v>42968.974124793574</v>
      </c>
      <c r="L1584" s="27">
        <v>116924.4314720539</v>
      </c>
      <c r="M1584" s="27">
        <v>226818.25869083501</v>
      </c>
    </row>
    <row r="1585" spans="1:13" x14ac:dyDescent="0.75">
      <c r="A1585" s="40">
        <v>1583</v>
      </c>
      <c r="B1585" s="27">
        <v>1293.7211083301227</v>
      </c>
      <c r="C1585" s="27">
        <v>1816.8424443691765</v>
      </c>
      <c r="D1585" s="27">
        <v>2742.9975098341674</v>
      </c>
      <c r="E1585" s="27">
        <v>3825.6389542975521</v>
      </c>
      <c r="F1585" s="27">
        <v>5501.2704343270743</v>
      </c>
      <c r="G1585" s="27">
        <v>8228.0672286435147</v>
      </c>
      <c r="H1585" s="27">
        <v>11792.258441644226</v>
      </c>
      <c r="I1585" s="27">
        <v>15241.564053989976</v>
      </c>
      <c r="J1585" s="27">
        <v>24971.194864175864</v>
      </c>
      <c r="K1585" s="27">
        <v>46522.030256295722</v>
      </c>
      <c r="L1585" s="27">
        <v>113782.61777631321</v>
      </c>
      <c r="M1585" s="27">
        <v>235718.20307222061</v>
      </c>
    </row>
    <row r="1586" spans="1:13" x14ac:dyDescent="0.75">
      <c r="A1586" s="40">
        <v>1584</v>
      </c>
      <c r="B1586" s="27">
        <v>618.95058869708737</v>
      </c>
      <c r="C1586" s="27">
        <v>999.8312497894658</v>
      </c>
      <c r="D1586" s="27">
        <v>1922.093644057968</v>
      </c>
      <c r="E1586" s="27">
        <v>3126.8734939285059</v>
      </c>
      <c r="F1586" s="27">
        <v>5263.5070859248517</v>
      </c>
      <c r="G1586" s="27">
        <v>7572.9581237818929</v>
      </c>
      <c r="H1586" s="27">
        <v>10514.953776869137</v>
      </c>
      <c r="I1586" s="27">
        <v>14799.94737935868</v>
      </c>
      <c r="J1586" s="27">
        <v>23949.616163536266</v>
      </c>
      <c r="K1586" s="27">
        <v>47658.169666299334</v>
      </c>
      <c r="L1586" s="27">
        <v>113538.22307019688</v>
      </c>
      <c r="M1586" s="27">
        <v>229965.12424244007</v>
      </c>
    </row>
    <row r="1587" spans="1:13" x14ac:dyDescent="0.75">
      <c r="A1587" s="40">
        <v>1585</v>
      </c>
      <c r="B1587" s="27">
        <v>1140.8696601471602</v>
      </c>
      <c r="C1587" s="27">
        <v>1447.5558665229182</v>
      </c>
      <c r="D1587" s="27">
        <v>2206.273690765549</v>
      </c>
      <c r="E1587" s="27">
        <v>3479.1191804626287</v>
      </c>
      <c r="F1587" s="27">
        <v>5236.0614542158</v>
      </c>
      <c r="G1587" s="27">
        <v>7412.2807788263308</v>
      </c>
      <c r="H1587" s="27">
        <v>10417.690190907277</v>
      </c>
      <c r="I1587" s="27">
        <v>14009.406512850328</v>
      </c>
      <c r="J1587" s="27">
        <v>22529.869440695198</v>
      </c>
      <c r="K1587" s="27">
        <v>45855.055046344729</v>
      </c>
      <c r="L1587" s="27">
        <v>118977.87756947595</v>
      </c>
      <c r="M1587" s="27">
        <v>232712.05939121387</v>
      </c>
    </row>
    <row r="1588" spans="1:13" x14ac:dyDescent="0.75">
      <c r="A1588" s="40">
        <v>1586</v>
      </c>
      <c r="B1588" s="27">
        <v>419.84850650771114</v>
      </c>
      <c r="C1588" s="27">
        <v>1064.1189698343369</v>
      </c>
      <c r="D1588" s="27">
        <v>1845.0378664124146</v>
      </c>
      <c r="E1588" s="27">
        <v>3231.5667114728421</v>
      </c>
      <c r="F1588" s="27">
        <v>5434.4700929046958</v>
      </c>
      <c r="G1588" s="27">
        <v>7451.6865760537621</v>
      </c>
      <c r="H1588" s="27">
        <v>10111.218170354899</v>
      </c>
      <c r="I1588" s="27">
        <v>14291.585929267283</v>
      </c>
      <c r="J1588" s="27">
        <v>22200.304853908165</v>
      </c>
      <c r="K1588" s="27">
        <v>45786.314494984603</v>
      </c>
      <c r="L1588" s="27">
        <v>100111.58869758202</v>
      </c>
      <c r="M1588" s="27">
        <v>211947.74086928274</v>
      </c>
    </row>
    <row r="1589" spans="1:13" x14ac:dyDescent="0.75">
      <c r="A1589" s="40">
        <v>1587</v>
      </c>
      <c r="B1589" s="27">
        <v>475.36646439397009</v>
      </c>
      <c r="C1589" s="27">
        <v>1001.7545258438331</v>
      </c>
      <c r="D1589" s="27">
        <v>2020.5899185597082</v>
      </c>
      <c r="E1589" s="27">
        <v>2983.8172570015158</v>
      </c>
      <c r="F1589" s="27">
        <v>5275.7521510273073</v>
      </c>
      <c r="G1589" s="27">
        <v>7496.912443987705</v>
      </c>
      <c r="H1589" s="27">
        <v>10642.44156236382</v>
      </c>
      <c r="I1589" s="27">
        <v>15065.866223655059</v>
      </c>
      <c r="J1589" s="27">
        <v>24709.116685342378</v>
      </c>
      <c r="K1589" s="27">
        <v>48118.753058432092</v>
      </c>
      <c r="L1589" s="27">
        <v>113905.517905065</v>
      </c>
      <c r="M1589" s="27">
        <v>231695.88819567239</v>
      </c>
    </row>
    <row r="1590" spans="1:13" x14ac:dyDescent="0.75">
      <c r="A1590" s="40">
        <v>1588</v>
      </c>
      <c r="B1590" s="27">
        <v>1149.0562199439446</v>
      </c>
      <c r="C1590" s="27">
        <v>1807.6984442075045</v>
      </c>
      <c r="D1590" s="27">
        <v>2765.0483260610345</v>
      </c>
      <c r="E1590" s="27">
        <v>4084.260379808853</v>
      </c>
      <c r="F1590" s="27">
        <v>6167.5013285033929</v>
      </c>
      <c r="G1590" s="27">
        <v>8138.5197769806546</v>
      </c>
      <c r="H1590" s="27">
        <v>11095.684565724718</v>
      </c>
      <c r="I1590" s="27">
        <v>15095.693159971284</v>
      </c>
      <c r="J1590" s="27">
        <v>22327.339668056185</v>
      </c>
      <c r="K1590" s="27">
        <v>47152.002194462577</v>
      </c>
      <c r="L1590" s="27">
        <v>110195.5639544056</v>
      </c>
      <c r="M1590" s="27">
        <v>229978.36801812577</v>
      </c>
    </row>
    <row r="1591" spans="1:13" x14ac:dyDescent="0.75">
      <c r="A1591" s="40">
        <v>1589</v>
      </c>
      <c r="B1591" s="27">
        <v>874.15118304971838</v>
      </c>
      <c r="C1591" s="27">
        <v>1329.1894448009989</v>
      </c>
      <c r="D1591" s="27">
        <v>2511.684962417261</v>
      </c>
      <c r="E1591" s="27">
        <v>3759.6635749741108</v>
      </c>
      <c r="F1591" s="27">
        <v>6140.0569691615819</v>
      </c>
      <c r="G1591" s="27">
        <v>7897.983380029822</v>
      </c>
      <c r="H1591" s="27">
        <v>10590.423301326708</v>
      </c>
      <c r="I1591" s="27">
        <v>14128.901118588372</v>
      </c>
      <c r="J1591" s="27">
        <v>23538.696293993111</v>
      </c>
      <c r="K1591" s="27">
        <v>46958.322490141174</v>
      </c>
      <c r="L1591" s="27">
        <v>105932.14724561737</v>
      </c>
      <c r="M1591" s="27">
        <v>223661.21996410022</v>
      </c>
    </row>
    <row r="1592" spans="1:13" x14ac:dyDescent="0.75">
      <c r="A1592" s="40">
        <v>1590</v>
      </c>
      <c r="B1592" s="27">
        <v>1170.807146058447</v>
      </c>
      <c r="C1592" s="27">
        <v>1759.7648725717445</v>
      </c>
      <c r="D1592" s="27">
        <v>2608.0175026485085</v>
      </c>
      <c r="E1592" s="27">
        <v>3758.8534337277961</v>
      </c>
      <c r="F1592" s="27">
        <v>6054.4080202169716</v>
      </c>
      <c r="G1592" s="27">
        <v>8247.0121193898958</v>
      </c>
      <c r="H1592" s="27">
        <v>10576.191098034775</v>
      </c>
      <c r="I1592" s="27">
        <v>15483.65990514915</v>
      </c>
      <c r="J1592" s="27">
        <v>23393.023198045368</v>
      </c>
      <c r="K1592" s="27">
        <v>46008.834430805815</v>
      </c>
      <c r="L1592" s="27">
        <v>111860.31077699659</v>
      </c>
      <c r="M1592" s="27">
        <v>230920.88250364506</v>
      </c>
    </row>
    <row r="1593" spans="1:13" x14ac:dyDescent="0.75">
      <c r="A1593" s="40">
        <v>1591</v>
      </c>
      <c r="B1593" s="27">
        <v>1215.3448823663348</v>
      </c>
      <c r="C1593" s="27">
        <v>1581.8315120169136</v>
      </c>
      <c r="D1593" s="27">
        <v>2628.5211662023648</v>
      </c>
      <c r="E1593" s="27">
        <v>3864.5574053062446</v>
      </c>
      <c r="F1593" s="27">
        <v>5823.5193452951498</v>
      </c>
      <c r="G1593" s="27">
        <v>8495.1979575031146</v>
      </c>
      <c r="H1593" s="27">
        <v>10725.278845399836</v>
      </c>
      <c r="I1593" s="27">
        <v>15208.34192189094</v>
      </c>
      <c r="J1593" s="27">
        <v>23991.869950864595</v>
      </c>
      <c r="K1593" s="27">
        <v>48120.995870792132</v>
      </c>
      <c r="L1593" s="27">
        <v>109085.13017886679</v>
      </c>
      <c r="M1593" s="27">
        <v>230740.58903650442</v>
      </c>
    </row>
    <row r="1594" spans="1:13" x14ac:dyDescent="0.75">
      <c r="A1594" s="40">
        <v>1592</v>
      </c>
      <c r="B1594" s="27">
        <v>639.01213481088053</v>
      </c>
      <c r="C1594" s="27">
        <v>909.31038597306178</v>
      </c>
      <c r="D1594" s="27">
        <v>1807.3485045971902</v>
      </c>
      <c r="E1594" s="27">
        <v>2841.1196434278681</v>
      </c>
      <c r="F1594" s="27">
        <v>4681.3688527476043</v>
      </c>
      <c r="G1594" s="27">
        <v>6586.8360886328737</v>
      </c>
      <c r="H1594" s="27">
        <v>9415.3856306503149</v>
      </c>
      <c r="I1594" s="27">
        <v>12929.58915619753</v>
      </c>
      <c r="J1594" s="27">
        <v>21980.728268494946</v>
      </c>
      <c r="K1594" s="27">
        <v>46607.702959219372</v>
      </c>
      <c r="L1594" s="27">
        <v>115704.41053803063</v>
      </c>
      <c r="M1594" s="27">
        <v>224102.81216278227</v>
      </c>
    </row>
    <row r="1595" spans="1:13" x14ac:dyDescent="0.75">
      <c r="A1595" s="40">
        <v>1593</v>
      </c>
      <c r="B1595" s="27">
        <v>748.18053541025438</v>
      </c>
      <c r="C1595" s="27">
        <v>1257.0357426156697</v>
      </c>
      <c r="D1595" s="27">
        <v>2260.0219183476438</v>
      </c>
      <c r="E1595" s="27">
        <v>3443.3552785665961</v>
      </c>
      <c r="F1595" s="27">
        <v>5380.274380597577</v>
      </c>
      <c r="G1595" s="27">
        <v>8385.4237032715173</v>
      </c>
      <c r="H1595" s="27">
        <v>10568.512478267949</v>
      </c>
      <c r="I1595" s="27">
        <v>13694.131560753245</v>
      </c>
      <c r="J1595" s="27">
        <v>23713.528031261143</v>
      </c>
      <c r="K1595" s="27">
        <v>47347.568967727755</v>
      </c>
      <c r="L1595" s="27">
        <v>110701.14974392217</v>
      </c>
      <c r="M1595" s="27">
        <v>227499.18234074151</v>
      </c>
    </row>
    <row r="1596" spans="1:13" x14ac:dyDescent="0.75">
      <c r="A1596" s="40">
        <v>1594</v>
      </c>
      <c r="B1596" s="27">
        <v>266.43064283368585</v>
      </c>
      <c r="C1596" s="27">
        <v>706.16112154092116</v>
      </c>
      <c r="D1596" s="27">
        <v>1594.8484561583755</v>
      </c>
      <c r="E1596" s="27">
        <v>2820.250612209973</v>
      </c>
      <c r="F1596" s="27">
        <v>4738.5483713517606</v>
      </c>
      <c r="G1596" s="27">
        <v>6799.4811858427711</v>
      </c>
      <c r="H1596" s="27">
        <v>9916.0400850621518</v>
      </c>
      <c r="I1596" s="27">
        <v>13968.840121639791</v>
      </c>
      <c r="J1596" s="27">
        <v>21573.161848362855</v>
      </c>
      <c r="K1596" s="27">
        <v>46008.210127743121</v>
      </c>
      <c r="L1596" s="27">
        <v>116347.25910686342</v>
      </c>
      <c r="M1596" s="27">
        <v>224739.23167960881</v>
      </c>
    </row>
    <row r="1597" spans="1:13" x14ac:dyDescent="0.75">
      <c r="A1597" s="40">
        <v>1595</v>
      </c>
      <c r="B1597" s="27">
        <v>1173.6558442516689</v>
      </c>
      <c r="C1597" s="27">
        <v>1631.062764760296</v>
      </c>
      <c r="D1597" s="27">
        <v>2693.0770626473241</v>
      </c>
      <c r="E1597" s="27">
        <v>3715.1418429568294</v>
      </c>
      <c r="F1597" s="27">
        <v>5667.1068725720106</v>
      </c>
      <c r="G1597" s="27">
        <v>7915.7056165494432</v>
      </c>
      <c r="H1597" s="27">
        <v>10873.781603782088</v>
      </c>
      <c r="I1597" s="27">
        <v>14351.703694134922</v>
      </c>
      <c r="J1597" s="27">
        <v>22656.950966130084</v>
      </c>
      <c r="K1597" s="27">
        <v>45018.939477413383</v>
      </c>
      <c r="L1597" s="27">
        <v>115384.62448780258</v>
      </c>
      <c r="M1597" s="27">
        <v>231081.75023300061</v>
      </c>
    </row>
    <row r="1598" spans="1:13" x14ac:dyDescent="0.75">
      <c r="A1598" s="40">
        <v>1596</v>
      </c>
      <c r="B1598" s="27">
        <v>1090.6376620779483</v>
      </c>
      <c r="C1598" s="27">
        <v>1683.7928044176369</v>
      </c>
      <c r="D1598" s="27">
        <v>3017.9392989995249</v>
      </c>
      <c r="E1598" s="27">
        <v>3897.9326362381398</v>
      </c>
      <c r="F1598" s="27">
        <v>5635.6574729493004</v>
      </c>
      <c r="G1598" s="27">
        <v>7406.2823254040559</v>
      </c>
      <c r="H1598" s="27">
        <v>10491.380605639846</v>
      </c>
      <c r="I1598" s="27">
        <v>13948.611958697715</v>
      </c>
      <c r="J1598" s="27">
        <v>22343.468632724558</v>
      </c>
      <c r="K1598" s="27">
        <v>46006.374885965051</v>
      </c>
      <c r="L1598" s="27">
        <v>105989.02274810505</v>
      </c>
      <c r="M1598" s="27">
        <v>221511.10103121883</v>
      </c>
    </row>
    <row r="1599" spans="1:13" x14ac:dyDescent="0.75">
      <c r="A1599" s="40">
        <v>1597</v>
      </c>
      <c r="B1599" s="27">
        <v>815.51578845141921</v>
      </c>
      <c r="C1599" s="27">
        <v>1414.9683140362031</v>
      </c>
      <c r="D1599" s="27">
        <v>2116.8196777035482</v>
      </c>
      <c r="E1599" s="27">
        <v>2977.9750466568221</v>
      </c>
      <c r="F1599" s="27">
        <v>4848.8605188303336</v>
      </c>
      <c r="G1599" s="27">
        <v>6945.5066310712427</v>
      </c>
      <c r="H1599" s="27">
        <v>9709.6186118589394</v>
      </c>
      <c r="I1599" s="27">
        <v>13865.035841992794</v>
      </c>
      <c r="J1599" s="27">
        <v>24372.381692416384</v>
      </c>
      <c r="K1599" s="27">
        <v>47860.140593133838</v>
      </c>
      <c r="L1599" s="27">
        <v>116260.43929794081</v>
      </c>
      <c r="M1599" s="27">
        <v>231187.26201409235</v>
      </c>
    </row>
    <row r="1600" spans="1:13" x14ac:dyDescent="0.75">
      <c r="A1600" s="40">
        <v>1598</v>
      </c>
      <c r="B1600" s="27">
        <v>1131.4042600350804</v>
      </c>
      <c r="C1600" s="27">
        <v>1678.028294461008</v>
      </c>
      <c r="D1600" s="27">
        <v>2517.9116084238922</v>
      </c>
      <c r="E1600" s="27">
        <v>3793.4400065005757</v>
      </c>
      <c r="F1600" s="27">
        <v>5671.9164026652579</v>
      </c>
      <c r="G1600" s="27">
        <v>8570.7908043882926</v>
      </c>
      <c r="H1600" s="27">
        <v>11044.352726430399</v>
      </c>
      <c r="I1600" s="27">
        <v>14458.611523570362</v>
      </c>
      <c r="J1600" s="27">
        <v>22521.380693092462</v>
      </c>
      <c r="K1600" s="27">
        <v>46091.905509831122</v>
      </c>
      <c r="L1600" s="27">
        <v>114312.16348839161</v>
      </c>
      <c r="M1600" s="27">
        <v>231791.90531779005</v>
      </c>
    </row>
    <row r="1601" spans="1:13" x14ac:dyDescent="0.75">
      <c r="A1601" s="40">
        <v>1599</v>
      </c>
      <c r="B1601" s="27">
        <v>788.40137713670265</v>
      </c>
      <c r="C1601" s="27">
        <v>1225.6761929959466</v>
      </c>
      <c r="D1601" s="27">
        <v>1885.3014050268539</v>
      </c>
      <c r="E1601" s="27">
        <v>3201.0412471342133</v>
      </c>
      <c r="F1601" s="27">
        <v>5154.2430546566902</v>
      </c>
      <c r="G1601" s="27">
        <v>8059.6073621780961</v>
      </c>
      <c r="H1601" s="27">
        <v>10749.603637483669</v>
      </c>
      <c r="I1601" s="27">
        <v>14141.806650832994</v>
      </c>
      <c r="J1601" s="27">
        <v>23136.891077363136</v>
      </c>
      <c r="K1601" s="27">
        <v>45504.144051532698</v>
      </c>
      <c r="L1601" s="27">
        <v>107930.43750370214</v>
      </c>
      <c r="M1601" s="27">
        <v>221777.15356004314</v>
      </c>
    </row>
    <row r="1602" spans="1:13" x14ac:dyDescent="0.75">
      <c r="A1602" s="40">
        <v>1600</v>
      </c>
      <c r="B1602" s="27">
        <v>1211.1637662871799</v>
      </c>
      <c r="C1602" s="27">
        <v>1414.179003050318</v>
      </c>
      <c r="D1602" s="27">
        <v>2387.3273500490614</v>
      </c>
      <c r="E1602" s="27">
        <v>3640.8958928817738</v>
      </c>
      <c r="F1602" s="27">
        <v>5176.9110348619433</v>
      </c>
      <c r="G1602" s="27">
        <v>7950.9679812357354</v>
      </c>
      <c r="H1602" s="27">
        <v>11102.891202690196</v>
      </c>
      <c r="I1602" s="27">
        <v>15012.371482155795</v>
      </c>
      <c r="J1602" s="27">
        <v>25139.585799172535</v>
      </c>
      <c r="K1602" s="27">
        <v>47800.170906140731</v>
      </c>
      <c r="L1602" s="27">
        <v>117034.41527302904</v>
      </c>
      <c r="M1602" s="27">
        <v>237870.87969155429</v>
      </c>
    </row>
    <row r="1603" spans="1:13" x14ac:dyDescent="0.75">
      <c r="A1603" s="40">
        <v>1601</v>
      </c>
      <c r="B1603" s="27">
        <v>531.92825105362863</v>
      </c>
      <c r="C1603" s="27">
        <v>1139.1886073587229</v>
      </c>
      <c r="D1603" s="27">
        <v>2054.2929207793932</v>
      </c>
      <c r="E1603" s="27">
        <v>3084.1121993364359</v>
      </c>
      <c r="F1603" s="27">
        <v>5485.3763402717595</v>
      </c>
      <c r="G1603" s="27">
        <v>7535.5738273655879</v>
      </c>
      <c r="H1603" s="27">
        <v>10761.369928951666</v>
      </c>
      <c r="I1603" s="27">
        <v>14754.045825931942</v>
      </c>
      <c r="J1603" s="27">
        <v>23287.571517274875</v>
      </c>
      <c r="K1603" s="27">
        <v>46062.113902731449</v>
      </c>
      <c r="L1603" s="27">
        <v>106760.05775392115</v>
      </c>
      <c r="M1603" s="27">
        <v>221455.63107497661</v>
      </c>
    </row>
    <row r="1604" spans="1:13" x14ac:dyDescent="0.75">
      <c r="A1604" s="40">
        <v>1602</v>
      </c>
      <c r="B1604" s="27">
        <v>814.77563859737711</v>
      </c>
      <c r="C1604" s="27">
        <v>1363.1263849451934</v>
      </c>
      <c r="D1604" s="27">
        <v>2424.2588560761506</v>
      </c>
      <c r="E1604" s="27">
        <v>3387.856924773514</v>
      </c>
      <c r="F1604" s="27">
        <v>5409.5265951557376</v>
      </c>
      <c r="G1604" s="27">
        <v>7879.4599127591355</v>
      </c>
      <c r="H1604" s="27">
        <v>10381.115466085423</v>
      </c>
      <c r="I1604" s="27">
        <v>13866.192709173163</v>
      </c>
      <c r="J1604" s="27">
        <v>22794.823331281412</v>
      </c>
      <c r="K1604" s="27">
        <v>45043.480314522778</v>
      </c>
      <c r="L1604" s="27">
        <v>112709.43063665071</v>
      </c>
      <c r="M1604" s="27">
        <v>226074.04677002059</v>
      </c>
    </row>
    <row r="1605" spans="1:13" x14ac:dyDescent="0.75">
      <c r="A1605" s="40">
        <v>1603</v>
      </c>
      <c r="B1605" s="27">
        <v>698.14437148344587</v>
      </c>
      <c r="C1605" s="27">
        <v>1221.1557435330033</v>
      </c>
      <c r="D1605" s="27">
        <v>1833.8226949807868</v>
      </c>
      <c r="E1605" s="27">
        <v>3076.0414820590959</v>
      </c>
      <c r="F1605" s="27">
        <v>5000.5219232498785</v>
      </c>
      <c r="G1605" s="27">
        <v>7119.8527511002612</v>
      </c>
      <c r="H1605" s="27">
        <v>10132.428916318284</v>
      </c>
      <c r="I1605" s="27">
        <v>14500.322109978457</v>
      </c>
      <c r="J1605" s="27">
        <v>23258.452345778584</v>
      </c>
      <c r="K1605" s="27">
        <v>46125.945487437915</v>
      </c>
      <c r="L1605" s="27">
        <v>112629.1374266638</v>
      </c>
      <c r="M1605" s="27">
        <v>225595.82525258351</v>
      </c>
    </row>
    <row r="1606" spans="1:13" x14ac:dyDescent="0.75">
      <c r="A1606" s="40">
        <v>1604</v>
      </c>
      <c r="B1606" s="27">
        <v>1044.3979278473125</v>
      </c>
      <c r="C1606" s="27">
        <v>1591.0704980411101</v>
      </c>
      <c r="D1606" s="27">
        <v>2806.3713502843602</v>
      </c>
      <c r="E1606" s="27">
        <v>3921.9651246502181</v>
      </c>
      <c r="F1606" s="27">
        <v>5998.1912633480679</v>
      </c>
      <c r="G1606" s="27">
        <v>8685.7535998929525</v>
      </c>
      <c r="H1606" s="27">
        <v>11343.888453985739</v>
      </c>
      <c r="I1606" s="27">
        <v>15656.713912149673</v>
      </c>
      <c r="J1606" s="27">
        <v>25448.492162942523</v>
      </c>
      <c r="K1606" s="27">
        <v>45924.625941302918</v>
      </c>
      <c r="L1606" s="27">
        <v>110383.22526111442</v>
      </c>
      <c r="M1606" s="27">
        <v>232804.69549555931</v>
      </c>
    </row>
    <row r="1607" spans="1:13" x14ac:dyDescent="0.75">
      <c r="A1607" s="40">
        <v>1605</v>
      </c>
      <c r="B1607" s="27">
        <v>1042.9684135936695</v>
      </c>
      <c r="C1607" s="27">
        <v>1520.8230950941361</v>
      </c>
      <c r="D1607" s="27">
        <v>2657.4997058879235</v>
      </c>
      <c r="E1607" s="27">
        <v>3592.1842302504665</v>
      </c>
      <c r="F1607" s="27">
        <v>5778.4262431216484</v>
      </c>
      <c r="G1607" s="27">
        <v>7892.7873889101029</v>
      </c>
      <c r="H1607" s="27">
        <v>10907.100100360738</v>
      </c>
      <c r="I1607" s="27">
        <v>14432.041252150273</v>
      </c>
      <c r="J1607" s="27">
        <v>23029.548875281951</v>
      </c>
      <c r="K1607" s="27">
        <v>47732.479904475738</v>
      </c>
      <c r="L1607" s="27">
        <v>122641.94214716324</v>
      </c>
      <c r="M1607" s="27">
        <v>241227.80135628989</v>
      </c>
    </row>
    <row r="1608" spans="1:13" x14ac:dyDescent="0.75">
      <c r="A1608" s="40">
        <v>1606</v>
      </c>
      <c r="B1608" s="27">
        <v>1285.8924325106927</v>
      </c>
      <c r="C1608" s="27">
        <v>1943.0618990265793</v>
      </c>
      <c r="D1608" s="27">
        <v>3086.4687232720753</v>
      </c>
      <c r="E1608" s="27">
        <v>4213.2564391706692</v>
      </c>
      <c r="F1608" s="27">
        <v>6150.9602256864018</v>
      </c>
      <c r="G1608" s="27">
        <v>8995.9899947372323</v>
      </c>
      <c r="H1608" s="27">
        <v>11046.065696464895</v>
      </c>
      <c r="I1608" s="27">
        <v>15186.735384182874</v>
      </c>
      <c r="J1608" s="27">
        <v>23951.538662482184</v>
      </c>
      <c r="K1608" s="27">
        <v>48030.973037079792</v>
      </c>
      <c r="L1608" s="27">
        <v>115923.27993374187</v>
      </c>
      <c r="M1608" s="27">
        <v>239814.22242835525</v>
      </c>
    </row>
    <row r="1609" spans="1:13" x14ac:dyDescent="0.75">
      <c r="A1609" s="40">
        <v>1607</v>
      </c>
      <c r="B1609" s="27">
        <v>622.95120550775027</v>
      </c>
      <c r="C1609" s="27">
        <v>1081.0147354368528</v>
      </c>
      <c r="D1609" s="27">
        <v>2213.2892774983338</v>
      </c>
      <c r="E1609" s="27">
        <v>3413.8975041169906</v>
      </c>
      <c r="F1609" s="27">
        <v>5527.3982791949238</v>
      </c>
      <c r="G1609" s="27">
        <v>7886.6645158340398</v>
      </c>
      <c r="H1609" s="27">
        <v>10874.905953034351</v>
      </c>
      <c r="I1609" s="27">
        <v>15073.783334353473</v>
      </c>
      <c r="J1609" s="27">
        <v>23378.451641982014</v>
      </c>
      <c r="K1609" s="27">
        <v>48009.081124004675</v>
      </c>
      <c r="L1609" s="27">
        <v>110853.19690929743</v>
      </c>
      <c r="M1609" s="27">
        <v>228934.63448026084</v>
      </c>
    </row>
    <row r="1610" spans="1:13" x14ac:dyDescent="0.75">
      <c r="A1610" s="40">
        <v>1608</v>
      </c>
      <c r="B1610" s="27">
        <v>631.91178103118727</v>
      </c>
      <c r="C1610" s="27">
        <v>1129.3481305121095</v>
      </c>
      <c r="D1610" s="27">
        <v>2233.5728310227423</v>
      </c>
      <c r="E1610" s="27">
        <v>3121.3691855513462</v>
      </c>
      <c r="F1610" s="27">
        <v>5219.809276373795</v>
      </c>
      <c r="G1610" s="27">
        <v>7438.667724195373</v>
      </c>
      <c r="H1610" s="27">
        <v>10239.760115478581</v>
      </c>
      <c r="I1610" s="27">
        <v>14264.148238282665</v>
      </c>
      <c r="J1610" s="27">
        <v>22991.611172352961</v>
      </c>
      <c r="K1610" s="27">
        <v>45391.586057216147</v>
      </c>
      <c r="L1610" s="27">
        <v>102424.37485287781</v>
      </c>
      <c r="M1610" s="27">
        <v>215086.15936489473</v>
      </c>
    </row>
    <row r="1611" spans="1:13" x14ac:dyDescent="0.75">
      <c r="A1611" s="40">
        <v>1609</v>
      </c>
      <c r="B1611" s="27">
        <v>977.68013214644452</v>
      </c>
      <c r="C1611" s="27">
        <v>1739.6015438944596</v>
      </c>
      <c r="D1611" s="27">
        <v>2578.0777513944049</v>
      </c>
      <c r="E1611" s="27">
        <v>3934.3712814300234</v>
      </c>
      <c r="F1611" s="27">
        <v>5377.9977247339266</v>
      </c>
      <c r="G1611" s="27">
        <v>7775.954711434606</v>
      </c>
      <c r="H1611" s="27">
        <v>9733.5854440627882</v>
      </c>
      <c r="I1611" s="27">
        <v>14265.563139150763</v>
      </c>
      <c r="J1611" s="27">
        <v>22314.644426892963</v>
      </c>
      <c r="K1611" s="27">
        <v>45105.504049818119</v>
      </c>
      <c r="L1611" s="27">
        <v>107339.50987387101</v>
      </c>
      <c r="M1611" s="27">
        <v>221142.49007882952</v>
      </c>
    </row>
    <row r="1612" spans="1:13" x14ac:dyDescent="0.75">
      <c r="A1612" s="40">
        <v>1610</v>
      </c>
      <c r="B1612" s="27">
        <v>713.07628800168459</v>
      </c>
      <c r="C1612" s="27">
        <v>984.90913652390009</v>
      </c>
      <c r="D1612" s="27">
        <v>1715.3954743425275</v>
      </c>
      <c r="E1612" s="27">
        <v>2757.3349710790208</v>
      </c>
      <c r="F1612" s="27">
        <v>4559.6553707914718</v>
      </c>
      <c r="G1612" s="27">
        <v>6667.1681126032199</v>
      </c>
      <c r="H1612" s="27">
        <v>9434.211643943825</v>
      </c>
      <c r="I1612" s="27">
        <v>13722.574675865762</v>
      </c>
      <c r="J1612" s="27">
        <v>21169.885569469479</v>
      </c>
      <c r="K1612" s="27">
        <v>46783.273630870201</v>
      </c>
      <c r="L1612" s="27">
        <v>112057.34566613671</v>
      </c>
      <c r="M1612" s="27">
        <v>220564.83053962782</v>
      </c>
    </row>
    <row r="1613" spans="1:13" x14ac:dyDescent="0.75">
      <c r="A1613" s="40">
        <v>1611</v>
      </c>
      <c r="B1613" s="27">
        <v>697.93970404141874</v>
      </c>
      <c r="C1613" s="27">
        <v>1119.8250310242438</v>
      </c>
      <c r="D1613" s="27">
        <v>2176.5122085656913</v>
      </c>
      <c r="E1613" s="27">
        <v>3161.785201887833</v>
      </c>
      <c r="F1613" s="27">
        <v>4927.0171889622434</v>
      </c>
      <c r="G1613" s="27">
        <v>7761.1404549262079</v>
      </c>
      <c r="H1613" s="27">
        <v>9945.5351967046445</v>
      </c>
      <c r="I1613" s="27">
        <v>13877.487462233796</v>
      </c>
      <c r="J1613" s="27">
        <v>23603.665622644054</v>
      </c>
      <c r="K1613" s="27">
        <v>44576.978608051591</v>
      </c>
      <c r="L1613" s="27">
        <v>117996.13596505103</v>
      </c>
      <c r="M1613" s="27">
        <v>229844.02264409274</v>
      </c>
    </row>
    <row r="1614" spans="1:13" x14ac:dyDescent="0.75">
      <c r="A1614" s="40">
        <v>1612</v>
      </c>
      <c r="B1614" s="27">
        <v>833.04316886163724</v>
      </c>
      <c r="C1614" s="27">
        <v>1315.1247089271928</v>
      </c>
      <c r="D1614" s="27">
        <v>2501.2366636625375</v>
      </c>
      <c r="E1614" s="27">
        <v>3555.8748369160603</v>
      </c>
      <c r="F1614" s="27">
        <v>5179.1562733737956</v>
      </c>
      <c r="G1614" s="27">
        <v>7596.7450415896892</v>
      </c>
      <c r="H1614" s="27">
        <v>10188.443665131825</v>
      </c>
      <c r="I1614" s="27">
        <v>14368.755158135318</v>
      </c>
      <c r="J1614" s="27">
        <v>23841.263783822884</v>
      </c>
      <c r="K1614" s="27">
        <v>45809.053394814342</v>
      </c>
      <c r="L1614" s="27">
        <v>112483.91234227036</v>
      </c>
      <c r="M1614" s="27">
        <v>227672.60903750564</v>
      </c>
    </row>
    <row r="1615" spans="1:13" x14ac:dyDescent="0.75">
      <c r="A1615" s="40">
        <v>1613</v>
      </c>
      <c r="B1615" s="27">
        <v>206.70842232908763</v>
      </c>
      <c r="C1615" s="27">
        <v>789.73786058816768</v>
      </c>
      <c r="D1615" s="27">
        <v>1434.5494923755905</v>
      </c>
      <c r="E1615" s="27">
        <v>2393.1462775962282</v>
      </c>
      <c r="F1615" s="27">
        <v>4312.9106316730322</v>
      </c>
      <c r="G1615" s="27">
        <v>6856.9125287107308</v>
      </c>
      <c r="H1615" s="27">
        <v>9937.2163322516135</v>
      </c>
      <c r="I1615" s="27">
        <v>13015.099130103408</v>
      </c>
      <c r="J1615" s="27">
        <v>21946.980544036924</v>
      </c>
      <c r="K1615" s="27">
        <v>47675.504153741393</v>
      </c>
      <c r="L1615" s="27">
        <v>113545.699922132</v>
      </c>
      <c r="M1615" s="27">
        <v>222114.46529553819</v>
      </c>
    </row>
    <row r="1616" spans="1:13" x14ac:dyDescent="0.75">
      <c r="A1616" s="40">
        <v>1614</v>
      </c>
      <c r="B1616" s="27">
        <v>1157.4614355014637</v>
      </c>
      <c r="C1616" s="27">
        <v>1915.5039042317803</v>
      </c>
      <c r="D1616" s="27">
        <v>2558.1212291357951</v>
      </c>
      <c r="E1616" s="27">
        <v>3821.1542934567988</v>
      </c>
      <c r="F1616" s="27">
        <v>5730.0148990967718</v>
      </c>
      <c r="G1616" s="27">
        <v>7959.438537231792</v>
      </c>
      <c r="H1616" s="27">
        <v>10739.6995417609</v>
      </c>
      <c r="I1616" s="27">
        <v>14982.038591642602</v>
      </c>
      <c r="J1616" s="27">
        <v>24392.955616699473</v>
      </c>
      <c r="K1616" s="27">
        <v>47740.350257594429</v>
      </c>
      <c r="L1616" s="27">
        <v>108718.40444378</v>
      </c>
      <c r="M1616" s="27">
        <v>229715.14275013181</v>
      </c>
    </row>
    <row r="1617" spans="1:13" x14ac:dyDescent="0.75">
      <c r="A1617" s="40">
        <v>1615</v>
      </c>
      <c r="B1617" s="27">
        <v>271.85115460996167</v>
      </c>
      <c r="C1617" s="27">
        <v>460.64932600299653</v>
      </c>
      <c r="D1617" s="27">
        <v>1142.1993333663268</v>
      </c>
      <c r="E1617" s="27">
        <v>2386.6984124924493</v>
      </c>
      <c r="F1617" s="27">
        <v>3988.7576802303374</v>
      </c>
      <c r="G1617" s="27">
        <v>6486.9601556118578</v>
      </c>
      <c r="H1617" s="27">
        <v>9500.9237116884033</v>
      </c>
      <c r="I1617" s="27">
        <v>13925.161027618422</v>
      </c>
      <c r="J1617" s="27">
        <v>20860.666952381769</v>
      </c>
      <c r="K1617" s="27">
        <v>47513.384695743589</v>
      </c>
      <c r="L1617" s="27">
        <v>108765.10831417784</v>
      </c>
      <c r="M1617" s="27">
        <v>215302.36076392396</v>
      </c>
    </row>
    <row r="1618" spans="1:13" x14ac:dyDescent="0.75">
      <c r="A1618" s="40">
        <v>1616</v>
      </c>
      <c r="B1618" s="27">
        <v>1131.266025155157</v>
      </c>
      <c r="C1618" s="27">
        <v>1677.8372401452507</v>
      </c>
      <c r="D1618" s="27">
        <v>2662.0253497748054</v>
      </c>
      <c r="E1618" s="27">
        <v>4130.8153541968932</v>
      </c>
      <c r="F1618" s="27">
        <v>6478.4113707401266</v>
      </c>
      <c r="G1618" s="27">
        <v>8545.6108086319291</v>
      </c>
      <c r="H1618" s="27">
        <v>10832.401736232699</v>
      </c>
      <c r="I1618" s="27">
        <v>15038.308698273249</v>
      </c>
      <c r="J1618" s="27">
        <v>22304.43410656885</v>
      </c>
      <c r="K1618" s="27">
        <v>44612.91893165755</v>
      </c>
      <c r="L1618" s="27">
        <v>108162.71477941969</v>
      </c>
      <c r="M1618" s="27">
        <v>225576.74440079619</v>
      </c>
    </row>
    <row r="1619" spans="1:13" x14ac:dyDescent="0.75">
      <c r="A1619" s="40">
        <v>1617</v>
      </c>
      <c r="B1619" s="27">
        <v>759.59673606260912</v>
      </c>
      <c r="C1619" s="27">
        <v>1161.2513145015691</v>
      </c>
      <c r="D1619" s="27">
        <v>2001.6815381033957</v>
      </c>
      <c r="E1619" s="27">
        <v>2687.4821897143265</v>
      </c>
      <c r="F1619" s="27">
        <v>4678.1071912477346</v>
      </c>
      <c r="G1619" s="27">
        <v>7300.4730936100532</v>
      </c>
      <c r="H1619" s="27">
        <v>9435.2316716854693</v>
      </c>
      <c r="I1619" s="27">
        <v>12798.47380020027</v>
      </c>
      <c r="J1619" s="27">
        <v>22868.480171272313</v>
      </c>
      <c r="K1619" s="27">
        <v>47392.6023389029</v>
      </c>
      <c r="L1619" s="27">
        <v>109593.04054857331</v>
      </c>
      <c r="M1619" s="27">
        <v>220676.42059387395</v>
      </c>
    </row>
    <row r="1620" spans="1:13" x14ac:dyDescent="0.75">
      <c r="A1620" s="40">
        <v>1618</v>
      </c>
      <c r="B1620" s="27">
        <v>1123.260302024617</v>
      </c>
      <c r="C1620" s="27">
        <v>1598.0012454818352</v>
      </c>
      <c r="D1620" s="27">
        <v>2460.1484088928119</v>
      </c>
      <c r="E1620" s="27">
        <v>3757.2563866946002</v>
      </c>
      <c r="F1620" s="27">
        <v>5510.7404863564589</v>
      </c>
      <c r="G1620" s="27">
        <v>7783.1283992623212</v>
      </c>
      <c r="H1620" s="27">
        <v>10886.368683515902</v>
      </c>
      <c r="I1620" s="27">
        <v>14240.903451131351</v>
      </c>
      <c r="J1620" s="27">
        <v>23555.137439371611</v>
      </c>
      <c r="K1620" s="27">
        <v>48177.19470708241</v>
      </c>
      <c r="L1620" s="27">
        <v>111238.84709579227</v>
      </c>
      <c r="M1620" s="27">
        <v>230330.98660560619</v>
      </c>
    </row>
    <row r="1621" spans="1:13" x14ac:dyDescent="0.75">
      <c r="A1621" s="40">
        <v>1619</v>
      </c>
      <c r="B1621" s="27">
        <v>846.01962218627159</v>
      </c>
      <c r="C1621" s="27">
        <v>1767.3373953312403</v>
      </c>
      <c r="D1621" s="27">
        <v>2662.8648181832395</v>
      </c>
      <c r="E1621" s="27">
        <v>3740.1516011213826</v>
      </c>
      <c r="F1621" s="27">
        <v>5934.305428043037</v>
      </c>
      <c r="G1621" s="27">
        <v>8504.2802962230926</v>
      </c>
      <c r="H1621" s="27">
        <v>10641.815562232354</v>
      </c>
      <c r="I1621" s="27">
        <v>14684.97418704335</v>
      </c>
      <c r="J1621" s="27">
        <v>22736.413191528845</v>
      </c>
      <c r="K1621" s="27">
        <v>45567.692871579056</v>
      </c>
      <c r="L1621" s="27">
        <v>112441.0015762682</v>
      </c>
      <c r="M1621" s="27">
        <v>229526.85654974007</v>
      </c>
    </row>
    <row r="1622" spans="1:13" x14ac:dyDescent="0.75">
      <c r="A1622" s="40">
        <v>1620</v>
      </c>
      <c r="B1622" s="27">
        <v>277.79344337449584</v>
      </c>
      <c r="C1622" s="27">
        <v>692.6261752503051</v>
      </c>
      <c r="D1622" s="27">
        <v>1599.6173000896379</v>
      </c>
      <c r="E1622" s="27">
        <v>2786.9326756093651</v>
      </c>
      <c r="F1622" s="27">
        <v>4585.3880436603504</v>
      </c>
      <c r="G1622" s="27">
        <v>7521.4506442576239</v>
      </c>
      <c r="H1622" s="27">
        <v>9617.0016725192691</v>
      </c>
      <c r="I1622" s="27">
        <v>12896.958585356828</v>
      </c>
      <c r="J1622" s="27">
        <v>22204.991557882226</v>
      </c>
      <c r="K1622" s="27">
        <v>45284.600322010258</v>
      </c>
      <c r="L1622" s="27">
        <v>104279.61783970334</v>
      </c>
      <c r="M1622" s="27">
        <v>211746.97825971368</v>
      </c>
    </row>
    <row r="1623" spans="1:13" x14ac:dyDescent="0.75">
      <c r="A1623" s="40">
        <v>1621</v>
      </c>
      <c r="B1623" s="27">
        <v>570.06331361920456</v>
      </c>
      <c r="C1623" s="27">
        <v>1103.1998213757761</v>
      </c>
      <c r="D1623" s="27">
        <v>1740.5090872909786</v>
      </c>
      <c r="E1623" s="27">
        <v>2828.9116875432373</v>
      </c>
      <c r="F1623" s="27">
        <v>4614.5577507065318</v>
      </c>
      <c r="G1623" s="27">
        <v>7050.987907526549</v>
      </c>
      <c r="H1623" s="27">
        <v>9409.4073051614832</v>
      </c>
      <c r="I1623" s="27">
        <v>13138.943151083469</v>
      </c>
      <c r="J1623" s="27">
        <v>23649.160579525371</v>
      </c>
      <c r="K1623" s="27">
        <v>48844.88550789986</v>
      </c>
      <c r="L1623" s="27">
        <v>108798.48705065422</v>
      </c>
      <c r="M1623" s="27">
        <v>221749.1131623867</v>
      </c>
    </row>
    <row r="1624" spans="1:13" x14ac:dyDescent="0.75">
      <c r="A1624" s="40">
        <v>1622</v>
      </c>
      <c r="B1624" s="27">
        <v>932.69012313101848</v>
      </c>
      <c r="C1624" s="27">
        <v>1325.9938256071619</v>
      </c>
      <c r="D1624" s="27">
        <v>2114.491399912702</v>
      </c>
      <c r="E1624" s="27">
        <v>3472.252946452325</v>
      </c>
      <c r="F1624" s="27">
        <v>5190.4943170020706</v>
      </c>
      <c r="G1624" s="27">
        <v>7916.2192839814816</v>
      </c>
      <c r="H1624" s="27">
        <v>9836.6137547889084</v>
      </c>
      <c r="I1624" s="27">
        <v>13671.561145945132</v>
      </c>
      <c r="J1624" s="27">
        <v>22927.950905494974</v>
      </c>
      <c r="K1624" s="27">
        <v>44206.642466326826</v>
      </c>
      <c r="L1624" s="27">
        <v>116864.16715611724</v>
      </c>
      <c r="M1624" s="27">
        <v>228459.07732475986</v>
      </c>
    </row>
    <row r="1625" spans="1:13" x14ac:dyDescent="0.75">
      <c r="A1625" s="40">
        <v>1623</v>
      </c>
      <c r="B1625" s="27">
        <v>951.88567337431596</v>
      </c>
      <c r="C1625" s="27">
        <v>1623.7070634513657</v>
      </c>
      <c r="D1625" s="27">
        <v>2497.5254756587237</v>
      </c>
      <c r="E1625" s="27">
        <v>3856.0806865789054</v>
      </c>
      <c r="F1625" s="27">
        <v>6282.6207116481964</v>
      </c>
      <c r="G1625" s="27">
        <v>9008.6266039804323</v>
      </c>
      <c r="H1625" s="27">
        <v>11386.626348272141</v>
      </c>
      <c r="I1625" s="27">
        <v>15823.223307741879</v>
      </c>
      <c r="J1625" s="27">
        <v>23906.634491480843</v>
      </c>
      <c r="K1625" s="27">
        <v>47179.344352323824</v>
      </c>
      <c r="L1625" s="27">
        <v>114547.8380599535</v>
      </c>
      <c r="M1625" s="27">
        <v>237064.11277446413</v>
      </c>
    </row>
    <row r="1626" spans="1:13" x14ac:dyDescent="0.75">
      <c r="A1626" s="40">
        <v>1624</v>
      </c>
      <c r="B1626" s="27">
        <v>1105.7510434740107</v>
      </c>
      <c r="C1626" s="27">
        <v>1796.9487350245327</v>
      </c>
      <c r="D1626" s="27">
        <v>2544.0155778729095</v>
      </c>
      <c r="E1626" s="27">
        <v>3643.9516285938298</v>
      </c>
      <c r="F1626" s="27">
        <v>5297.0103727443202</v>
      </c>
      <c r="G1626" s="27">
        <v>8079.1645325342542</v>
      </c>
      <c r="H1626" s="27">
        <v>11208.68749055604</v>
      </c>
      <c r="I1626" s="27">
        <v>14269.906118085884</v>
      </c>
      <c r="J1626" s="27">
        <v>23518.639150601535</v>
      </c>
      <c r="K1626" s="27">
        <v>48601.099876840788</v>
      </c>
      <c r="L1626" s="27">
        <v>109935.58370924613</v>
      </c>
      <c r="M1626" s="27">
        <v>230000.75823557423</v>
      </c>
    </row>
    <row r="1627" spans="1:13" x14ac:dyDescent="0.75">
      <c r="A1627" s="40">
        <v>1625</v>
      </c>
      <c r="B1627" s="27">
        <v>920.52070386231935</v>
      </c>
      <c r="C1627" s="27">
        <v>1464.9596650375024</v>
      </c>
      <c r="D1627" s="27">
        <v>2443.3199883027264</v>
      </c>
      <c r="E1627" s="27">
        <v>3748.2035718312109</v>
      </c>
      <c r="F1627" s="27">
        <v>5931.9970287419856</v>
      </c>
      <c r="G1627" s="27">
        <v>8314.0297124955105</v>
      </c>
      <c r="H1627" s="27">
        <v>10173.278803946814</v>
      </c>
      <c r="I1627" s="27">
        <v>15341.52123229584</v>
      </c>
      <c r="J1627" s="27">
        <v>23119.764568662926</v>
      </c>
      <c r="K1627" s="27">
        <v>48728.629766032536</v>
      </c>
      <c r="L1627" s="27">
        <v>108990.23536083051</v>
      </c>
      <c r="M1627" s="27">
        <v>229176.46040203987</v>
      </c>
    </row>
    <row r="1628" spans="1:13" x14ac:dyDescent="0.75">
      <c r="A1628" s="40">
        <v>1626</v>
      </c>
      <c r="B1628" s="27">
        <v>728.93596933833032</v>
      </c>
      <c r="C1628" s="27">
        <v>1449.6289234512806</v>
      </c>
      <c r="D1628" s="27">
        <v>2519.3686196610943</v>
      </c>
      <c r="E1628" s="27">
        <v>3613.1862656371668</v>
      </c>
      <c r="F1628" s="27">
        <v>5822.8978485795669</v>
      </c>
      <c r="G1628" s="27">
        <v>7853.8537654301908</v>
      </c>
      <c r="H1628" s="27">
        <v>10172.63738677479</v>
      </c>
      <c r="I1628" s="27">
        <v>15296.981241592643</v>
      </c>
      <c r="J1628" s="27">
        <v>24022.176220480644</v>
      </c>
      <c r="K1628" s="27">
        <v>47852.704527039226</v>
      </c>
      <c r="L1628" s="27">
        <v>117731.23206317276</v>
      </c>
      <c r="M1628" s="27">
        <v>237063.60283115768</v>
      </c>
    </row>
    <row r="1629" spans="1:13" x14ac:dyDescent="0.75">
      <c r="A1629" s="40">
        <v>1627</v>
      </c>
      <c r="B1629" s="27">
        <v>1126.8134035166149</v>
      </c>
      <c r="C1629" s="27">
        <v>1561.8997592469968</v>
      </c>
      <c r="D1629" s="27">
        <v>2435.6069009666389</v>
      </c>
      <c r="E1629" s="27">
        <v>3217.0799460981652</v>
      </c>
      <c r="F1629" s="27">
        <v>5479.8939178236178</v>
      </c>
      <c r="G1629" s="27">
        <v>7872.2533656994347</v>
      </c>
      <c r="H1629" s="27">
        <v>10323.16075096943</v>
      </c>
      <c r="I1629" s="27">
        <v>15039.960372770685</v>
      </c>
      <c r="J1629" s="27">
        <v>22899.207533965557</v>
      </c>
      <c r="K1629" s="27">
        <v>47785.81591342215</v>
      </c>
      <c r="L1629" s="27">
        <v>112817.33943764307</v>
      </c>
      <c r="M1629" s="27">
        <v>230559.03130212234</v>
      </c>
    </row>
    <row r="1630" spans="1:13" x14ac:dyDescent="0.75">
      <c r="A1630" s="40">
        <v>1628</v>
      </c>
      <c r="B1630" s="27">
        <v>1187.0954471537698</v>
      </c>
      <c r="C1630" s="27">
        <v>1969.2066545557755</v>
      </c>
      <c r="D1630" s="27">
        <v>3061.5065580102528</v>
      </c>
      <c r="E1630" s="27">
        <v>4341.2111849547655</v>
      </c>
      <c r="F1630" s="27">
        <v>6120.3697916912934</v>
      </c>
      <c r="G1630" s="27">
        <v>9039.4598494351376</v>
      </c>
      <c r="H1630" s="27">
        <v>11582.43997665908</v>
      </c>
      <c r="I1630" s="27">
        <v>15180.397654741391</v>
      </c>
      <c r="J1630" s="27">
        <v>25416.981117978314</v>
      </c>
      <c r="K1630" s="27">
        <v>47794.135558727328</v>
      </c>
      <c r="L1630" s="27">
        <v>111743.63751632028</v>
      </c>
      <c r="M1630" s="27">
        <v>237436.44131022738</v>
      </c>
    </row>
    <row r="1631" spans="1:13" x14ac:dyDescent="0.75">
      <c r="A1631" s="40">
        <v>1629</v>
      </c>
      <c r="B1631" s="27">
        <v>1202.3419651733129</v>
      </c>
      <c r="C1631" s="27">
        <v>1855.82951525526</v>
      </c>
      <c r="D1631" s="27">
        <v>2432.2255229260481</v>
      </c>
      <c r="E1631" s="27">
        <v>3392.4067909424339</v>
      </c>
      <c r="F1631" s="27">
        <v>5450.8753524918575</v>
      </c>
      <c r="G1631" s="27">
        <v>7378.3773775282025</v>
      </c>
      <c r="H1631" s="27">
        <v>9465.6249024439021</v>
      </c>
      <c r="I1631" s="27">
        <v>14023.929906659498</v>
      </c>
      <c r="J1631" s="27">
        <v>22907.416341555872</v>
      </c>
      <c r="K1631" s="27">
        <v>46415.82521422545</v>
      </c>
      <c r="L1631" s="27">
        <v>122784.16013754411</v>
      </c>
      <c r="M1631" s="27">
        <v>237309.01302674593</v>
      </c>
    </row>
    <row r="1632" spans="1:13" x14ac:dyDescent="0.75">
      <c r="A1632" s="40">
        <v>1630</v>
      </c>
      <c r="B1632" s="27">
        <v>775.20718075602781</v>
      </c>
      <c r="C1632" s="27">
        <v>1270.4854466283723</v>
      </c>
      <c r="D1632" s="27">
        <v>2226.7420599682082</v>
      </c>
      <c r="E1632" s="27">
        <v>3428.6778132300242</v>
      </c>
      <c r="F1632" s="27">
        <v>5337.5046514557325</v>
      </c>
      <c r="G1632" s="27">
        <v>7249.752630507719</v>
      </c>
      <c r="H1632" s="27">
        <v>10252.771667161025</v>
      </c>
      <c r="I1632" s="27">
        <v>14187.137213062961</v>
      </c>
      <c r="J1632" s="27">
        <v>23259.016234434792</v>
      </c>
      <c r="K1632" s="27">
        <v>48478.878251083166</v>
      </c>
      <c r="L1632" s="27">
        <v>114977.40387718703</v>
      </c>
      <c r="M1632" s="27">
        <v>231443.57702547504</v>
      </c>
    </row>
    <row r="1633" spans="1:13" x14ac:dyDescent="0.75">
      <c r="A1633" s="40">
        <v>1631</v>
      </c>
      <c r="B1633" s="27">
        <v>765.0453701497172</v>
      </c>
      <c r="C1633" s="27">
        <v>1106.5925682912348</v>
      </c>
      <c r="D1633" s="27">
        <v>1871.5797106656828</v>
      </c>
      <c r="E1633" s="27">
        <v>2752.3834011108556</v>
      </c>
      <c r="F1633" s="27">
        <v>5054.530175967695</v>
      </c>
      <c r="G1633" s="27">
        <v>6977.3713177862228</v>
      </c>
      <c r="H1633" s="27">
        <v>9381.1779658157175</v>
      </c>
      <c r="I1633" s="27">
        <v>14487.610387586319</v>
      </c>
      <c r="J1633" s="27">
        <v>22722.003732155426</v>
      </c>
      <c r="K1633" s="27">
        <v>46866.874088793353</v>
      </c>
      <c r="L1633" s="27">
        <v>113551.86559831991</v>
      </c>
      <c r="M1633" s="27">
        <v>225537.03431664215</v>
      </c>
    </row>
    <row r="1634" spans="1:13" x14ac:dyDescent="0.75">
      <c r="A1634" s="40">
        <v>1632</v>
      </c>
      <c r="B1634" s="27">
        <v>491.52146495628403</v>
      </c>
      <c r="C1634" s="27">
        <v>834.4270699294284</v>
      </c>
      <c r="D1634" s="27">
        <v>2044.3875049738563</v>
      </c>
      <c r="E1634" s="27">
        <v>2692.7535780729086</v>
      </c>
      <c r="F1634" s="27">
        <v>4869.247086992109</v>
      </c>
      <c r="G1634" s="27">
        <v>6852.1277845547302</v>
      </c>
      <c r="H1634" s="27">
        <v>9303.2128944834112</v>
      </c>
      <c r="I1634" s="27">
        <v>13526.858214458625</v>
      </c>
      <c r="J1634" s="27">
        <v>23251.501731579774</v>
      </c>
      <c r="K1634" s="27">
        <v>46426.060298893513</v>
      </c>
      <c r="L1634" s="27">
        <v>109744.21980342893</v>
      </c>
      <c r="M1634" s="27">
        <v>220036.31743232359</v>
      </c>
    </row>
    <row r="1635" spans="1:13" x14ac:dyDescent="0.75">
      <c r="A1635" s="40">
        <v>1633</v>
      </c>
      <c r="B1635" s="27">
        <v>634.91794044343987</v>
      </c>
      <c r="C1635" s="27">
        <v>1349.2017746174533</v>
      </c>
      <c r="D1635" s="27">
        <v>2092.7045762768976</v>
      </c>
      <c r="E1635" s="27">
        <v>3662.3183687010023</v>
      </c>
      <c r="F1635" s="27">
        <v>5464.3650322567555</v>
      </c>
      <c r="G1635" s="27">
        <v>7924.1337063570099</v>
      </c>
      <c r="H1635" s="27">
        <v>10858.468400367739</v>
      </c>
      <c r="I1635" s="27">
        <v>15106.737486141414</v>
      </c>
      <c r="J1635" s="27">
        <v>23204.127757269089</v>
      </c>
      <c r="K1635" s="27">
        <v>46272.316704739729</v>
      </c>
      <c r="L1635" s="27">
        <v>105609.80090309848</v>
      </c>
      <c r="M1635" s="27">
        <v>222179.09265026901</v>
      </c>
    </row>
    <row r="1636" spans="1:13" x14ac:dyDescent="0.75">
      <c r="A1636" s="40">
        <v>1634</v>
      </c>
      <c r="B1636" s="27">
        <v>753.97971564825275</v>
      </c>
      <c r="C1636" s="27">
        <v>1135.507697798821</v>
      </c>
      <c r="D1636" s="27">
        <v>2220.0480019643874</v>
      </c>
      <c r="E1636" s="27">
        <v>3407.574760208212</v>
      </c>
      <c r="F1636" s="27">
        <v>5254.2655505918374</v>
      </c>
      <c r="G1636" s="27">
        <v>7983.6984362748626</v>
      </c>
      <c r="H1636" s="27">
        <v>10379.564982820317</v>
      </c>
      <c r="I1636" s="27">
        <v>15049.256148998364</v>
      </c>
      <c r="J1636" s="27">
        <v>23252.006552499515</v>
      </c>
      <c r="K1636" s="27">
        <v>46549.394034499448</v>
      </c>
      <c r="L1636" s="27">
        <v>107854.50758463402</v>
      </c>
      <c r="M1636" s="27">
        <v>223839.80346593802</v>
      </c>
    </row>
    <row r="1637" spans="1:13" x14ac:dyDescent="0.75">
      <c r="A1637" s="40">
        <v>1635</v>
      </c>
      <c r="B1637" s="27">
        <v>754.84271033726691</v>
      </c>
      <c r="C1637" s="27">
        <v>1250.1373207719007</v>
      </c>
      <c r="D1637" s="27">
        <v>2119.4364313990518</v>
      </c>
      <c r="E1637" s="27">
        <v>3213.2709091246361</v>
      </c>
      <c r="F1637" s="27">
        <v>5031.0210292887932</v>
      </c>
      <c r="G1637" s="27">
        <v>7337.9079494727775</v>
      </c>
      <c r="H1637" s="27">
        <v>10389.290500266652</v>
      </c>
      <c r="I1637" s="27">
        <v>14474.947538838082</v>
      </c>
      <c r="J1637" s="27">
        <v>22202.888333619543</v>
      </c>
      <c r="K1637" s="27">
        <v>46605.65161443589</v>
      </c>
      <c r="L1637" s="27">
        <v>111303.40352335236</v>
      </c>
      <c r="M1637" s="27">
        <v>224682.79786090695</v>
      </c>
    </row>
    <row r="1638" spans="1:13" x14ac:dyDescent="0.75">
      <c r="A1638" s="40">
        <v>1636</v>
      </c>
      <c r="B1638" s="27">
        <v>960.97927514828916</v>
      </c>
      <c r="C1638" s="27">
        <v>1559.091506383862</v>
      </c>
      <c r="D1638" s="27">
        <v>2330.4962488746532</v>
      </c>
      <c r="E1638" s="27">
        <v>3699.5690101746004</v>
      </c>
      <c r="F1638" s="27">
        <v>5451.5957634066872</v>
      </c>
      <c r="G1638" s="27">
        <v>7325.0276671852916</v>
      </c>
      <c r="H1638" s="27">
        <v>9972.4981813167979</v>
      </c>
      <c r="I1638" s="27">
        <v>14381.006064900517</v>
      </c>
      <c r="J1638" s="27">
        <v>22081.348146104196</v>
      </c>
      <c r="K1638" s="27">
        <v>46759.837442064745</v>
      </c>
      <c r="L1638" s="27">
        <v>112574.4679436158</v>
      </c>
      <c r="M1638" s="27">
        <v>227095.91724917543</v>
      </c>
    </row>
    <row r="1639" spans="1:13" x14ac:dyDescent="0.75">
      <c r="A1639" s="40">
        <v>1637</v>
      </c>
      <c r="B1639" s="27">
        <v>907.97445597288606</v>
      </c>
      <c r="C1639" s="27">
        <v>1347.0488193550555</v>
      </c>
      <c r="D1639" s="27">
        <v>1817.6642502031464</v>
      </c>
      <c r="E1639" s="27">
        <v>2891.724536381691</v>
      </c>
      <c r="F1639" s="27">
        <v>4936.0512452822004</v>
      </c>
      <c r="G1639" s="27">
        <v>6772.0396203615819</v>
      </c>
      <c r="H1639" s="27">
        <v>9428.9413489509607</v>
      </c>
      <c r="I1639" s="27">
        <v>13330.029892610764</v>
      </c>
      <c r="J1639" s="27">
        <v>23739.463185870671</v>
      </c>
      <c r="K1639" s="27">
        <v>46809.740745999326</v>
      </c>
      <c r="L1639" s="27">
        <v>111886.62051993603</v>
      </c>
      <c r="M1639" s="27">
        <v>223867.2986209243</v>
      </c>
    </row>
    <row r="1640" spans="1:13" x14ac:dyDescent="0.75">
      <c r="A1640" s="40">
        <v>1638</v>
      </c>
      <c r="B1640" s="27">
        <v>397.67017875541933</v>
      </c>
      <c r="C1640" s="27">
        <v>664.77247531393368</v>
      </c>
      <c r="D1640" s="27">
        <v>1473.3090019419615</v>
      </c>
      <c r="E1640" s="27">
        <v>2815.0922663310776</v>
      </c>
      <c r="F1640" s="27">
        <v>4702.5034255190985</v>
      </c>
      <c r="G1640" s="27">
        <v>7063.6337468191923</v>
      </c>
      <c r="H1640" s="27">
        <v>9707.7986165316106</v>
      </c>
      <c r="I1640" s="27">
        <v>13299.500113543385</v>
      </c>
      <c r="J1640" s="27">
        <v>23232.808474422825</v>
      </c>
      <c r="K1640" s="27">
        <v>45770.717916481241</v>
      </c>
      <c r="L1640" s="27">
        <v>113155.12913978047</v>
      </c>
      <c r="M1640" s="27">
        <v>222282.93535544022</v>
      </c>
    </row>
    <row r="1641" spans="1:13" x14ac:dyDescent="0.75">
      <c r="A1641" s="40">
        <v>1639</v>
      </c>
      <c r="B1641" s="27">
        <v>715.32614049880067</v>
      </c>
      <c r="C1641" s="27">
        <v>1215.410391602767</v>
      </c>
      <c r="D1641" s="27">
        <v>2075.9363026009814</v>
      </c>
      <c r="E1641" s="27">
        <v>3194.5254287168791</v>
      </c>
      <c r="F1641" s="27">
        <v>5234.3482416005281</v>
      </c>
      <c r="G1641" s="27">
        <v>7547.7860414164315</v>
      </c>
      <c r="H1641" s="27">
        <v>10536.373528443321</v>
      </c>
      <c r="I1641" s="27">
        <v>15719.868627504067</v>
      </c>
      <c r="J1641" s="27">
        <v>24225.580761273697</v>
      </c>
      <c r="K1641" s="27">
        <v>46659.995530808636</v>
      </c>
      <c r="L1641" s="27">
        <v>113236.55636195999</v>
      </c>
      <c r="M1641" s="27">
        <v>230361.70735642611</v>
      </c>
    </row>
    <row r="1642" spans="1:13" x14ac:dyDescent="0.75">
      <c r="A1642" s="40">
        <v>1640</v>
      </c>
      <c r="B1642" s="27">
        <v>773.93415889861353</v>
      </c>
      <c r="C1642" s="27">
        <v>1339.284678068303</v>
      </c>
      <c r="D1642" s="27">
        <v>2299.7625933679374</v>
      </c>
      <c r="E1642" s="27">
        <v>3393.1412244815438</v>
      </c>
      <c r="F1642" s="27">
        <v>5545.7469693744788</v>
      </c>
      <c r="G1642" s="27">
        <v>8044.4524706666416</v>
      </c>
      <c r="H1642" s="27">
        <v>11230.736978259956</v>
      </c>
      <c r="I1642" s="27">
        <v>14532.813907781252</v>
      </c>
      <c r="J1642" s="27">
        <v>23577.092069411592</v>
      </c>
      <c r="K1642" s="27">
        <v>45997.019715758332</v>
      </c>
      <c r="L1642" s="27">
        <v>109368.16835645659</v>
      </c>
      <c r="M1642" s="27">
        <v>226102.15312252525</v>
      </c>
    </row>
    <row r="1643" spans="1:13" x14ac:dyDescent="0.75">
      <c r="A1643" s="40">
        <v>1641</v>
      </c>
      <c r="B1643" s="27">
        <v>693.65493497213174</v>
      </c>
      <c r="C1643" s="27">
        <v>1278.4262488449167</v>
      </c>
      <c r="D1643" s="27">
        <v>2041.2511564498855</v>
      </c>
      <c r="E1643" s="27">
        <v>2993.8656723395979</v>
      </c>
      <c r="F1643" s="27">
        <v>4714.2496762548253</v>
      </c>
      <c r="G1643" s="27">
        <v>7229.0609273517621</v>
      </c>
      <c r="H1643" s="27">
        <v>9933.0295354508708</v>
      </c>
      <c r="I1643" s="27">
        <v>13820.459401512722</v>
      </c>
      <c r="J1643" s="27">
        <v>22770.605142019544</v>
      </c>
      <c r="K1643" s="27">
        <v>45960.325400958711</v>
      </c>
      <c r="L1643" s="27">
        <v>109802.66316448041</v>
      </c>
      <c r="M1643" s="27">
        <v>221237.59126063538</v>
      </c>
    </row>
    <row r="1644" spans="1:13" x14ac:dyDescent="0.75">
      <c r="A1644" s="40">
        <v>1642</v>
      </c>
      <c r="B1644" s="27">
        <v>1076.5915106905304</v>
      </c>
      <c r="C1644" s="27">
        <v>1587.9341226589313</v>
      </c>
      <c r="D1644" s="27">
        <v>2335.3678766866069</v>
      </c>
      <c r="E1644" s="27">
        <v>3685.9906542446552</v>
      </c>
      <c r="F1644" s="27">
        <v>5434.0986068366328</v>
      </c>
      <c r="G1644" s="27">
        <v>7538.3283994172816</v>
      </c>
      <c r="H1644" s="27">
        <v>10047.384267691566</v>
      </c>
      <c r="I1644" s="27">
        <v>14027.133068715862</v>
      </c>
      <c r="J1644" s="27">
        <v>21580.814664807534</v>
      </c>
      <c r="K1644" s="27">
        <v>46607.911129203945</v>
      </c>
      <c r="L1644" s="27">
        <v>109497.08204436797</v>
      </c>
      <c r="M1644" s="27">
        <v>223418.63634532152</v>
      </c>
    </row>
    <row r="1645" spans="1:13" x14ac:dyDescent="0.75">
      <c r="A1645" s="40">
        <v>1643</v>
      </c>
      <c r="B1645" s="27">
        <v>606.12555068371876</v>
      </c>
      <c r="C1645" s="27">
        <v>1168.5573056584108</v>
      </c>
      <c r="D1645" s="27">
        <v>1866.6152475963318</v>
      </c>
      <c r="E1645" s="27">
        <v>3220.8943164947414</v>
      </c>
      <c r="F1645" s="27">
        <v>5188.1392750192172</v>
      </c>
      <c r="G1645" s="27">
        <v>7649.1247169799753</v>
      </c>
      <c r="H1645" s="27">
        <v>9358.1363637936302</v>
      </c>
      <c r="I1645" s="27">
        <v>13441.171423635649</v>
      </c>
      <c r="J1645" s="27">
        <v>22850.295888481371</v>
      </c>
      <c r="K1645" s="27">
        <v>44881.781247453342</v>
      </c>
      <c r="L1645" s="27">
        <v>114794.15188915393</v>
      </c>
      <c r="M1645" s="27">
        <v>225024.99322495033</v>
      </c>
    </row>
    <row r="1646" spans="1:13" x14ac:dyDescent="0.75">
      <c r="A1646" s="40">
        <v>1644</v>
      </c>
      <c r="B1646" s="27">
        <v>522.89288182758901</v>
      </c>
      <c r="C1646" s="27">
        <v>1102.8534013476019</v>
      </c>
      <c r="D1646" s="27">
        <v>1944.4748013617063</v>
      </c>
      <c r="E1646" s="27">
        <v>3100.0509820872103</v>
      </c>
      <c r="F1646" s="27">
        <v>5357.3354635365249</v>
      </c>
      <c r="G1646" s="27">
        <v>7307.2572379604972</v>
      </c>
      <c r="H1646" s="27">
        <v>9804.6346662489523</v>
      </c>
      <c r="I1646" s="27">
        <v>13732.833190133999</v>
      </c>
      <c r="J1646" s="27">
        <v>23588.857590489497</v>
      </c>
      <c r="K1646" s="27">
        <v>46489.67786523595</v>
      </c>
      <c r="L1646" s="27">
        <v>115477.2495940502</v>
      </c>
      <c r="M1646" s="27">
        <v>228428.11767427973</v>
      </c>
    </row>
    <row r="1647" spans="1:13" x14ac:dyDescent="0.75">
      <c r="A1647" s="40">
        <v>1645</v>
      </c>
      <c r="B1647" s="27">
        <v>752.44591877456696</v>
      </c>
      <c r="C1647" s="27">
        <v>1277.5072155432717</v>
      </c>
      <c r="D1647" s="27">
        <v>2231.1165418831806</v>
      </c>
      <c r="E1647" s="27">
        <v>3741.8033609201084</v>
      </c>
      <c r="F1647" s="27">
        <v>5522.5202946664067</v>
      </c>
      <c r="G1647" s="27">
        <v>8127.1085178122448</v>
      </c>
      <c r="H1647" s="27">
        <v>10275.86929920972</v>
      </c>
      <c r="I1647" s="27">
        <v>14638.249129702439</v>
      </c>
      <c r="J1647" s="27">
        <v>24086.038699841272</v>
      </c>
      <c r="K1647" s="27">
        <v>46607.340005270526</v>
      </c>
      <c r="L1647" s="27">
        <v>113873.22870048537</v>
      </c>
      <c r="M1647" s="27">
        <v>231133.22768410912</v>
      </c>
    </row>
    <row r="1648" spans="1:13" x14ac:dyDescent="0.75">
      <c r="A1648" s="40">
        <v>1646</v>
      </c>
      <c r="B1648" s="27">
        <v>370.22392922715517</v>
      </c>
      <c r="C1648" s="27">
        <v>741.75523467417224</v>
      </c>
      <c r="D1648" s="27">
        <v>1317.059282166927</v>
      </c>
      <c r="E1648" s="27">
        <v>2469.8565840819356</v>
      </c>
      <c r="F1648" s="27">
        <v>4285.1756488317333</v>
      </c>
      <c r="G1648" s="27">
        <v>6565.1368653557438</v>
      </c>
      <c r="H1648" s="27">
        <v>9109.2543605548999</v>
      </c>
      <c r="I1648" s="27">
        <v>13899.147964214964</v>
      </c>
      <c r="J1648" s="27">
        <v>23100.305790172497</v>
      </c>
      <c r="K1648" s="27">
        <v>46011.495181193764</v>
      </c>
      <c r="L1648" s="27">
        <v>104255.17825605927</v>
      </c>
      <c r="M1648" s="27">
        <v>212124.58909653308</v>
      </c>
    </row>
    <row r="1649" spans="1:13" x14ac:dyDescent="0.75">
      <c r="A1649" s="40">
        <v>1647</v>
      </c>
      <c r="B1649" s="27">
        <v>951.13249230316433</v>
      </c>
      <c r="C1649" s="27">
        <v>1476.1076182962133</v>
      </c>
      <c r="D1649" s="27">
        <v>2647.9827587297477</v>
      </c>
      <c r="E1649" s="27">
        <v>3861.3702671851788</v>
      </c>
      <c r="F1649" s="27">
        <v>5935.4394810199738</v>
      </c>
      <c r="G1649" s="27">
        <v>8628.841600410291</v>
      </c>
      <c r="H1649" s="27">
        <v>10992.498805261275</v>
      </c>
      <c r="I1649" s="27">
        <v>15511.305249942336</v>
      </c>
      <c r="J1649" s="27">
        <v>24351.572388417611</v>
      </c>
      <c r="K1649" s="27">
        <v>46575.537317993716</v>
      </c>
      <c r="L1649" s="27">
        <v>114799.19808205189</v>
      </c>
      <c r="M1649" s="27">
        <v>235730.98606161139</v>
      </c>
    </row>
    <row r="1650" spans="1:13" x14ac:dyDescent="0.75">
      <c r="A1650" s="40">
        <v>1648</v>
      </c>
      <c r="B1650" s="27">
        <v>796.87650773373025</v>
      </c>
      <c r="C1650" s="27">
        <v>1460.9065771882597</v>
      </c>
      <c r="D1650" s="27">
        <v>2270.4897422962677</v>
      </c>
      <c r="E1650" s="27">
        <v>3149.2956608066452</v>
      </c>
      <c r="F1650" s="27">
        <v>5429.2265947768901</v>
      </c>
      <c r="G1650" s="27">
        <v>7658.6486033191322</v>
      </c>
      <c r="H1650" s="27">
        <v>10636.237927745649</v>
      </c>
      <c r="I1650" s="27">
        <v>14346.937484010647</v>
      </c>
      <c r="J1650" s="27">
        <v>23588.443134050438</v>
      </c>
      <c r="K1650" s="27">
        <v>47851.303184282355</v>
      </c>
      <c r="L1650" s="27">
        <v>114379.69869850538</v>
      </c>
      <c r="M1650" s="27">
        <v>231568.06411471538</v>
      </c>
    </row>
    <row r="1651" spans="1:13" x14ac:dyDescent="0.75">
      <c r="A1651" s="40">
        <v>1649</v>
      </c>
      <c r="B1651" s="27">
        <v>454.5378377904708</v>
      </c>
      <c r="C1651" s="27">
        <v>1131.4672300357342</v>
      </c>
      <c r="D1651" s="27">
        <v>1699.2523038812506</v>
      </c>
      <c r="E1651" s="27">
        <v>2694.8816923408594</v>
      </c>
      <c r="F1651" s="27">
        <v>4255.7321118779946</v>
      </c>
      <c r="G1651" s="27">
        <v>6786.8062438063207</v>
      </c>
      <c r="H1651" s="27">
        <v>9077.000210881044</v>
      </c>
      <c r="I1651" s="27">
        <v>13250.976580171438</v>
      </c>
      <c r="J1651" s="27">
        <v>21504.158897501446</v>
      </c>
      <c r="K1651" s="27">
        <v>45305.750723723962</v>
      </c>
      <c r="L1651" s="27">
        <v>108028.27676028805</v>
      </c>
      <c r="M1651" s="27">
        <v>214188.84059229857</v>
      </c>
    </row>
    <row r="1652" spans="1:13" x14ac:dyDescent="0.75">
      <c r="A1652" s="40">
        <v>1650</v>
      </c>
      <c r="B1652" s="27">
        <v>792.90154571412131</v>
      </c>
      <c r="C1652" s="27">
        <v>1231.8419283044059</v>
      </c>
      <c r="D1652" s="27">
        <v>2130.1215882750112</v>
      </c>
      <c r="E1652" s="27">
        <v>3238.4985439020529</v>
      </c>
      <c r="F1652" s="27">
        <v>4870.1614087087655</v>
      </c>
      <c r="G1652" s="27">
        <v>6769.2720303690585</v>
      </c>
      <c r="H1652" s="27">
        <v>9889.0292357383005</v>
      </c>
      <c r="I1652" s="27">
        <v>13292.563084891182</v>
      </c>
      <c r="J1652" s="27">
        <v>21898.844282999285</v>
      </c>
      <c r="K1652" s="27">
        <v>45148.783703690569</v>
      </c>
      <c r="L1652" s="27">
        <v>110543.19599172118</v>
      </c>
      <c r="M1652" s="27">
        <v>219805.21334431393</v>
      </c>
    </row>
    <row r="1653" spans="1:13" x14ac:dyDescent="0.75">
      <c r="A1653" s="40">
        <v>1651</v>
      </c>
      <c r="B1653" s="27">
        <v>796.15341734519461</v>
      </c>
      <c r="C1653" s="27">
        <v>1297.0097041690169</v>
      </c>
      <c r="D1653" s="27">
        <v>2310.2386536735867</v>
      </c>
      <c r="E1653" s="27">
        <v>3246.9135351435398</v>
      </c>
      <c r="F1653" s="27">
        <v>5231.5426483357005</v>
      </c>
      <c r="G1653" s="27">
        <v>7779.1361877012823</v>
      </c>
      <c r="H1653" s="27">
        <v>10637.331577510369</v>
      </c>
      <c r="I1653" s="27">
        <v>14377.24796435934</v>
      </c>
      <c r="J1653" s="27">
        <v>24317.457759756653</v>
      </c>
      <c r="K1653" s="27">
        <v>46928.610764065117</v>
      </c>
      <c r="L1653" s="27">
        <v>118813.99705301334</v>
      </c>
      <c r="M1653" s="27">
        <v>235735.63926507314</v>
      </c>
    </row>
    <row r="1654" spans="1:13" x14ac:dyDescent="0.75">
      <c r="A1654" s="40">
        <v>1652</v>
      </c>
      <c r="B1654" s="27">
        <v>204.49258913856465</v>
      </c>
      <c r="C1654" s="27">
        <v>752.36539644078584</v>
      </c>
      <c r="D1654" s="27">
        <v>1654.7603722785861</v>
      </c>
      <c r="E1654" s="27">
        <v>2610.4458499997854</v>
      </c>
      <c r="F1654" s="27">
        <v>4844.3495404426358</v>
      </c>
      <c r="G1654" s="27">
        <v>7010.1642301305546</v>
      </c>
      <c r="H1654" s="27">
        <v>10092.439393868524</v>
      </c>
      <c r="I1654" s="27">
        <v>14194.288744099569</v>
      </c>
      <c r="J1654" s="27">
        <v>23446.968155222668</v>
      </c>
      <c r="K1654" s="27">
        <v>45747.094930415056</v>
      </c>
      <c r="L1654" s="27">
        <v>111741.95532198717</v>
      </c>
      <c r="M1654" s="27">
        <v>222299.32452402392</v>
      </c>
    </row>
    <row r="1655" spans="1:13" x14ac:dyDescent="0.75">
      <c r="A1655" s="40">
        <v>1653</v>
      </c>
      <c r="B1655" s="27">
        <v>1123.562170280522</v>
      </c>
      <c r="C1655" s="27">
        <v>1577.4810503324697</v>
      </c>
      <c r="D1655" s="27">
        <v>2695.7006561579619</v>
      </c>
      <c r="E1655" s="27">
        <v>3551.6268714228499</v>
      </c>
      <c r="F1655" s="27">
        <v>5805.0009085768834</v>
      </c>
      <c r="G1655" s="27">
        <v>8184.6745400267828</v>
      </c>
      <c r="H1655" s="27">
        <v>10744.418336029339</v>
      </c>
      <c r="I1655" s="27">
        <v>14275.930362714847</v>
      </c>
      <c r="J1655" s="27">
        <v>23470.04941392543</v>
      </c>
      <c r="K1655" s="27">
        <v>45247.22693316864</v>
      </c>
      <c r="L1655" s="27">
        <v>110692.6825662315</v>
      </c>
      <c r="M1655" s="27">
        <v>227368.35380886722</v>
      </c>
    </row>
    <row r="1656" spans="1:13" x14ac:dyDescent="0.75">
      <c r="A1656" s="40">
        <v>1654</v>
      </c>
      <c r="B1656" s="27">
        <v>1057.0882156178122</v>
      </c>
      <c r="C1656" s="27">
        <v>1719.927805831423</v>
      </c>
      <c r="D1656" s="27">
        <v>2796.9406231112807</v>
      </c>
      <c r="E1656" s="27">
        <v>4006.7405384869926</v>
      </c>
      <c r="F1656" s="27">
        <v>5976.2059055521531</v>
      </c>
      <c r="G1656" s="27">
        <v>8389.984738551866</v>
      </c>
      <c r="H1656" s="27">
        <v>11107.095235510205</v>
      </c>
      <c r="I1656" s="27">
        <v>16613.316407887905</v>
      </c>
      <c r="J1656" s="27">
        <v>24547.063592749459</v>
      </c>
      <c r="K1656" s="27">
        <v>46973.300171373179</v>
      </c>
      <c r="L1656" s="27">
        <v>114758.37870523296</v>
      </c>
      <c r="M1656" s="27">
        <v>237946.04193990523</v>
      </c>
    </row>
    <row r="1657" spans="1:13" x14ac:dyDescent="0.75">
      <c r="A1657" s="40">
        <v>1655</v>
      </c>
      <c r="B1657" s="27">
        <v>927.12361588553176</v>
      </c>
      <c r="C1657" s="27">
        <v>1634.4598388160812</v>
      </c>
      <c r="D1657" s="27">
        <v>2593.1949314679805</v>
      </c>
      <c r="E1657" s="27">
        <v>3829.0186820643721</v>
      </c>
      <c r="F1657" s="27">
        <v>5651.5609669365804</v>
      </c>
      <c r="G1657" s="27">
        <v>8309.2991426165972</v>
      </c>
      <c r="H1657" s="27">
        <v>10892.4930021818</v>
      </c>
      <c r="I1657" s="27">
        <v>14657.645905159938</v>
      </c>
      <c r="J1657" s="27">
        <v>23026.101598953901</v>
      </c>
      <c r="K1657" s="27">
        <v>48659.386179583031</v>
      </c>
      <c r="L1657" s="27">
        <v>119506.44220054046</v>
      </c>
      <c r="M1657" s="27">
        <v>239686.72606420628</v>
      </c>
    </row>
    <row r="1658" spans="1:13" x14ac:dyDescent="0.75">
      <c r="A1658" s="40">
        <v>1656</v>
      </c>
      <c r="B1658" s="27">
        <v>503.82764362677699</v>
      </c>
      <c r="C1658" s="27">
        <v>999.71545911049179</v>
      </c>
      <c r="D1658" s="27">
        <v>1715.5205758256197</v>
      </c>
      <c r="E1658" s="27">
        <v>2657.0353761060396</v>
      </c>
      <c r="F1658" s="27">
        <v>4334.9800685482332</v>
      </c>
      <c r="G1658" s="27">
        <v>6370.1774350785417</v>
      </c>
      <c r="H1658" s="27">
        <v>8915.1312930114655</v>
      </c>
      <c r="I1658" s="27">
        <v>12740.226010717975</v>
      </c>
      <c r="J1658" s="27">
        <v>22810.773657939251</v>
      </c>
      <c r="K1658" s="27">
        <v>47102.36890107466</v>
      </c>
      <c r="L1658" s="27">
        <v>109999.75746685482</v>
      </c>
      <c r="M1658" s="27">
        <v>218149.51388789387</v>
      </c>
    </row>
    <row r="1659" spans="1:13" x14ac:dyDescent="0.75">
      <c r="A1659" s="40">
        <v>1657</v>
      </c>
      <c r="B1659" s="27">
        <v>577.69492192598409</v>
      </c>
      <c r="C1659" s="27">
        <v>1078.7101047831384</v>
      </c>
      <c r="D1659" s="27">
        <v>1726.8591933032149</v>
      </c>
      <c r="E1659" s="27">
        <v>2891.3314709581464</v>
      </c>
      <c r="F1659" s="27">
        <v>5087.2431746087386</v>
      </c>
      <c r="G1659" s="27">
        <v>7339.165983902436</v>
      </c>
      <c r="H1659" s="27">
        <v>9893.6514471016999</v>
      </c>
      <c r="I1659" s="27">
        <v>14130.260994743032</v>
      </c>
      <c r="J1659" s="27">
        <v>22506.911245015741</v>
      </c>
      <c r="K1659" s="27">
        <v>48500.101929177123</v>
      </c>
      <c r="L1659" s="27">
        <v>111971.45703806807</v>
      </c>
      <c r="M1659" s="27">
        <v>225703.38750358732</v>
      </c>
    </row>
    <row r="1660" spans="1:13" x14ac:dyDescent="0.75">
      <c r="A1660" s="40">
        <v>1658</v>
      </c>
      <c r="B1660" s="27">
        <v>666.64773576396692</v>
      </c>
      <c r="C1660" s="27">
        <v>1000.8824223772972</v>
      </c>
      <c r="D1660" s="27">
        <v>1893.152429317619</v>
      </c>
      <c r="E1660" s="27">
        <v>3219.4111415979569</v>
      </c>
      <c r="F1660" s="27">
        <v>4722.6539650623599</v>
      </c>
      <c r="G1660" s="27">
        <v>7440.5879673777672</v>
      </c>
      <c r="H1660" s="27">
        <v>9087.8760134173062</v>
      </c>
      <c r="I1660" s="27">
        <v>13617.24013783806</v>
      </c>
      <c r="J1660" s="27">
        <v>23216.978252014131</v>
      </c>
      <c r="K1660" s="27">
        <v>47941.297683524361</v>
      </c>
      <c r="L1660" s="27">
        <v>112020.7074559374</v>
      </c>
      <c r="M1660" s="27">
        <v>224827.43520422821</v>
      </c>
    </row>
    <row r="1661" spans="1:13" x14ac:dyDescent="0.75">
      <c r="A1661" s="40">
        <v>1659</v>
      </c>
      <c r="B1661" s="27">
        <v>1114.0580597570806</v>
      </c>
      <c r="C1661" s="27">
        <v>1996.1014416368853</v>
      </c>
      <c r="D1661" s="27">
        <v>2917.5610473596316</v>
      </c>
      <c r="E1661" s="27">
        <v>4069.7665085937479</v>
      </c>
      <c r="F1661" s="27">
        <v>5684.2547302050225</v>
      </c>
      <c r="G1661" s="27">
        <v>8335.7486601972778</v>
      </c>
      <c r="H1661" s="27">
        <v>10295.149609315733</v>
      </c>
      <c r="I1661" s="27">
        <v>14581.917892355166</v>
      </c>
      <c r="J1661" s="27">
        <v>24550.120052531391</v>
      </c>
      <c r="K1661" s="27">
        <v>47894.696698897256</v>
      </c>
      <c r="L1661" s="27">
        <v>107804.90018026621</v>
      </c>
      <c r="M1661" s="27">
        <v>229244.27488111542</v>
      </c>
    </row>
    <row r="1662" spans="1:13" x14ac:dyDescent="0.75">
      <c r="A1662" s="40">
        <v>1660</v>
      </c>
      <c r="B1662" s="27">
        <v>1182.0541711727565</v>
      </c>
      <c r="C1662" s="27">
        <v>1619.3785548757442</v>
      </c>
      <c r="D1662" s="27">
        <v>2636.0704871707712</v>
      </c>
      <c r="E1662" s="27">
        <v>3753.0784728973667</v>
      </c>
      <c r="F1662" s="27">
        <v>5641.1393781219085</v>
      </c>
      <c r="G1662" s="27">
        <v>7548.2960503631621</v>
      </c>
      <c r="H1662" s="27">
        <v>10201.249074428575</v>
      </c>
      <c r="I1662" s="27">
        <v>13764.129407036031</v>
      </c>
      <c r="J1662" s="27">
        <v>22465.660021866468</v>
      </c>
      <c r="K1662" s="27">
        <v>45730.669210241962</v>
      </c>
      <c r="L1662" s="27">
        <v>111677.35161282148</v>
      </c>
      <c r="M1662" s="27">
        <v>226219.07644099623</v>
      </c>
    </row>
    <row r="1663" spans="1:13" x14ac:dyDescent="0.75">
      <c r="A1663" s="40">
        <v>1661</v>
      </c>
      <c r="B1663" s="27">
        <v>884.23633671914286</v>
      </c>
      <c r="C1663" s="27">
        <v>1391.013972143337</v>
      </c>
      <c r="D1663" s="27">
        <v>2032.4523422437196</v>
      </c>
      <c r="E1663" s="27">
        <v>3475.4250878579769</v>
      </c>
      <c r="F1663" s="27">
        <v>5496.8621336910583</v>
      </c>
      <c r="G1663" s="27">
        <v>8015.7428730424144</v>
      </c>
      <c r="H1663" s="27">
        <v>11100.661149206193</v>
      </c>
      <c r="I1663" s="27">
        <v>14714.622503151535</v>
      </c>
      <c r="J1663" s="27">
        <v>22019.264848693492</v>
      </c>
      <c r="K1663" s="27">
        <v>43999.805723988917</v>
      </c>
      <c r="L1663" s="27">
        <v>106042.86501225969</v>
      </c>
      <c r="M1663" s="27">
        <v>219172.95198299747</v>
      </c>
    </row>
    <row r="1664" spans="1:13" x14ac:dyDescent="0.75">
      <c r="A1664" s="40">
        <v>1662</v>
      </c>
      <c r="B1664" s="27">
        <v>809.75735556987638</v>
      </c>
      <c r="C1664" s="27">
        <v>1283.1269181042007</v>
      </c>
      <c r="D1664" s="27">
        <v>2206.1705088821909</v>
      </c>
      <c r="E1664" s="27">
        <v>3212.8326487087616</v>
      </c>
      <c r="F1664" s="27">
        <v>5183.5700298052252</v>
      </c>
      <c r="G1664" s="27">
        <v>7994.0799522477319</v>
      </c>
      <c r="H1664" s="27">
        <v>10624.59087981566</v>
      </c>
      <c r="I1664" s="27">
        <v>15540.889994574623</v>
      </c>
      <c r="J1664" s="27">
        <v>23644.081954000518</v>
      </c>
      <c r="K1664" s="27">
        <v>46407.722152504663</v>
      </c>
      <c r="L1664" s="27">
        <v>111432.28660167966</v>
      </c>
      <c r="M1664" s="27">
        <v>228339.1089958931</v>
      </c>
    </row>
    <row r="1665" spans="1:13" x14ac:dyDescent="0.75">
      <c r="A1665" s="40">
        <v>1663</v>
      </c>
      <c r="B1665" s="27">
        <v>452.00151944927347</v>
      </c>
      <c r="C1665" s="27">
        <v>970.65122178741149</v>
      </c>
      <c r="D1665" s="27">
        <v>2179.9245251332177</v>
      </c>
      <c r="E1665" s="27">
        <v>2829.0732888628845</v>
      </c>
      <c r="F1665" s="27">
        <v>4458.1953833563894</v>
      </c>
      <c r="G1665" s="27">
        <v>6904.1992233736382</v>
      </c>
      <c r="H1665" s="27">
        <v>10101.478128203016</v>
      </c>
      <c r="I1665" s="27">
        <v>14075.171513859968</v>
      </c>
      <c r="J1665" s="27">
        <v>22003.548087000352</v>
      </c>
      <c r="K1665" s="27">
        <v>45634.344351796753</v>
      </c>
      <c r="L1665" s="27">
        <v>109258.8580601493</v>
      </c>
      <c r="M1665" s="27">
        <v>218867.44530297222</v>
      </c>
    </row>
    <row r="1666" spans="1:13" x14ac:dyDescent="0.75">
      <c r="A1666" s="40">
        <v>1664</v>
      </c>
      <c r="B1666" s="27">
        <v>728.19542733370326</v>
      </c>
      <c r="C1666" s="27">
        <v>1043.7156566790509</v>
      </c>
      <c r="D1666" s="27">
        <v>2214.7766414054786</v>
      </c>
      <c r="E1666" s="27">
        <v>3370.5217245906533</v>
      </c>
      <c r="F1666" s="27">
        <v>4856.2872706509079</v>
      </c>
      <c r="G1666" s="27">
        <v>7515.7476892004488</v>
      </c>
      <c r="H1666" s="27">
        <v>10270.137517424329</v>
      </c>
      <c r="I1666" s="27">
        <v>13156.729335361189</v>
      </c>
      <c r="J1666" s="27">
        <v>22867.085736792869</v>
      </c>
      <c r="K1666" s="27">
        <v>47381.090994456812</v>
      </c>
      <c r="L1666" s="27">
        <v>115917.66563634302</v>
      </c>
      <c r="M1666" s="27">
        <v>229321.95363023848</v>
      </c>
    </row>
    <row r="1667" spans="1:13" x14ac:dyDescent="0.75">
      <c r="A1667" s="40">
        <v>1665</v>
      </c>
      <c r="B1667" s="27">
        <v>1180.0292041647626</v>
      </c>
      <c r="C1667" s="27">
        <v>1552.0201797243499</v>
      </c>
      <c r="D1667" s="27">
        <v>2404.9493163867737</v>
      </c>
      <c r="E1667" s="27">
        <v>3745.7943504828727</v>
      </c>
      <c r="F1667" s="27">
        <v>5508.0363571538619</v>
      </c>
      <c r="G1667" s="27">
        <v>7542.0357621697185</v>
      </c>
      <c r="H1667" s="27">
        <v>10884.120189444162</v>
      </c>
      <c r="I1667" s="27">
        <v>14340.636088175874</v>
      </c>
      <c r="J1667" s="27">
        <v>22339.526010955538</v>
      </c>
      <c r="K1667" s="27">
        <v>46460.560402936128</v>
      </c>
      <c r="L1667" s="27">
        <v>113451.17258756203</v>
      </c>
      <c r="M1667" s="27">
        <v>229408.88044915607</v>
      </c>
    </row>
    <row r="1668" spans="1:13" x14ac:dyDescent="0.75">
      <c r="A1668" s="40">
        <v>1666</v>
      </c>
      <c r="B1668" s="27">
        <v>1115.8192326054705</v>
      </c>
      <c r="C1668" s="27">
        <v>1654.1668240042927</v>
      </c>
      <c r="D1668" s="27">
        <v>2533.88977310872</v>
      </c>
      <c r="E1668" s="27">
        <v>3718.6805220059032</v>
      </c>
      <c r="F1668" s="27">
        <v>5743.295299427642</v>
      </c>
      <c r="G1668" s="27">
        <v>8303.8533979358326</v>
      </c>
      <c r="H1668" s="27">
        <v>11071.22602296641</v>
      </c>
      <c r="I1668" s="27">
        <v>14852.069282152763</v>
      </c>
      <c r="J1668" s="27">
        <v>24116.096696954963</v>
      </c>
      <c r="K1668" s="27">
        <v>47343.062892498841</v>
      </c>
      <c r="L1668" s="27">
        <v>109148.36100140482</v>
      </c>
      <c r="M1668" s="27">
        <v>229600.52094506565</v>
      </c>
    </row>
    <row r="1669" spans="1:13" x14ac:dyDescent="0.75">
      <c r="A1669" s="40">
        <v>1667</v>
      </c>
      <c r="B1669" s="27">
        <v>367.80526903214923</v>
      </c>
      <c r="C1669" s="27">
        <v>913.37537812031223</v>
      </c>
      <c r="D1669" s="27">
        <v>1914.5459154819255</v>
      </c>
      <c r="E1669" s="27">
        <v>3317.0695814416249</v>
      </c>
      <c r="F1669" s="27">
        <v>5250.965835459021</v>
      </c>
      <c r="G1669" s="27">
        <v>7683.9059881480644</v>
      </c>
      <c r="H1669" s="27">
        <v>10027.354450233528</v>
      </c>
      <c r="I1669" s="27">
        <v>13573.257269986643</v>
      </c>
      <c r="J1669" s="27">
        <v>22903.71022832836</v>
      </c>
      <c r="K1669" s="27">
        <v>46477.170026422464</v>
      </c>
      <c r="L1669" s="27">
        <v>115596.17596338541</v>
      </c>
      <c r="M1669" s="27">
        <v>228025.33590603952</v>
      </c>
    </row>
    <row r="1670" spans="1:13" x14ac:dyDescent="0.75">
      <c r="A1670" s="40">
        <v>1668</v>
      </c>
      <c r="B1670" s="27">
        <v>456.91639174039301</v>
      </c>
      <c r="C1670" s="27">
        <v>915.63106663373765</v>
      </c>
      <c r="D1670" s="27">
        <v>1733.8454538831866</v>
      </c>
      <c r="E1670" s="27">
        <v>2511.704285462547</v>
      </c>
      <c r="F1670" s="27">
        <v>4269.7036060685205</v>
      </c>
      <c r="G1670" s="27">
        <v>6775.1606814427068</v>
      </c>
      <c r="H1670" s="27">
        <v>9234.3256212326087</v>
      </c>
      <c r="I1670" s="27">
        <v>13483.588490048045</v>
      </c>
      <c r="J1670" s="27">
        <v>22180.037496233883</v>
      </c>
      <c r="K1670" s="27">
        <v>45622.823357229659</v>
      </c>
      <c r="L1670" s="27">
        <v>115788.27387289677</v>
      </c>
      <c r="M1670" s="27">
        <v>222972.01032287205</v>
      </c>
    </row>
    <row r="1671" spans="1:13" x14ac:dyDescent="0.75">
      <c r="A1671" s="40">
        <v>1669</v>
      </c>
      <c r="B1671" s="27">
        <v>1149.7448151205899</v>
      </c>
      <c r="C1671" s="27">
        <v>1341.9087460429437</v>
      </c>
      <c r="D1671" s="27">
        <v>2355.843720291974</v>
      </c>
      <c r="E1671" s="27">
        <v>3488.3182410011359</v>
      </c>
      <c r="F1671" s="27">
        <v>5478.7626441495086</v>
      </c>
      <c r="G1671" s="27">
        <v>7489.6622308650112</v>
      </c>
      <c r="H1671" s="27">
        <v>10294.857587580394</v>
      </c>
      <c r="I1671" s="27">
        <v>14460.721012797192</v>
      </c>
      <c r="J1671" s="27">
        <v>22656.644342605228</v>
      </c>
      <c r="K1671" s="27">
        <v>46230.62698197359</v>
      </c>
      <c r="L1671" s="27">
        <v>116892.25378853909</v>
      </c>
      <c r="M1671" s="27">
        <v>231839.34411096666</v>
      </c>
    </row>
    <row r="1672" spans="1:13" x14ac:dyDescent="0.75">
      <c r="A1672" s="40">
        <v>1670</v>
      </c>
      <c r="B1672" s="27">
        <v>831.80600906033942</v>
      </c>
      <c r="C1672" s="27">
        <v>1438.0267297525279</v>
      </c>
      <c r="D1672" s="27">
        <v>2199.5780728744867</v>
      </c>
      <c r="E1672" s="27">
        <v>3221.2665398809186</v>
      </c>
      <c r="F1672" s="27">
        <v>5076.7122175428085</v>
      </c>
      <c r="G1672" s="27">
        <v>7385.8535770468006</v>
      </c>
      <c r="H1672" s="27">
        <v>9545.8747070382378</v>
      </c>
      <c r="I1672" s="27">
        <v>14663.388343296931</v>
      </c>
      <c r="J1672" s="27">
        <v>22209.251664445343</v>
      </c>
      <c r="K1672" s="27">
        <v>45042.458062702921</v>
      </c>
      <c r="L1672" s="27">
        <v>113744.50314822713</v>
      </c>
      <c r="M1672" s="27">
        <v>225358.71907186846</v>
      </c>
    </row>
    <row r="1673" spans="1:13" x14ac:dyDescent="0.75">
      <c r="A1673" s="40">
        <v>1671</v>
      </c>
      <c r="B1673" s="27">
        <v>802.33886223124864</v>
      </c>
      <c r="C1673" s="27">
        <v>1323.7039908946899</v>
      </c>
      <c r="D1673" s="27">
        <v>2184.5267381162848</v>
      </c>
      <c r="E1673" s="27">
        <v>3501.0950317032693</v>
      </c>
      <c r="F1673" s="27">
        <v>5642.5629273876257</v>
      </c>
      <c r="G1673" s="27">
        <v>8127.1448354796739</v>
      </c>
      <c r="H1673" s="27">
        <v>10560.388256986058</v>
      </c>
      <c r="I1673" s="27">
        <v>14819.817028676349</v>
      </c>
      <c r="J1673" s="27">
        <v>22829.077919826639</v>
      </c>
      <c r="K1673" s="27">
        <v>47108.164384446543</v>
      </c>
      <c r="L1673" s="27">
        <v>106132.1901229808</v>
      </c>
      <c r="M1673" s="27">
        <v>223031.01009872917</v>
      </c>
    </row>
    <row r="1674" spans="1:13" x14ac:dyDescent="0.75">
      <c r="A1674" s="40">
        <v>1672</v>
      </c>
      <c r="B1674" s="27">
        <v>637.05238135808031</v>
      </c>
      <c r="C1674" s="27">
        <v>1214.561642157656</v>
      </c>
      <c r="D1674" s="27">
        <v>1827.4578733727103</v>
      </c>
      <c r="E1674" s="27">
        <v>2848.6613935869827</v>
      </c>
      <c r="F1674" s="27">
        <v>4864.451148985856</v>
      </c>
      <c r="G1674" s="27">
        <v>7045.0046751286427</v>
      </c>
      <c r="H1674" s="27">
        <v>9618.6445961874706</v>
      </c>
      <c r="I1674" s="27">
        <v>13392.992615972325</v>
      </c>
      <c r="J1674" s="27">
        <v>22008.593648128604</v>
      </c>
      <c r="K1674" s="27">
        <v>46054.536773480126</v>
      </c>
      <c r="L1674" s="27">
        <v>110123.80706809502</v>
      </c>
      <c r="M1674" s="27">
        <v>219635.76381645346</v>
      </c>
    </row>
    <row r="1675" spans="1:13" x14ac:dyDescent="0.75">
      <c r="A1675" s="40">
        <v>1673</v>
      </c>
      <c r="B1675" s="27">
        <v>1060.0467322252807</v>
      </c>
      <c r="C1675" s="27">
        <v>1698.5633592977101</v>
      </c>
      <c r="D1675" s="27">
        <v>2887.4047489533259</v>
      </c>
      <c r="E1675" s="27">
        <v>4249.4273509458872</v>
      </c>
      <c r="F1675" s="27">
        <v>6068.1356752499705</v>
      </c>
      <c r="G1675" s="27">
        <v>8461.8931833044626</v>
      </c>
      <c r="H1675" s="27">
        <v>11592.930191309279</v>
      </c>
      <c r="I1675" s="27">
        <v>16241.964379732643</v>
      </c>
      <c r="J1675" s="27">
        <v>26013.30202000757</v>
      </c>
      <c r="K1675" s="27">
        <v>48123.429340250848</v>
      </c>
      <c r="L1675" s="27">
        <v>115284.13460407255</v>
      </c>
      <c r="M1675" s="27">
        <v>241681.23158534954</v>
      </c>
    </row>
    <row r="1676" spans="1:13" x14ac:dyDescent="0.75">
      <c r="A1676" s="40">
        <v>1674</v>
      </c>
      <c r="B1676" s="27">
        <v>775.26081800711108</v>
      </c>
      <c r="C1676" s="27">
        <v>1314.8785736336868</v>
      </c>
      <c r="D1676" s="27">
        <v>1984.0868406772643</v>
      </c>
      <c r="E1676" s="27">
        <v>3264.6964832157246</v>
      </c>
      <c r="F1676" s="27">
        <v>5775.0482638718386</v>
      </c>
      <c r="G1676" s="27">
        <v>7787.3328864708601</v>
      </c>
      <c r="H1676" s="27">
        <v>10445.863963908952</v>
      </c>
      <c r="I1676" s="27">
        <v>13796.631872308528</v>
      </c>
      <c r="J1676" s="27">
        <v>22958.147677621993</v>
      </c>
      <c r="K1676" s="27">
        <v>44228.865720671252</v>
      </c>
      <c r="L1676" s="27">
        <v>107596.1304132361</v>
      </c>
      <c r="M1676" s="27">
        <v>219926.94351362332</v>
      </c>
    </row>
    <row r="1677" spans="1:13" x14ac:dyDescent="0.75">
      <c r="A1677" s="40">
        <v>1675</v>
      </c>
      <c r="B1677" s="27">
        <v>802.29333734355168</v>
      </c>
      <c r="C1677" s="27">
        <v>1128.0252883964567</v>
      </c>
      <c r="D1677" s="27">
        <v>1861.7770270454785</v>
      </c>
      <c r="E1677" s="27">
        <v>2862.6908316914487</v>
      </c>
      <c r="F1677" s="27">
        <v>4798.9308452561381</v>
      </c>
      <c r="G1677" s="27">
        <v>6798.8280721849296</v>
      </c>
      <c r="H1677" s="27">
        <v>9756.3449645373912</v>
      </c>
      <c r="I1677" s="27">
        <v>14380.838646579767</v>
      </c>
      <c r="J1677" s="27">
        <v>22524.372521313839</v>
      </c>
      <c r="K1677" s="27">
        <v>44541.579893834001</v>
      </c>
      <c r="L1677" s="27">
        <v>109901.32253368871</v>
      </c>
      <c r="M1677" s="27">
        <v>219357.00396187173</v>
      </c>
    </row>
    <row r="1678" spans="1:13" x14ac:dyDescent="0.75">
      <c r="A1678" s="40">
        <v>1676</v>
      </c>
      <c r="B1678" s="27">
        <v>740.62352656040457</v>
      </c>
      <c r="C1678" s="27">
        <v>1286.2826487669226</v>
      </c>
      <c r="D1678" s="27">
        <v>2138.8544639515894</v>
      </c>
      <c r="E1678" s="27">
        <v>3280.4918614780181</v>
      </c>
      <c r="F1678" s="27">
        <v>5095.5085295135941</v>
      </c>
      <c r="G1678" s="27">
        <v>7912.3853634377301</v>
      </c>
      <c r="H1678" s="27">
        <v>10544.825533330601</v>
      </c>
      <c r="I1678" s="27">
        <v>15006.006108214206</v>
      </c>
      <c r="J1678" s="27">
        <v>23808.500975140982</v>
      </c>
      <c r="K1678" s="27">
        <v>47950.027965180285</v>
      </c>
      <c r="L1678" s="27">
        <v>117376.93403761451</v>
      </c>
      <c r="M1678" s="27">
        <v>235140.44101318886</v>
      </c>
    </row>
    <row r="1679" spans="1:13" x14ac:dyDescent="0.75">
      <c r="A1679" s="40">
        <v>1677</v>
      </c>
      <c r="B1679" s="27">
        <v>293.68097183392092</v>
      </c>
      <c r="C1679" s="27">
        <v>655.84023871312093</v>
      </c>
      <c r="D1679" s="27">
        <v>1228.2775515315443</v>
      </c>
      <c r="E1679" s="27">
        <v>2364.5538038142258</v>
      </c>
      <c r="F1679" s="27">
        <v>4330.7710336982273</v>
      </c>
      <c r="G1679" s="27">
        <v>6956.8772995035979</v>
      </c>
      <c r="H1679" s="27">
        <v>9224.149973360094</v>
      </c>
      <c r="I1679" s="27">
        <v>13080.28432446676</v>
      </c>
      <c r="J1679" s="27">
        <v>22137.960635347801</v>
      </c>
      <c r="K1679" s="27">
        <v>45363.288662047416</v>
      </c>
      <c r="L1679" s="27">
        <v>113929.36989586893</v>
      </c>
      <c r="M1679" s="27">
        <v>219565.05439018563</v>
      </c>
    </row>
    <row r="1680" spans="1:13" x14ac:dyDescent="0.75">
      <c r="A1680" s="40">
        <v>1678</v>
      </c>
      <c r="B1680" s="27">
        <v>722.36998529535776</v>
      </c>
      <c r="C1680" s="27">
        <v>1406.6186729336187</v>
      </c>
      <c r="D1680" s="27">
        <v>2336.2125028278679</v>
      </c>
      <c r="E1680" s="27">
        <v>3368.1969350441505</v>
      </c>
      <c r="F1680" s="27">
        <v>5085.2781896589877</v>
      </c>
      <c r="G1680" s="27">
        <v>7773.4198067901889</v>
      </c>
      <c r="H1680" s="27">
        <v>10800.637447534304</v>
      </c>
      <c r="I1680" s="27">
        <v>14798.140480721559</v>
      </c>
      <c r="J1680" s="27">
        <v>24555.125814234154</v>
      </c>
      <c r="K1680" s="27">
        <v>47212.240272944386</v>
      </c>
      <c r="L1680" s="27">
        <v>110678.40649482107</v>
      </c>
      <c r="M1680" s="27">
        <v>228736.64660280565</v>
      </c>
    </row>
    <row r="1681" spans="1:13" x14ac:dyDescent="0.75">
      <c r="A1681" s="40">
        <v>1679</v>
      </c>
      <c r="B1681" s="27">
        <v>756.67466407144093</v>
      </c>
      <c r="C1681" s="27">
        <v>1124.5973439080553</v>
      </c>
      <c r="D1681" s="27">
        <v>2051.9186955671757</v>
      </c>
      <c r="E1681" s="27">
        <v>3126.8147753807425</v>
      </c>
      <c r="F1681" s="27">
        <v>5057.9259932978603</v>
      </c>
      <c r="G1681" s="27">
        <v>6982.6494825946866</v>
      </c>
      <c r="H1681" s="27">
        <v>10185.256461783152</v>
      </c>
      <c r="I1681" s="27">
        <v>14075.438662371482</v>
      </c>
      <c r="J1681" s="27">
        <v>22756.338604704535</v>
      </c>
      <c r="K1681" s="27">
        <v>44819.488403496507</v>
      </c>
      <c r="L1681" s="27">
        <v>113237.45504876776</v>
      </c>
      <c r="M1681" s="27">
        <v>224174.5581359434</v>
      </c>
    </row>
    <row r="1682" spans="1:13" x14ac:dyDescent="0.75">
      <c r="A1682" s="40">
        <v>1680</v>
      </c>
      <c r="B1682" s="27">
        <v>763.81224592729995</v>
      </c>
      <c r="C1682" s="27">
        <v>1272.4262333622173</v>
      </c>
      <c r="D1682" s="27">
        <v>1971.9871132644475</v>
      </c>
      <c r="E1682" s="27">
        <v>2812.423897065135</v>
      </c>
      <c r="F1682" s="27">
        <v>4856.6580747050466</v>
      </c>
      <c r="G1682" s="27">
        <v>7169.361330855143</v>
      </c>
      <c r="H1682" s="27">
        <v>10238.941382602177</v>
      </c>
      <c r="I1682" s="27">
        <v>13984.116814570458</v>
      </c>
      <c r="J1682" s="27">
        <v>22848.428609747949</v>
      </c>
      <c r="K1682" s="27">
        <v>48376.653655159345</v>
      </c>
      <c r="L1682" s="27">
        <v>109607.54110616638</v>
      </c>
      <c r="M1682" s="27">
        <v>223902.3504634256</v>
      </c>
    </row>
    <row r="1683" spans="1:13" x14ac:dyDescent="0.75">
      <c r="A1683" s="40">
        <v>1681</v>
      </c>
      <c r="B1683" s="27">
        <v>886.440321840666</v>
      </c>
      <c r="C1683" s="27">
        <v>1474.2922713910666</v>
      </c>
      <c r="D1683" s="27">
        <v>2258.3044805694517</v>
      </c>
      <c r="E1683" s="27">
        <v>3522.5363622108125</v>
      </c>
      <c r="F1683" s="27">
        <v>5489.1301044241118</v>
      </c>
      <c r="G1683" s="27">
        <v>8101.0349377150997</v>
      </c>
      <c r="H1683" s="27">
        <v>10995.488507004877</v>
      </c>
      <c r="I1683" s="27">
        <v>13907.117130829691</v>
      </c>
      <c r="J1683" s="27">
        <v>23172.128661981071</v>
      </c>
      <c r="K1683" s="27">
        <v>45703.821371682818</v>
      </c>
      <c r="L1683" s="27">
        <v>113871.49150382204</v>
      </c>
      <c r="M1683" s="27">
        <v>229381.78565347171</v>
      </c>
    </row>
    <row r="1684" spans="1:13" x14ac:dyDescent="0.75">
      <c r="A1684" s="40">
        <v>1682</v>
      </c>
      <c r="B1684" s="27">
        <v>663.60773155896459</v>
      </c>
      <c r="C1684" s="27">
        <v>966.39780482708011</v>
      </c>
      <c r="D1684" s="27">
        <v>1679.3538668169931</v>
      </c>
      <c r="E1684" s="27">
        <v>2831.211107315743</v>
      </c>
      <c r="F1684" s="27">
        <v>4781.0634095946443</v>
      </c>
      <c r="G1684" s="27">
        <v>7386.5942876993504</v>
      </c>
      <c r="H1684" s="27">
        <v>9906.6586501787824</v>
      </c>
      <c r="I1684" s="27">
        <v>13841.258676758211</v>
      </c>
      <c r="J1684" s="27">
        <v>23146.60405035381</v>
      </c>
      <c r="K1684" s="27">
        <v>47512.245020363</v>
      </c>
      <c r="L1684" s="27">
        <v>113906.2320926775</v>
      </c>
      <c r="M1684" s="27">
        <v>226621.22669814408</v>
      </c>
    </row>
    <row r="1685" spans="1:13" x14ac:dyDescent="0.75">
      <c r="A1685" s="40">
        <v>1683</v>
      </c>
      <c r="B1685" s="27">
        <v>681.56847055885009</v>
      </c>
      <c r="C1685" s="27">
        <v>1253.1338033667853</v>
      </c>
      <c r="D1685" s="27">
        <v>2274.9855198650475</v>
      </c>
      <c r="E1685" s="27">
        <v>3702.1798943027097</v>
      </c>
      <c r="F1685" s="27">
        <v>5342.3328595232015</v>
      </c>
      <c r="G1685" s="27">
        <v>7553.4826003953349</v>
      </c>
      <c r="H1685" s="27">
        <v>10073.418027616426</v>
      </c>
      <c r="I1685" s="27">
        <v>14268.189701385738</v>
      </c>
      <c r="J1685" s="27">
        <v>23082.385060694913</v>
      </c>
      <c r="K1685" s="27">
        <v>49574.477633008937</v>
      </c>
      <c r="L1685" s="27">
        <v>105523.31588008541</v>
      </c>
      <c r="M1685" s="27">
        <v>223329.46945080336</v>
      </c>
    </row>
    <row r="1686" spans="1:13" x14ac:dyDescent="0.75">
      <c r="A1686" s="40">
        <v>1684</v>
      </c>
      <c r="B1686" s="27">
        <v>595.11478983401321</v>
      </c>
      <c r="C1686" s="27">
        <v>925.61693611153169</v>
      </c>
      <c r="D1686" s="27">
        <v>2110.7480470430601</v>
      </c>
      <c r="E1686" s="27">
        <v>3434.7998213779501</v>
      </c>
      <c r="F1686" s="27">
        <v>5313.9812936501403</v>
      </c>
      <c r="G1686" s="27">
        <v>7748.1676606700639</v>
      </c>
      <c r="H1686" s="27">
        <v>10394.379343429857</v>
      </c>
      <c r="I1686" s="27">
        <v>14137.47103256351</v>
      </c>
      <c r="J1686" s="27">
        <v>23192.924301509513</v>
      </c>
      <c r="K1686" s="27">
        <v>44875.404720799241</v>
      </c>
      <c r="L1686" s="27">
        <v>111778.20086520832</v>
      </c>
      <c r="M1686" s="27">
        <v>224506.80881219718</v>
      </c>
    </row>
    <row r="1687" spans="1:13" x14ac:dyDescent="0.75">
      <c r="A1687" s="40">
        <v>1685</v>
      </c>
      <c r="B1687" s="27">
        <v>298.51654142727784</v>
      </c>
      <c r="C1687" s="27">
        <v>702.37063363827474</v>
      </c>
      <c r="D1687" s="27">
        <v>1642.1146104271611</v>
      </c>
      <c r="E1687" s="27">
        <v>2730.4110718389711</v>
      </c>
      <c r="F1687" s="27">
        <v>4664.9729171966028</v>
      </c>
      <c r="G1687" s="27">
        <v>6884.853340536094</v>
      </c>
      <c r="H1687" s="27">
        <v>9493.2557502811396</v>
      </c>
      <c r="I1687" s="27">
        <v>12953.171272554406</v>
      </c>
      <c r="J1687" s="27">
        <v>22267.041781226348</v>
      </c>
      <c r="K1687" s="27">
        <v>46615.687600528559</v>
      </c>
      <c r="L1687" s="27">
        <v>111666.12134911682</v>
      </c>
      <c r="M1687" s="27">
        <v>219918.51686877164</v>
      </c>
    </row>
    <row r="1688" spans="1:13" x14ac:dyDescent="0.75">
      <c r="A1688" s="40">
        <v>1686</v>
      </c>
      <c r="B1688" s="27">
        <v>789.83282733209489</v>
      </c>
      <c r="C1688" s="27">
        <v>1240.1477594113385</v>
      </c>
      <c r="D1688" s="27">
        <v>1995.9186043788795</v>
      </c>
      <c r="E1688" s="27">
        <v>3315.2339071315801</v>
      </c>
      <c r="F1688" s="27">
        <v>5997.7628824988205</v>
      </c>
      <c r="G1688" s="27">
        <v>7865.5666824404616</v>
      </c>
      <c r="H1688" s="27">
        <v>10575.957338832217</v>
      </c>
      <c r="I1688" s="27">
        <v>14318.14530509313</v>
      </c>
      <c r="J1688" s="27">
        <v>24390.288974779847</v>
      </c>
      <c r="K1688" s="27">
        <v>46946.477781422931</v>
      </c>
      <c r="L1688" s="27">
        <v>118862.72010440053</v>
      </c>
      <c r="M1688" s="27">
        <v>236298.05216772185</v>
      </c>
    </row>
    <row r="1689" spans="1:13" x14ac:dyDescent="0.75">
      <c r="A1689" s="40">
        <v>1687</v>
      </c>
      <c r="B1689" s="27">
        <v>1414.9180232867802</v>
      </c>
      <c r="C1689" s="27">
        <v>1906.4757568861387</v>
      </c>
      <c r="D1689" s="27">
        <v>2759.2494474088307</v>
      </c>
      <c r="E1689" s="27">
        <v>3974.4688527637772</v>
      </c>
      <c r="F1689" s="27">
        <v>5949.7911532463913</v>
      </c>
      <c r="G1689" s="27">
        <v>8624.1928085978434</v>
      </c>
      <c r="H1689" s="27">
        <v>11062.405057895317</v>
      </c>
      <c r="I1689" s="27">
        <v>14721.754207417165</v>
      </c>
      <c r="J1689" s="27">
        <v>22939.23137010308</v>
      </c>
      <c r="K1689" s="27">
        <v>44642.01994881162</v>
      </c>
      <c r="L1689" s="27">
        <v>110052.48892578667</v>
      </c>
      <c r="M1689" s="27">
        <v>228046.99555220362</v>
      </c>
    </row>
    <row r="1690" spans="1:13" x14ac:dyDescent="0.75">
      <c r="A1690" s="40">
        <v>1688</v>
      </c>
      <c r="B1690" s="27">
        <v>1025.1723269676295</v>
      </c>
      <c r="C1690" s="27">
        <v>1267.7351800358156</v>
      </c>
      <c r="D1690" s="27">
        <v>2096.7759131521743</v>
      </c>
      <c r="E1690" s="27">
        <v>3194.8260820849973</v>
      </c>
      <c r="F1690" s="27">
        <v>5062.1528521405999</v>
      </c>
      <c r="G1690" s="27">
        <v>7210.3144605816342</v>
      </c>
      <c r="H1690" s="27">
        <v>10091.497963822971</v>
      </c>
      <c r="I1690" s="27">
        <v>13835.255164841597</v>
      </c>
      <c r="J1690" s="27">
        <v>23102.133338256448</v>
      </c>
      <c r="K1690" s="27">
        <v>46858.626975631312</v>
      </c>
      <c r="L1690" s="27">
        <v>113671.88131402247</v>
      </c>
      <c r="M1690" s="27">
        <v>227416.37157153763</v>
      </c>
    </row>
    <row r="1691" spans="1:13" x14ac:dyDescent="0.75">
      <c r="A1691" s="40">
        <v>1689</v>
      </c>
      <c r="B1691" s="27">
        <v>367.77580309055338</v>
      </c>
      <c r="C1691" s="27">
        <v>893.29956915964431</v>
      </c>
      <c r="D1691" s="27">
        <v>1565.9370683132001</v>
      </c>
      <c r="E1691" s="27">
        <v>2833.3317179158767</v>
      </c>
      <c r="F1691" s="27">
        <v>4699.2528682903503</v>
      </c>
      <c r="G1691" s="27">
        <v>7089.8312050903041</v>
      </c>
      <c r="H1691" s="27">
        <v>9727.0493490879016</v>
      </c>
      <c r="I1691" s="27">
        <v>13340.770096321779</v>
      </c>
      <c r="J1691" s="27">
        <v>23238.607533628456</v>
      </c>
      <c r="K1691" s="27">
        <v>45038.715696777217</v>
      </c>
      <c r="L1691" s="27">
        <v>112018.90885872676</v>
      </c>
      <c r="M1691" s="27">
        <v>220813.47976640204</v>
      </c>
    </row>
    <row r="1692" spans="1:13" x14ac:dyDescent="0.75">
      <c r="A1692" s="40">
        <v>1690</v>
      </c>
      <c r="B1692" s="27">
        <v>773.35894039431878</v>
      </c>
      <c r="C1692" s="27">
        <v>1145.456970328989</v>
      </c>
      <c r="D1692" s="27">
        <v>2367.959101558663</v>
      </c>
      <c r="E1692" s="27">
        <v>3593.6568297175399</v>
      </c>
      <c r="F1692" s="27">
        <v>5727.3508112839481</v>
      </c>
      <c r="G1692" s="27">
        <v>8222.513173532323</v>
      </c>
      <c r="H1692" s="27">
        <v>10487.417957455284</v>
      </c>
      <c r="I1692" s="27">
        <v>14492.494283000633</v>
      </c>
      <c r="J1692" s="27">
        <v>23024.635601118003</v>
      </c>
      <c r="K1692" s="27">
        <v>46605.235646264307</v>
      </c>
      <c r="L1692" s="27">
        <v>110855.03777227283</v>
      </c>
      <c r="M1692" s="27">
        <v>227295.11708692682</v>
      </c>
    </row>
    <row r="1693" spans="1:13" x14ac:dyDescent="0.75">
      <c r="A1693" s="40">
        <v>1691</v>
      </c>
      <c r="B1693" s="27">
        <v>1427.7735271008423</v>
      </c>
      <c r="C1693" s="27">
        <v>2171.4306706564967</v>
      </c>
      <c r="D1693" s="27">
        <v>3005.031943734095</v>
      </c>
      <c r="E1693" s="27">
        <v>4163.8228441594838</v>
      </c>
      <c r="F1693" s="27">
        <v>6027.2999102315516</v>
      </c>
      <c r="G1693" s="27">
        <v>8288.7972885622876</v>
      </c>
      <c r="H1693" s="27">
        <v>10434.810318301053</v>
      </c>
      <c r="I1693" s="27">
        <v>15300.136977894974</v>
      </c>
      <c r="J1693" s="27">
        <v>22871.627743308651</v>
      </c>
      <c r="K1693" s="27">
        <v>48872.117212394165</v>
      </c>
      <c r="L1693" s="27">
        <v>112182.38586328173</v>
      </c>
      <c r="M1693" s="27">
        <v>234745.23429962533</v>
      </c>
    </row>
    <row r="1694" spans="1:13" x14ac:dyDescent="0.75">
      <c r="A1694" s="40">
        <v>1692</v>
      </c>
      <c r="B1694" s="27">
        <v>692.89994006877532</v>
      </c>
      <c r="C1694" s="27">
        <v>1051.5606781628885</v>
      </c>
      <c r="D1694" s="27">
        <v>1852.9354099394113</v>
      </c>
      <c r="E1694" s="27">
        <v>2845.9346698840818</v>
      </c>
      <c r="F1694" s="27">
        <v>4725.3729993827874</v>
      </c>
      <c r="G1694" s="27">
        <v>7437.1979965739883</v>
      </c>
      <c r="H1694" s="27">
        <v>10122.415903338318</v>
      </c>
      <c r="I1694" s="27">
        <v>14393.153174187188</v>
      </c>
      <c r="J1694" s="27">
        <v>23386.287764603418</v>
      </c>
      <c r="K1694" s="27">
        <v>47153.966049556344</v>
      </c>
      <c r="L1694" s="27">
        <v>112516.67158841001</v>
      </c>
      <c r="M1694" s="27">
        <v>226178.39617410721</v>
      </c>
    </row>
    <row r="1695" spans="1:13" x14ac:dyDescent="0.75">
      <c r="A1695" s="40">
        <v>1693</v>
      </c>
      <c r="B1695" s="27">
        <v>1306.276671075073</v>
      </c>
      <c r="C1695" s="27">
        <v>1612.4372832206573</v>
      </c>
      <c r="D1695" s="27">
        <v>2525.5828337449639</v>
      </c>
      <c r="E1695" s="27">
        <v>3494.7167159636883</v>
      </c>
      <c r="F1695" s="27">
        <v>5520.3454744630435</v>
      </c>
      <c r="G1695" s="27">
        <v>7755.6466771872947</v>
      </c>
      <c r="H1695" s="27">
        <v>10544.859989291232</v>
      </c>
      <c r="I1695" s="27">
        <v>14321.664563541519</v>
      </c>
      <c r="J1695" s="27">
        <v>23742.3789864758</v>
      </c>
      <c r="K1695" s="27">
        <v>46906.327123458759</v>
      </c>
      <c r="L1695" s="27">
        <v>112146.4566869149</v>
      </c>
      <c r="M1695" s="27">
        <v>229876.69300533691</v>
      </c>
    </row>
    <row r="1696" spans="1:13" x14ac:dyDescent="0.75">
      <c r="A1696" s="40">
        <v>1694</v>
      </c>
      <c r="B1696" s="27">
        <v>738.2567944915063</v>
      </c>
      <c r="C1696" s="27">
        <v>1268.1444555908238</v>
      </c>
      <c r="D1696" s="27">
        <v>2207.9941505984025</v>
      </c>
      <c r="E1696" s="27">
        <v>3072.0290651992837</v>
      </c>
      <c r="F1696" s="27">
        <v>4926.4975901320577</v>
      </c>
      <c r="G1696" s="27">
        <v>7678.9897496528283</v>
      </c>
      <c r="H1696" s="27">
        <v>9772.2794163668877</v>
      </c>
      <c r="I1696" s="27">
        <v>14238.737555906715</v>
      </c>
      <c r="J1696" s="27">
        <v>22296.421839897521</v>
      </c>
      <c r="K1696" s="27">
        <v>44986.731023170811</v>
      </c>
      <c r="L1696" s="27">
        <v>112649.72623323891</v>
      </c>
      <c r="M1696" s="27">
        <v>223835.80787424574</v>
      </c>
    </row>
    <row r="1697" spans="1:13" x14ac:dyDescent="0.75">
      <c r="A1697" s="40">
        <v>1695</v>
      </c>
      <c r="B1697" s="27">
        <v>814.05121995179798</v>
      </c>
      <c r="C1697" s="27">
        <v>1447.2360478495248</v>
      </c>
      <c r="D1697" s="27">
        <v>2047.2493404595298</v>
      </c>
      <c r="E1697" s="27">
        <v>3285.4163558916771</v>
      </c>
      <c r="F1697" s="27">
        <v>4879.0295619286771</v>
      </c>
      <c r="G1697" s="27">
        <v>7116.2927920800867</v>
      </c>
      <c r="H1697" s="27">
        <v>9690.6436799285002</v>
      </c>
      <c r="I1697" s="27">
        <v>13177.966662637147</v>
      </c>
      <c r="J1697" s="27">
        <v>22160.321893888526</v>
      </c>
      <c r="K1697" s="27">
        <v>46141.245645488467</v>
      </c>
      <c r="L1697" s="27">
        <v>117980.29695936377</v>
      </c>
      <c r="M1697" s="27">
        <v>228739.75015946769</v>
      </c>
    </row>
    <row r="1698" spans="1:13" x14ac:dyDescent="0.75">
      <c r="A1698" s="40">
        <v>1696</v>
      </c>
      <c r="B1698" s="27">
        <v>990.61605287085695</v>
      </c>
      <c r="C1698" s="27">
        <v>1765.1646139627992</v>
      </c>
      <c r="D1698" s="27">
        <v>2807.3935150428151</v>
      </c>
      <c r="E1698" s="27">
        <v>4126.3331598793011</v>
      </c>
      <c r="F1698" s="27">
        <v>5767.0594432152284</v>
      </c>
      <c r="G1698" s="27">
        <v>7301.3291912530549</v>
      </c>
      <c r="H1698" s="27">
        <v>10476.27809643306</v>
      </c>
      <c r="I1698" s="27">
        <v>14307.897277769662</v>
      </c>
      <c r="J1698" s="27">
        <v>23458.595824885604</v>
      </c>
      <c r="K1698" s="27">
        <v>45818.186862433387</v>
      </c>
      <c r="L1698" s="27">
        <v>116007.47515055897</v>
      </c>
      <c r="M1698" s="27">
        <v>232826.32918830472</v>
      </c>
    </row>
    <row r="1699" spans="1:13" x14ac:dyDescent="0.75">
      <c r="A1699" s="40">
        <v>1697</v>
      </c>
      <c r="B1699" s="27">
        <v>295.25542042107554</v>
      </c>
      <c r="C1699" s="27">
        <v>755.37708034843672</v>
      </c>
      <c r="D1699" s="27">
        <v>1769.7437769787066</v>
      </c>
      <c r="E1699" s="27">
        <v>2565.94105673593</v>
      </c>
      <c r="F1699" s="27">
        <v>4208.7248313990713</v>
      </c>
      <c r="G1699" s="27">
        <v>6843.896518775291</v>
      </c>
      <c r="H1699" s="27">
        <v>9664.5074229741003</v>
      </c>
      <c r="I1699" s="27">
        <v>13313.317030794569</v>
      </c>
      <c r="J1699" s="27">
        <v>21767.683908078587</v>
      </c>
      <c r="K1699" s="27">
        <v>46341.017189164733</v>
      </c>
      <c r="L1699" s="27">
        <v>110814.46116678588</v>
      </c>
      <c r="M1699" s="27">
        <v>218339.92540245637</v>
      </c>
    </row>
    <row r="1700" spans="1:13" x14ac:dyDescent="0.75">
      <c r="A1700" s="40">
        <v>1698</v>
      </c>
      <c r="B1700" s="27">
        <v>409.76429975772044</v>
      </c>
      <c r="C1700" s="27">
        <v>1114.8477131756372</v>
      </c>
      <c r="D1700" s="27">
        <v>1867.1931387625082</v>
      </c>
      <c r="E1700" s="27">
        <v>3013.3648701054481</v>
      </c>
      <c r="F1700" s="27">
        <v>4829.2301303185232</v>
      </c>
      <c r="G1700" s="27">
        <v>7263.4529113993049</v>
      </c>
      <c r="H1700" s="27">
        <v>9300.4515052589559</v>
      </c>
      <c r="I1700" s="27">
        <v>13641.087560748623</v>
      </c>
      <c r="J1700" s="27">
        <v>22481.068148663791</v>
      </c>
      <c r="K1700" s="27">
        <v>45402.376054938912</v>
      </c>
      <c r="L1700" s="27">
        <v>112913.42431375224</v>
      </c>
      <c r="M1700" s="27">
        <v>222236.26064688165</v>
      </c>
    </row>
    <row r="1701" spans="1:13" x14ac:dyDescent="0.75">
      <c r="A1701" s="40">
        <v>1699</v>
      </c>
      <c r="B1701" s="27">
        <v>1332.0349674102472</v>
      </c>
      <c r="C1701" s="27">
        <v>2043.1523974999145</v>
      </c>
      <c r="D1701" s="27">
        <v>3013.7055496264802</v>
      </c>
      <c r="E1701" s="27">
        <v>4346.1879445522354</v>
      </c>
      <c r="F1701" s="27">
        <v>6686.695946602209</v>
      </c>
      <c r="G1701" s="27">
        <v>8590.6498623755178</v>
      </c>
      <c r="H1701" s="27">
        <v>11279.402068693176</v>
      </c>
      <c r="I1701" s="27">
        <v>16706.450443021138</v>
      </c>
      <c r="J1701" s="27">
        <v>25103.341280897846</v>
      </c>
      <c r="K1701" s="27">
        <v>46344.825988995901</v>
      </c>
      <c r="L1701" s="27">
        <v>115647.52532495515</v>
      </c>
      <c r="M1701" s="27">
        <v>241093.97177462981</v>
      </c>
    </row>
    <row r="1702" spans="1:13" x14ac:dyDescent="0.75">
      <c r="A1702" s="40">
        <v>1700</v>
      </c>
      <c r="B1702" s="27">
        <v>1269.2232332866552</v>
      </c>
      <c r="C1702" s="27">
        <v>1558.5500853091507</v>
      </c>
      <c r="D1702" s="27">
        <v>2755.9613075387606</v>
      </c>
      <c r="E1702" s="27">
        <v>3863.3177962952614</v>
      </c>
      <c r="F1702" s="27">
        <v>5694.9303533989587</v>
      </c>
      <c r="G1702" s="27">
        <v>7825.2844098358473</v>
      </c>
      <c r="H1702" s="27">
        <v>10785.088006444712</v>
      </c>
      <c r="I1702" s="27">
        <v>15191.409804554249</v>
      </c>
      <c r="J1702" s="27">
        <v>24532.682366092209</v>
      </c>
      <c r="K1702" s="27">
        <v>46804.180312563229</v>
      </c>
      <c r="L1702" s="27">
        <v>115340.33427486976</v>
      </c>
      <c r="M1702" s="27">
        <v>235620.96195018879</v>
      </c>
    </row>
    <row r="1703" spans="1:13" x14ac:dyDescent="0.75">
      <c r="A1703" s="40">
        <v>1701</v>
      </c>
      <c r="B1703" s="27">
        <v>528.74113041274541</v>
      </c>
      <c r="C1703" s="27">
        <v>745.15855419014406</v>
      </c>
      <c r="D1703" s="27">
        <v>1289.2186889458098</v>
      </c>
      <c r="E1703" s="27">
        <v>2605.558386231336</v>
      </c>
      <c r="F1703" s="27">
        <v>4632.8211593979504</v>
      </c>
      <c r="G1703" s="27">
        <v>6610.7687417894776</v>
      </c>
      <c r="H1703" s="27">
        <v>9332.2022582083446</v>
      </c>
      <c r="I1703" s="27">
        <v>12754.199720043471</v>
      </c>
      <c r="J1703" s="27">
        <v>22471.596854010277</v>
      </c>
      <c r="K1703" s="27">
        <v>47353.602448026475</v>
      </c>
      <c r="L1703" s="27">
        <v>106013.78101541102</v>
      </c>
      <c r="M1703" s="27">
        <v>214337.64895666705</v>
      </c>
    </row>
    <row r="1704" spans="1:13" x14ac:dyDescent="0.75">
      <c r="A1704" s="40">
        <v>1702</v>
      </c>
      <c r="B1704" s="27">
        <v>531.50836036245164</v>
      </c>
      <c r="C1704" s="27">
        <v>775.95161109072797</v>
      </c>
      <c r="D1704" s="27">
        <v>1705.8788595177466</v>
      </c>
      <c r="E1704" s="27">
        <v>2581.1722578173794</v>
      </c>
      <c r="F1704" s="27">
        <v>4820.9006468679581</v>
      </c>
      <c r="G1704" s="27">
        <v>6856.4651665648853</v>
      </c>
      <c r="H1704" s="27">
        <v>9483.6207154008152</v>
      </c>
      <c r="I1704" s="27">
        <v>13483.897299964228</v>
      </c>
      <c r="J1704" s="27">
        <v>22648.120641082583</v>
      </c>
      <c r="K1704" s="27">
        <v>44938.369823506131</v>
      </c>
      <c r="L1704" s="27">
        <v>111288.4087239341</v>
      </c>
      <c r="M1704" s="27">
        <v>219114.29410610901</v>
      </c>
    </row>
    <row r="1705" spans="1:13" x14ac:dyDescent="0.75">
      <c r="A1705" s="40">
        <v>1703</v>
      </c>
      <c r="B1705" s="27">
        <v>278.3909053105599</v>
      </c>
      <c r="C1705" s="27">
        <v>604.66100466596254</v>
      </c>
      <c r="D1705" s="27">
        <v>1418.9142910112569</v>
      </c>
      <c r="E1705" s="27">
        <v>2964.9144236424472</v>
      </c>
      <c r="F1705" s="27">
        <v>4893.5314251803793</v>
      </c>
      <c r="G1705" s="27">
        <v>6991.1520643821568</v>
      </c>
      <c r="H1705" s="27">
        <v>9797.0755912948225</v>
      </c>
      <c r="I1705" s="27">
        <v>13693.605678312582</v>
      </c>
      <c r="J1705" s="27">
        <v>22914.602913095514</v>
      </c>
      <c r="K1705" s="27">
        <v>45744.968186745129</v>
      </c>
      <c r="L1705" s="27">
        <v>110473.46109023681</v>
      </c>
      <c r="M1705" s="27">
        <v>219775.27757387763</v>
      </c>
    </row>
    <row r="1706" spans="1:13" x14ac:dyDescent="0.75">
      <c r="A1706" s="40">
        <v>1704</v>
      </c>
      <c r="B1706" s="27">
        <v>843.61637134732155</v>
      </c>
      <c r="C1706" s="27">
        <v>1253.2164155902428</v>
      </c>
      <c r="D1706" s="27">
        <v>2337.4622543880396</v>
      </c>
      <c r="E1706" s="27">
        <v>3516.3449558106804</v>
      </c>
      <c r="F1706" s="27">
        <v>5312.3902745661617</v>
      </c>
      <c r="G1706" s="27">
        <v>7907.3343134335009</v>
      </c>
      <c r="H1706" s="27">
        <v>9850.9740709095495</v>
      </c>
      <c r="I1706" s="27">
        <v>14550.955166652289</v>
      </c>
      <c r="J1706" s="27">
        <v>22958.291012192058</v>
      </c>
      <c r="K1706" s="27">
        <v>43991.472741348072</v>
      </c>
      <c r="L1706" s="27">
        <v>111633.06698916876</v>
      </c>
      <c r="M1706" s="27">
        <v>224155.12456540667</v>
      </c>
    </row>
    <row r="1707" spans="1:13" x14ac:dyDescent="0.75">
      <c r="A1707" s="40">
        <v>1705</v>
      </c>
      <c r="B1707" s="27">
        <v>792.71244373367517</v>
      </c>
      <c r="C1707" s="27">
        <v>1380.9919448303845</v>
      </c>
      <c r="D1707" s="27">
        <v>1939.4723306419764</v>
      </c>
      <c r="E1707" s="27">
        <v>3276.7555277158099</v>
      </c>
      <c r="F1707" s="27">
        <v>5209.4901193369005</v>
      </c>
      <c r="G1707" s="27">
        <v>7300.5544608100026</v>
      </c>
      <c r="H1707" s="27">
        <v>10065.370009667095</v>
      </c>
      <c r="I1707" s="27">
        <v>13806.907788971599</v>
      </c>
      <c r="J1707" s="27">
        <v>21877.198867723084</v>
      </c>
      <c r="K1707" s="27">
        <v>43851.552629464728</v>
      </c>
      <c r="L1707" s="27">
        <v>110881.05914551447</v>
      </c>
      <c r="M1707" s="27">
        <v>220382.06526840973</v>
      </c>
    </row>
    <row r="1708" spans="1:13" x14ac:dyDescent="0.75">
      <c r="A1708" s="40">
        <v>1706</v>
      </c>
      <c r="B1708" s="27">
        <v>824.73183872363006</v>
      </c>
      <c r="C1708" s="27">
        <v>1330.7492626377934</v>
      </c>
      <c r="D1708" s="27">
        <v>2279.1751778808539</v>
      </c>
      <c r="E1708" s="27">
        <v>3437.308894008369</v>
      </c>
      <c r="F1708" s="27">
        <v>5163.1253546906519</v>
      </c>
      <c r="G1708" s="27">
        <v>7427.1097850624355</v>
      </c>
      <c r="H1708" s="27">
        <v>9711.9155504963419</v>
      </c>
      <c r="I1708" s="27">
        <v>14227.830143310392</v>
      </c>
      <c r="J1708" s="27">
        <v>23784.36377332313</v>
      </c>
      <c r="K1708" s="27">
        <v>44542.782414117566</v>
      </c>
      <c r="L1708" s="27">
        <v>115856.57664464664</v>
      </c>
      <c r="M1708" s="27">
        <v>228585.66883889781</v>
      </c>
    </row>
    <row r="1709" spans="1:13" x14ac:dyDescent="0.75">
      <c r="A1709" s="40">
        <v>1707</v>
      </c>
      <c r="B1709" s="27">
        <v>882.12228650035104</v>
      </c>
      <c r="C1709" s="27">
        <v>1100.8250411022309</v>
      </c>
      <c r="D1709" s="27">
        <v>1975.7806661509676</v>
      </c>
      <c r="E1709" s="27">
        <v>3401.7586856811686</v>
      </c>
      <c r="F1709" s="27">
        <v>4677.7091609948548</v>
      </c>
      <c r="G1709" s="27">
        <v>6811.9036882834043</v>
      </c>
      <c r="H1709" s="27">
        <v>9882.2872574740322</v>
      </c>
      <c r="I1709" s="27">
        <v>14064.756612900906</v>
      </c>
      <c r="J1709" s="27">
        <v>22605.342853350536</v>
      </c>
      <c r="K1709" s="27">
        <v>46978.533339920716</v>
      </c>
      <c r="L1709" s="27">
        <v>107543.39223443711</v>
      </c>
      <c r="M1709" s="27">
        <v>219924.41182679628</v>
      </c>
    </row>
    <row r="1710" spans="1:13" x14ac:dyDescent="0.75">
      <c r="A1710" s="40">
        <v>1708</v>
      </c>
      <c r="B1710" s="27">
        <v>589.48228427911818</v>
      </c>
      <c r="C1710" s="27">
        <v>947.47249138154439</v>
      </c>
      <c r="D1710" s="27">
        <v>1853.2463477927085</v>
      </c>
      <c r="E1710" s="27">
        <v>2927.2997932864091</v>
      </c>
      <c r="F1710" s="27">
        <v>4517.7400682205334</v>
      </c>
      <c r="G1710" s="27">
        <v>6911.9456663768506</v>
      </c>
      <c r="H1710" s="27">
        <v>9395.3127199927694</v>
      </c>
      <c r="I1710" s="27">
        <v>13312.855676629915</v>
      </c>
      <c r="J1710" s="27">
        <v>22582.584095207916</v>
      </c>
      <c r="K1710" s="27">
        <v>43965.201407893182</v>
      </c>
      <c r="L1710" s="27">
        <v>103725.60686144338</v>
      </c>
      <c r="M1710" s="27">
        <v>210728.74741250434</v>
      </c>
    </row>
    <row r="1711" spans="1:13" x14ac:dyDescent="0.75">
      <c r="A1711" s="40">
        <v>1709</v>
      </c>
      <c r="B1711" s="27">
        <v>546.28854105467326</v>
      </c>
      <c r="C1711" s="27">
        <v>870.41147384015494</v>
      </c>
      <c r="D1711" s="27">
        <v>1745.6529918605374</v>
      </c>
      <c r="E1711" s="27">
        <v>2643.0618084219022</v>
      </c>
      <c r="F1711" s="27">
        <v>4906.40546566181</v>
      </c>
      <c r="G1711" s="27">
        <v>6924.5577450647543</v>
      </c>
      <c r="H1711" s="27">
        <v>10208.683290547662</v>
      </c>
      <c r="I1711" s="27">
        <v>13652.932085107037</v>
      </c>
      <c r="J1711" s="27">
        <v>22020.477563995984</v>
      </c>
      <c r="K1711" s="27">
        <v>45466.62701054143</v>
      </c>
      <c r="L1711" s="27">
        <v>111493.44269890568</v>
      </c>
      <c r="M1711" s="27">
        <v>220478.54067500163</v>
      </c>
    </row>
    <row r="1712" spans="1:13" x14ac:dyDescent="0.75">
      <c r="A1712" s="40">
        <v>1710</v>
      </c>
      <c r="B1712" s="27">
        <v>1072.4802251301298</v>
      </c>
      <c r="C1712" s="27">
        <v>1422.3642463699071</v>
      </c>
      <c r="D1712" s="27">
        <v>2125.6636967974773</v>
      </c>
      <c r="E1712" s="27">
        <v>3310.0879907568888</v>
      </c>
      <c r="F1712" s="27">
        <v>5299.0858561556961</v>
      </c>
      <c r="G1712" s="27">
        <v>7121.4534437899711</v>
      </c>
      <c r="H1712" s="27">
        <v>10293.498458797636</v>
      </c>
      <c r="I1712" s="27">
        <v>14128.80989003522</v>
      </c>
      <c r="J1712" s="27">
        <v>23430.498900136852</v>
      </c>
      <c r="K1712" s="27">
        <v>45678.216156593844</v>
      </c>
      <c r="L1712" s="27">
        <v>115148.11056311359</v>
      </c>
      <c r="M1712" s="27">
        <v>229030.26942767721</v>
      </c>
    </row>
    <row r="1713" spans="1:13" x14ac:dyDescent="0.75">
      <c r="A1713" s="40">
        <v>1711</v>
      </c>
      <c r="B1713" s="27">
        <v>1478.8845623351663</v>
      </c>
      <c r="C1713" s="27">
        <v>2203.0875225901109</v>
      </c>
      <c r="D1713" s="27">
        <v>3133.7359789361362</v>
      </c>
      <c r="E1713" s="27">
        <v>4072.8170814244077</v>
      </c>
      <c r="F1713" s="27">
        <v>5902.1647327689279</v>
      </c>
      <c r="G1713" s="27">
        <v>8528.1734386128664</v>
      </c>
      <c r="H1713" s="27">
        <v>11165.680685686151</v>
      </c>
      <c r="I1713" s="27">
        <v>15394.905828415605</v>
      </c>
      <c r="J1713" s="27">
        <v>23157.979683941317</v>
      </c>
      <c r="K1713" s="27">
        <v>48635.600042622129</v>
      </c>
      <c r="L1713" s="27">
        <v>108267.53616767512</v>
      </c>
      <c r="M1713" s="27">
        <v>231940.56572500794</v>
      </c>
    </row>
    <row r="1714" spans="1:13" x14ac:dyDescent="0.75">
      <c r="A1714" s="40">
        <v>1712</v>
      </c>
      <c r="B1714" s="27">
        <v>1174.5177804565319</v>
      </c>
      <c r="C1714" s="27">
        <v>1983.8986530149996</v>
      </c>
      <c r="D1714" s="27">
        <v>2859.405920895093</v>
      </c>
      <c r="E1714" s="27">
        <v>3712.0337315644429</v>
      </c>
      <c r="F1714" s="27">
        <v>6105.889728573442</v>
      </c>
      <c r="G1714" s="27">
        <v>8512.0781729128503</v>
      </c>
      <c r="H1714" s="27">
        <v>10963.31912113665</v>
      </c>
      <c r="I1714" s="27">
        <v>15402.103115060454</v>
      </c>
      <c r="J1714" s="27">
        <v>23736.127800442744</v>
      </c>
      <c r="K1714" s="27">
        <v>48475.33992572024</v>
      </c>
      <c r="L1714" s="27">
        <v>113683.91460955252</v>
      </c>
      <c r="M1714" s="27">
        <v>236608.62855932995</v>
      </c>
    </row>
    <row r="1715" spans="1:13" x14ac:dyDescent="0.75">
      <c r="A1715" s="40">
        <v>1713</v>
      </c>
      <c r="B1715" s="27">
        <v>1051.7535906919074</v>
      </c>
      <c r="C1715" s="27">
        <v>1720.0297000466817</v>
      </c>
      <c r="D1715" s="27">
        <v>2488.4178145121405</v>
      </c>
      <c r="E1715" s="27">
        <v>3510.1131972044532</v>
      </c>
      <c r="F1715" s="27">
        <v>5628.1059922742425</v>
      </c>
      <c r="G1715" s="27">
        <v>7692.3510029552272</v>
      </c>
      <c r="H1715" s="27">
        <v>10866.777574699809</v>
      </c>
      <c r="I1715" s="27">
        <v>15528.894853387901</v>
      </c>
      <c r="J1715" s="27">
        <v>23044.508912457328</v>
      </c>
      <c r="K1715" s="27">
        <v>48468.458904220141</v>
      </c>
      <c r="L1715" s="27">
        <v>116162.11339395851</v>
      </c>
      <c r="M1715" s="27">
        <v>236161.52493640833</v>
      </c>
    </row>
    <row r="1716" spans="1:13" x14ac:dyDescent="0.75">
      <c r="A1716" s="40">
        <v>1714</v>
      </c>
      <c r="B1716" s="27">
        <v>452.91439810518932</v>
      </c>
      <c r="C1716" s="27">
        <v>955.31073268696491</v>
      </c>
      <c r="D1716" s="27">
        <v>1793.7780256871047</v>
      </c>
      <c r="E1716" s="27">
        <v>3040.5072219566064</v>
      </c>
      <c r="F1716" s="27">
        <v>5057.7104342923267</v>
      </c>
      <c r="G1716" s="27">
        <v>7492.416616545117</v>
      </c>
      <c r="H1716" s="27">
        <v>10532.277807512612</v>
      </c>
      <c r="I1716" s="27">
        <v>15337.351333591505</v>
      </c>
      <c r="J1716" s="27">
        <v>24354.612012731668</v>
      </c>
      <c r="K1716" s="27">
        <v>48358.555646206223</v>
      </c>
      <c r="L1716" s="27">
        <v>119352.64532478436</v>
      </c>
      <c r="M1716" s="27">
        <v>236728.07955409968</v>
      </c>
    </row>
    <row r="1717" spans="1:13" x14ac:dyDescent="0.75">
      <c r="A1717" s="40">
        <v>1715</v>
      </c>
      <c r="B1717" s="27">
        <v>780.07023063619272</v>
      </c>
      <c r="C1717" s="27">
        <v>1435.5761104063422</v>
      </c>
      <c r="D1717" s="27">
        <v>2118.3110289876058</v>
      </c>
      <c r="E1717" s="27">
        <v>3593.9026164498646</v>
      </c>
      <c r="F1717" s="27">
        <v>5773.4277291926846</v>
      </c>
      <c r="G1717" s="27">
        <v>8439.6477054823481</v>
      </c>
      <c r="H1717" s="27">
        <v>10862.582380398817</v>
      </c>
      <c r="I1717" s="27">
        <v>15653.672195478517</v>
      </c>
      <c r="J1717" s="27">
        <v>23777.423438330457</v>
      </c>
      <c r="K1717" s="27">
        <v>46043.963122694928</v>
      </c>
      <c r="L1717" s="27">
        <v>114060.70409705417</v>
      </c>
      <c r="M1717" s="27">
        <v>232539.28065511194</v>
      </c>
    </row>
    <row r="1718" spans="1:13" x14ac:dyDescent="0.75">
      <c r="A1718" s="40">
        <v>1716</v>
      </c>
      <c r="B1718" s="27">
        <v>1021.871278622275</v>
      </c>
      <c r="C1718" s="27">
        <v>1308.8067589713755</v>
      </c>
      <c r="D1718" s="27">
        <v>2341.7898387293098</v>
      </c>
      <c r="E1718" s="27">
        <v>3533.653215437007</v>
      </c>
      <c r="F1718" s="27">
        <v>5778.3591724254657</v>
      </c>
      <c r="G1718" s="27">
        <v>8047.1484355895955</v>
      </c>
      <c r="H1718" s="27">
        <v>10557.402082135828</v>
      </c>
      <c r="I1718" s="27">
        <v>14429.641076239262</v>
      </c>
      <c r="J1718" s="27">
        <v>22459.340507645305</v>
      </c>
      <c r="K1718" s="27">
        <v>47161.476672312303</v>
      </c>
      <c r="L1718" s="27">
        <v>110419.21291525551</v>
      </c>
      <c r="M1718" s="27">
        <v>227058.70195336326</v>
      </c>
    </row>
    <row r="1719" spans="1:13" x14ac:dyDescent="0.75">
      <c r="A1719" s="40">
        <v>1717</v>
      </c>
      <c r="B1719" s="27">
        <v>429.2530668006948</v>
      </c>
      <c r="C1719" s="27">
        <v>1132.9388872060808</v>
      </c>
      <c r="D1719" s="27">
        <v>2067.0562672710657</v>
      </c>
      <c r="E1719" s="27">
        <v>2924.5815537619637</v>
      </c>
      <c r="F1719" s="27">
        <v>4858.0028195030463</v>
      </c>
      <c r="G1719" s="27">
        <v>7712.689206030831</v>
      </c>
      <c r="H1719" s="27">
        <v>9627.1960253268189</v>
      </c>
      <c r="I1719" s="27">
        <v>14045.32099504066</v>
      </c>
      <c r="J1719" s="27">
        <v>22694.531844567275</v>
      </c>
      <c r="K1719" s="27">
        <v>46694.30380012354</v>
      </c>
      <c r="L1719" s="27">
        <v>113874.24297870448</v>
      </c>
      <c r="M1719" s="27">
        <v>226060.11744433647</v>
      </c>
    </row>
    <row r="1720" spans="1:13" x14ac:dyDescent="0.75">
      <c r="A1720" s="40">
        <v>1718</v>
      </c>
      <c r="B1720" s="27">
        <v>740.68306534353178</v>
      </c>
      <c r="C1720" s="27">
        <v>1186.1066933424445</v>
      </c>
      <c r="D1720" s="27">
        <v>1792.1450053242152</v>
      </c>
      <c r="E1720" s="27">
        <v>2835.8785937262583</v>
      </c>
      <c r="F1720" s="27">
        <v>4392.8278634758317</v>
      </c>
      <c r="G1720" s="27">
        <v>6676.0683852838702</v>
      </c>
      <c r="H1720" s="27">
        <v>9244.14024441113</v>
      </c>
      <c r="I1720" s="27">
        <v>13400.238195566257</v>
      </c>
      <c r="J1720" s="27">
        <v>21965.264857286704</v>
      </c>
      <c r="K1720" s="27">
        <v>47092.797139510469</v>
      </c>
      <c r="L1720" s="27">
        <v>110122.6660889206</v>
      </c>
      <c r="M1720" s="27">
        <v>219448.81613219131</v>
      </c>
    </row>
    <row r="1721" spans="1:13" x14ac:dyDescent="0.75">
      <c r="A1721" s="40">
        <v>1719</v>
      </c>
      <c r="B1721" s="27">
        <v>645.06096793676261</v>
      </c>
      <c r="C1721" s="27">
        <v>1036.0791408500954</v>
      </c>
      <c r="D1721" s="27">
        <v>1970.7302560752578</v>
      </c>
      <c r="E1721" s="27">
        <v>3050.2889269295702</v>
      </c>
      <c r="F1721" s="27">
        <v>5118.7508376839687</v>
      </c>
      <c r="G1721" s="27">
        <v>7388.7457106994698</v>
      </c>
      <c r="H1721" s="27">
        <v>10342.574140805737</v>
      </c>
      <c r="I1721" s="27">
        <v>14467.836479068035</v>
      </c>
      <c r="J1721" s="27">
        <v>22990.267947479355</v>
      </c>
      <c r="K1721" s="27">
        <v>46489.759214526392</v>
      </c>
      <c r="L1721" s="27">
        <v>108751.74048015548</v>
      </c>
      <c r="M1721" s="27">
        <v>222251.83410221012</v>
      </c>
    </row>
    <row r="1722" spans="1:13" x14ac:dyDescent="0.75">
      <c r="A1722" s="40">
        <v>1720</v>
      </c>
      <c r="B1722" s="27">
        <v>1216.1620859283867</v>
      </c>
      <c r="C1722" s="27">
        <v>1831.8375688762899</v>
      </c>
      <c r="D1722" s="27">
        <v>2831.6140448229417</v>
      </c>
      <c r="E1722" s="27">
        <v>4046.7375284127338</v>
      </c>
      <c r="F1722" s="27">
        <v>5885.3445522904221</v>
      </c>
      <c r="G1722" s="27">
        <v>8296.6882139030204</v>
      </c>
      <c r="H1722" s="27">
        <v>11294.04365223553</v>
      </c>
      <c r="I1722" s="27">
        <v>15604.980783641891</v>
      </c>
      <c r="J1722" s="27">
        <v>23723.771375915327</v>
      </c>
      <c r="K1722" s="27">
        <v>48619.520787794871</v>
      </c>
      <c r="L1722" s="27">
        <v>123021.13346804518</v>
      </c>
      <c r="M1722" s="27">
        <v>246371.8340618666</v>
      </c>
    </row>
    <row r="1723" spans="1:13" x14ac:dyDescent="0.75">
      <c r="A1723" s="40">
        <v>1721</v>
      </c>
      <c r="B1723" s="27">
        <v>1461.5811811014282</v>
      </c>
      <c r="C1723" s="27">
        <v>1623.8064226981078</v>
      </c>
      <c r="D1723" s="27">
        <v>2458.6637328311335</v>
      </c>
      <c r="E1723" s="27">
        <v>3694.9277468291402</v>
      </c>
      <c r="F1723" s="27">
        <v>5483.9014941166097</v>
      </c>
      <c r="G1723" s="27">
        <v>7919.7555664218089</v>
      </c>
      <c r="H1723" s="27">
        <v>10730.1446701854</v>
      </c>
      <c r="I1723" s="27">
        <v>15163.064719307949</v>
      </c>
      <c r="J1723" s="27">
        <v>23179.334586154713</v>
      </c>
      <c r="K1723" s="27">
        <v>44913.540270178433</v>
      </c>
      <c r="L1723" s="27">
        <v>108347.47791865177</v>
      </c>
      <c r="M1723" s="27">
        <v>224976.19830847648</v>
      </c>
    </row>
    <row r="1724" spans="1:13" x14ac:dyDescent="0.75">
      <c r="A1724" s="40">
        <v>1722</v>
      </c>
      <c r="B1724" s="27">
        <v>649.37254369362199</v>
      </c>
      <c r="C1724" s="27">
        <v>1321.1310308943503</v>
      </c>
      <c r="D1724" s="27">
        <v>2092.0524479046871</v>
      </c>
      <c r="E1724" s="27">
        <v>2963.2056607119885</v>
      </c>
      <c r="F1724" s="27">
        <v>4782.895491995354</v>
      </c>
      <c r="G1724" s="27">
        <v>7611.3896133152302</v>
      </c>
      <c r="H1724" s="27">
        <v>9927.3979922954459</v>
      </c>
      <c r="I1724" s="27">
        <v>13561.202455363687</v>
      </c>
      <c r="J1724" s="27">
        <v>24176.451707039581</v>
      </c>
      <c r="K1724" s="27">
        <v>45116.189732988074</v>
      </c>
      <c r="L1724" s="27">
        <v>113173.85087445632</v>
      </c>
      <c r="M1724" s="27">
        <v>225375.13955065835</v>
      </c>
    </row>
    <row r="1725" spans="1:13" x14ac:dyDescent="0.75">
      <c r="A1725" s="40">
        <v>1723</v>
      </c>
      <c r="B1725" s="27">
        <v>628.66911248081306</v>
      </c>
      <c r="C1725" s="27">
        <v>1341.4791960072471</v>
      </c>
      <c r="D1725" s="27">
        <v>2282.7113548218913</v>
      </c>
      <c r="E1725" s="27">
        <v>3253.3370282048272</v>
      </c>
      <c r="F1725" s="27">
        <v>5032.5510452958406</v>
      </c>
      <c r="G1725" s="27">
        <v>7156.6760378215113</v>
      </c>
      <c r="H1725" s="27">
        <v>9776.9535020809126</v>
      </c>
      <c r="I1725" s="27">
        <v>13546.487986319873</v>
      </c>
      <c r="J1725" s="27">
        <v>22550.198273013069</v>
      </c>
      <c r="K1725" s="27">
        <v>44382.486898422794</v>
      </c>
      <c r="L1725" s="27">
        <v>107354.18558119063</v>
      </c>
      <c r="M1725" s="27">
        <v>217305.73601565941</v>
      </c>
    </row>
    <row r="1726" spans="1:13" x14ac:dyDescent="0.75">
      <c r="A1726" s="40">
        <v>1724</v>
      </c>
      <c r="B1726" s="27">
        <v>1126.7637631324469</v>
      </c>
      <c r="C1726" s="27">
        <v>1708.9215957170964</v>
      </c>
      <c r="D1726" s="27">
        <v>2543.6314249772986</v>
      </c>
      <c r="E1726" s="27">
        <v>3981.7952414838364</v>
      </c>
      <c r="F1726" s="27">
        <v>5909.6559443541919</v>
      </c>
      <c r="G1726" s="27">
        <v>7600.8302992429817</v>
      </c>
      <c r="H1726" s="27">
        <v>10518.87689079695</v>
      </c>
      <c r="I1726" s="27">
        <v>14829.859344389552</v>
      </c>
      <c r="J1726" s="27">
        <v>24339.758004371004</v>
      </c>
      <c r="K1726" s="27">
        <v>47647.667658967111</v>
      </c>
      <c r="L1726" s="27">
        <v>121042.66932535921</v>
      </c>
      <c r="M1726" s="27">
        <v>241250.42949279168</v>
      </c>
    </row>
    <row r="1727" spans="1:13" x14ac:dyDescent="0.75">
      <c r="A1727" s="40">
        <v>1725</v>
      </c>
      <c r="B1727" s="27">
        <v>951.23926587714232</v>
      </c>
      <c r="C1727" s="27">
        <v>1822.7007535733283</v>
      </c>
      <c r="D1727" s="27">
        <v>2789.5523419574165</v>
      </c>
      <c r="E1727" s="27">
        <v>4080.8722200881602</v>
      </c>
      <c r="F1727" s="27">
        <v>6045.9286237623892</v>
      </c>
      <c r="G1727" s="27">
        <v>8256.6458652144647</v>
      </c>
      <c r="H1727" s="27">
        <v>10574.369170192978</v>
      </c>
      <c r="I1727" s="27">
        <v>15287.801644490159</v>
      </c>
      <c r="J1727" s="27">
        <v>24107.198491318341</v>
      </c>
      <c r="K1727" s="27">
        <v>45878.56886841479</v>
      </c>
      <c r="L1727" s="27">
        <v>113143.88103301819</v>
      </c>
      <c r="M1727" s="27">
        <v>232938.75827790736</v>
      </c>
    </row>
    <row r="1728" spans="1:13" x14ac:dyDescent="0.75">
      <c r="A1728" s="40">
        <v>1726</v>
      </c>
      <c r="B1728" s="27">
        <v>770.94371805754781</v>
      </c>
      <c r="C1728" s="27">
        <v>1585.7876978560671</v>
      </c>
      <c r="D1728" s="27">
        <v>2768.5736377794674</v>
      </c>
      <c r="E1728" s="27">
        <v>4451.8050719720632</v>
      </c>
      <c r="F1728" s="27">
        <v>6443.7126214608725</v>
      </c>
      <c r="G1728" s="27">
        <v>8669.3867991518346</v>
      </c>
      <c r="H1728" s="27">
        <v>11439.380514073186</v>
      </c>
      <c r="I1728" s="27">
        <v>15107.531287393358</v>
      </c>
      <c r="J1728" s="27">
        <v>24379.851406443791</v>
      </c>
      <c r="K1728" s="27">
        <v>49471.367159750356</v>
      </c>
      <c r="L1728" s="27">
        <v>118892.45818045409</v>
      </c>
      <c r="M1728" s="27">
        <v>243980.79809439264</v>
      </c>
    </row>
    <row r="1729" spans="1:13" x14ac:dyDescent="0.75">
      <c r="A1729" s="40">
        <v>1727</v>
      </c>
      <c r="B1729" s="27">
        <v>1065.2205156209238</v>
      </c>
      <c r="C1729" s="27">
        <v>1540.2653502813628</v>
      </c>
      <c r="D1729" s="27">
        <v>2719.4505029547145</v>
      </c>
      <c r="E1729" s="27">
        <v>4017.4063869919482</v>
      </c>
      <c r="F1729" s="27">
        <v>5522.2737423385406</v>
      </c>
      <c r="G1729" s="27">
        <v>7991.0799738704518</v>
      </c>
      <c r="H1729" s="27">
        <v>10807.00739941487</v>
      </c>
      <c r="I1729" s="27">
        <v>14917.275670538831</v>
      </c>
      <c r="J1729" s="27">
        <v>23505.170623674814</v>
      </c>
      <c r="K1729" s="27">
        <v>47734.001409962249</v>
      </c>
      <c r="L1729" s="27">
        <v>118846.24540647728</v>
      </c>
      <c r="M1729" s="27">
        <v>238665.396982126</v>
      </c>
    </row>
    <row r="1730" spans="1:13" x14ac:dyDescent="0.75">
      <c r="A1730" s="40">
        <v>1728</v>
      </c>
      <c r="B1730" s="27">
        <v>696.57865154216415</v>
      </c>
      <c r="C1730" s="27">
        <v>1085.2696246043051</v>
      </c>
      <c r="D1730" s="27">
        <v>2122.8505104027427</v>
      </c>
      <c r="E1730" s="27">
        <v>3277.1437350088963</v>
      </c>
      <c r="F1730" s="27">
        <v>4801.0664791131276</v>
      </c>
      <c r="G1730" s="27">
        <v>7760.3397798800142</v>
      </c>
      <c r="H1730" s="27">
        <v>10091.157661349702</v>
      </c>
      <c r="I1730" s="27">
        <v>14408.679697969579</v>
      </c>
      <c r="J1730" s="27">
        <v>21994.845681408129</v>
      </c>
      <c r="K1730" s="27">
        <v>43492.790463683137</v>
      </c>
      <c r="L1730" s="27">
        <v>117262.78343775173</v>
      </c>
      <c r="M1730" s="27">
        <v>226993.50572271354</v>
      </c>
    </row>
    <row r="1731" spans="1:13" x14ac:dyDescent="0.75">
      <c r="A1731" s="40">
        <v>1729</v>
      </c>
      <c r="B1731" s="27">
        <v>1089.7734138246888</v>
      </c>
      <c r="C1731" s="27">
        <v>1572.3576661289699</v>
      </c>
      <c r="D1731" s="27">
        <v>2266.0222343048954</v>
      </c>
      <c r="E1731" s="27">
        <v>3905.8243900236266</v>
      </c>
      <c r="F1731" s="27">
        <v>5401.1659583345026</v>
      </c>
      <c r="G1731" s="27">
        <v>8118.452677326015</v>
      </c>
      <c r="H1731" s="27">
        <v>10361.320139788731</v>
      </c>
      <c r="I1731" s="27">
        <v>15983.327190197539</v>
      </c>
      <c r="J1731" s="27">
        <v>24369.985750580978</v>
      </c>
      <c r="K1731" s="27">
        <v>48794.779243970843</v>
      </c>
      <c r="L1731" s="27">
        <v>113369.74284801542</v>
      </c>
      <c r="M1731" s="27">
        <v>235232.75151249621</v>
      </c>
    </row>
    <row r="1732" spans="1:13" x14ac:dyDescent="0.75">
      <c r="A1732" s="40">
        <v>1730</v>
      </c>
      <c r="B1732" s="27">
        <v>912.48826034672675</v>
      </c>
      <c r="C1732" s="27">
        <v>1637.6381390309252</v>
      </c>
      <c r="D1732" s="27">
        <v>2783.1420815084275</v>
      </c>
      <c r="E1732" s="27">
        <v>3953.1348870254878</v>
      </c>
      <c r="F1732" s="27">
        <v>5663.9178723363584</v>
      </c>
      <c r="G1732" s="27">
        <v>8005.8991849169252</v>
      </c>
      <c r="H1732" s="27">
        <v>10526.347279026159</v>
      </c>
      <c r="I1732" s="27">
        <v>15078.563526036145</v>
      </c>
      <c r="J1732" s="27">
        <v>23020.238307815496</v>
      </c>
      <c r="K1732" s="27">
        <v>48261.953742468962</v>
      </c>
      <c r="L1732" s="27">
        <v>111378.10755931475</v>
      </c>
      <c r="M1732" s="27">
        <v>231221.43083982635</v>
      </c>
    </row>
    <row r="1733" spans="1:13" x14ac:dyDescent="0.75">
      <c r="A1733" s="40">
        <v>1731</v>
      </c>
      <c r="B1733" s="27">
        <v>937.70469811955991</v>
      </c>
      <c r="C1733" s="27">
        <v>1387.8724355070444</v>
      </c>
      <c r="D1733" s="27">
        <v>2219.0457613696781</v>
      </c>
      <c r="E1733" s="27">
        <v>3178.0386070807435</v>
      </c>
      <c r="F1733" s="27">
        <v>4741.9247383613838</v>
      </c>
      <c r="G1733" s="27">
        <v>6917.357688607648</v>
      </c>
      <c r="H1733" s="27">
        <v>9640.4247837164439</v>
      </c>
      <c r="I1733" s="27">
        <v>13882.332351895224</v>
      </c>
      <c r="J1733" s="27">
        <v>22641.338851291745</v>
      </c>
      <c r="K1733" s="27">
        <v>44927.641719855048</v>
      </c>
      <c r="L1733" s="27">
        <v>109128.15572643265</v>
      </c>
      <c r="M1733" s="27">
        <v>219601.83736223716</v>
      </c>
    </row>
    <row r="1734" spans="1:13" x14ac:dyDescent="0.75">
      <c r="A1734" s="40">
        <v>1732</v>
      </c>
      <c r="B1734" s="27">
        <v>659.31796176856733</v>
      </c>
      <c r="C1734" s="27">
        <v>1147.7545271241834</v>
      </c>
      <c r="D1734" s="27">
        <v>2217.9082885735697</v>
      </c>
      <c r="E1734" s="27">
        <v>3308.9442942936876</v>
      </c>
      <c r="F1734" s="27">
        <v>5010.6412733048055</v>
      </c>
      <c r="G1734" s="27">
        <v>8051.8850515654485</v>
      </c>
      <c r="H1734" s="27">
        <v>11007.920270006376</v>
      </c>
      <c r="I1734" s="27">
        <v>15256.302368518576</v>
      </c>
      <c r="J1734" s="27">
        <v>24108.135184340106</v>
      </c>
      <c r="K1734" s="27">
        <v>48719.123390784138</v>
      </c>
      <c r="L1734" s="27">
        <v>108364.8591016586</v>
      </c>
      <c r="M1734" s="27">
        <v>227852.79171193804</v>
      </c>
    </row>
    <row r="1735" spans="1:13" x14ac:dyDescent="0.75">
      <c r="A1735" s="40">
        <v>1733</v>
      </c>
      <c r="B1735" s="27">
        <v>832.05684573599137</v>
      </c>
      <c r="C1735" s="27">
        <v>1396.445922608691</v>
      </c>
      <c r="D1735" s="27">
        <v>2055.558744576454</v>
      </c>
      <c r="E1735" s="27">
        <v>3320.9534814338549</v>
      </c>
      <c r="F1735" s="27">
        <v>5343.2268349086225</v>
      </c>
      <c r="G1735" s="27">
        <v>7538.3438598710054</v>
      </c>
      <c r="H1735" s="27">
        <v>10671.887912572507</v>
      </c>
      <c r="I1735" s="27">
        <v>14455.384399728457</v>
      </c>
      <c r="J1735" s="27">
        <v>22715.073092425213</v>
      </c>
      <c r="K1735" s="27">
        <v>46808.161866334442</v>
      </c>
      <c r="L1735" s="27">
        <v>110036.91515832921</v>
      </c>
      <c r="M1735" s="27">
        <v>225174.00811852445</v>
      </c>
    </row>
    <row r="1736" spans="1:13" x14ac:dyDescent="0.75">
      <c r="A1736" s="40">
        <v>1734</v>
      </c>
      <c r="B1736" s="27">
        <v>1068.6030001460604</v>
      </c>
      <c r="C1736" s="27">
        <v>1843.621690986387</v>
      </c>
      <c r="D1736" s="27">
        <v>2794.9337975636736</v>
      </c>
      <c r="E1736" s="27">
        <v>3762.9626263953542</v>
      </c>
      <c r="F1736" s="27">
        <v>5628.2753533362702</v>
      </c>
      <c r="G1736" s="27">
        <v>8060.4867791685683</v>
      </c>
      <c r="H1736" s="27">
        <v>11302.568520377274</v>
      </c>
      <c r="I1736" s="27">
        <v>14585.982481718325</v>
      </c>
      <c r="J1736" s="27">
        <v>23979.62368087584</v>
      </c>
      <c r="K1736" s="27">
        <v>45008.331152818093</v>
      </c>
      <c r="L1736" s="27">
        <v>119236.62947121888</v>
      </c>
      <c r="M1736" s="27">
        <v>237272.01855460473</v>
      </c>
    </row>
    <row r="1737" spans="1:13" x14ac:dyDescent="0.75">
      <c r="A1737" s="40">
        <v>1735</v>
      </c>
      <c r="B1737" s="27">
        <v>624.80228878193884</v>
      </c>
      <c r="C1737" s="27">
        <v>1037.9839296371065</v>
      </c>
      <c r="D1737" s="27">
        <v>1933.0486342401127</v>
      </c>
      <c r="E1737" s="27">
        <v>2770.0779259490082</v>
      </c>
      <c r="F1737" s="27">
        <v>4907.6703509087674</v>
      </c>
      <c r="G1737" s="27">
        <v>7112.2296491980378</v>
      </c>
      <c r="H1737" s="27">
        <v>9883.1140666899155</v>
      </c>
      <c r="I1737" s="27">
        <v>13768.963965004106</v>
      </c>
      <c r="J1737" s="27">
        <v>21785.672203491253</v>
      </c>
      <c r="K1737" s="27">
        <v>45197.838469575043</v>
      </c>
      <c r="L1737" s="27">
        <v>116823.78280918655</v>
      </c>
      <c r="M1737" s="27">
        <v>225845.18429266184</v>
      </c>
    </row>
    <row r="1738" spans="1:13" x14ac:dyDescent="0.75">
      <c r="A1738" s="40">
        <v>1736</v>
      </c>
      <c r="B1738" s="27">
        <v>816.12058320674987</v>
      </c>
      <c r="C1738" s="27">
        <v>1057.4322614021949</v>
      </c>
      <c r="D1738" s="27">
        <v>2233.3118563433381</v>
      </c>
      <c r="E1738" s="27">
        <v>3252.1332542429445</v>
      </c>
      <c r="F1738" s="27">
        <v>5087.4318199282716</v>
      </c>
      <c r="G1738" s="27">
        <v>7554.0510221959557</v>
      </c>
      <c r="H1738" s="27">
        <v>10083.862517708112</v>
      </c>
      <c r="I1738" s="27">
        <v>14228.293955247995</v>
      </c>
      <c r="J1738" s="27">
        <v>22839.920948171668</v>
      </c>
      <c r="K1738" s="27">
        <v>45792.788958614925</v>
      </c>
      <c r="L1738" s="27">
        <v>116382.18734278315</v>
      </c>
      <c r="M1738" s="27">
        <v>229327.5345198453</v>
      </c>
    </row>
    <row r="1739" spans="1:13" x14ac:dyDescent="0.75">
      <c r="A1739" s="40">
        <v>1737</v>
      </c>
      <c r="B1739" s="27">
        <v>1333.4968998184195</v>
      </c>
      <c r="C1739" s="27">
        <v>1752.0064828702598</v>
      </c>
      <c r="D1739" s="27">
        <v>2595.5806493608106</v>
      </c>
      <c r="E1739" s="27">
        <v>3916.3617293377756</v>
      </c>
      <c r="F1739" s="27">
        <v>5792.6572265250725</v>
      </c>
      <c r="G1739" s="27">
        <v>8211.4521668335947</v>
      </c>
      <c r="H1739" s="27">
        <v>10782.987301709625</v>
      </c>
      <c r="I1739" s="27">
        <v>14995.588572536915</v>
      </c>
      <c r="J1739" s="27">
        <v>23476.999345699573</v>
      </c>
      <c r="K1739" s="27">
        <v>48692.804389369761</v>
      </c>
      <c r="L1739" s="27">
        <v>111945.78235950955</v>
      </c>
      <c r="M1739" s="27">
        <v>233495.71712357138</v>
      </c>
    </row>
    <row r="1740" spans="1:13" x14ac:dyDescent="0.75">
      <c r="A1740" s="40">
        <v>1738</v>
      </c>
      <c r="B1740" s="27">
        <v>546.92714119836455</v>
      </c>
      <c r="C1740" s="27">
        <v>1087.7162867860025</v>
      </c>
      <c r="D1740" s="27">
        <v>2082.2255974976433</v>
      </c>
      <c r="E1740" s="27">
        <v>2881.1013697195449</v>
      </c>
      <c r="F1740" s="27">
        <v>5022.848605946434</v>
      </c>
      <c r="G1740" s="27">
        <v>7870.756121994229</v>
      </c>
      <c r="H1740" s="27">
        <v>9893.4936814205576</v>
      </c>
      <c r="I1740" s="27">
        <v>13716.915563715535</v>
      </c>
      <c r="J1740" s="27">
        <v>22961.674061831131</v>
      </c>
      <c r="K1740" s="27">
        <v>46340.556729360687</v>
      </c>
      <c r="L1740" s="27">
        <v>111619.54356295281</v>
      </c>
      <c r="M1740" s="27">
        <v>224023.75872242294</v>
      </c>
    </row>
    <row r="1741" spans="1:13" x14ac:dyDescent="0.75">
      <c r="A1741" s="40">
        <v>1739</v>
      </c>
      <c r="B1741" s="27">
        <v>853.34303765518416</v>
      </c>
      <c r="C1741" s="27">
        <v>1270.9328963493172</v>
      </c>
      <c r="D1741" s="27">
        <v>1890.0207153255324</v>
      </c>
      <c r="E1741" s="27">
        <v>2903.935569760506</v>
      </c>
      <c r="F1741" s="27">
        <v>4748.2105932472914</v>
      </c>
      <c r="G1741" s="27">
        <v>7027.1305904806941</v>
      </c>
      <c r="H1741" s="27">
        <v>9163.551045434986</v>
      </c>
      <c r="I1741" s="27">
        <v>13609.460818800406</v>
      </c>
      <c r="J1741" s="27">
        <v>23547.192373448197</v>
      </c>
      <c r="K1741" s="27">
        <v>44651.718363932159</v>
      </c>
      <c r="L1741" s="27">
        <v>115671.95033686605</v>
      </c>
      <c r="M1741" s="27">
        <v>225337.44634130033</v>
      </c>
    </row>
    <row r="1742" spans="1:13" x14ac:dyDescent="0.75">
      <c r="A1742" s="40">
        <v>1740</v>
      </c>
      <c r="B1742" s="27">
        <v>1169.4747295908164</v>
      </c>
      <c r="C1742" s="27">
        <v>1968.7817505663988</v>
      </c>
      <c r="D1742" s="27">
        <v>2851.8147294007795</v>
      </c>
      <c r="E1742" s="27">
        <v>3802.8217129563709</v>
      </c>
      <c r="F1742" s="27">
        <v>5996.6366457825352</v>
      </c>
      <c r="G1742" s="27">
        <v>8518.4090877047565</v>
      </c>
      <c r="H1742" s="27">
        <v>10905.462078981262</v>
      </c>
      <c r="I1742" s="27">
        <v>16091.886684886835</v>
      </c>
      <c r="J1742" s="27">
        <v>25116.417176332718</v>
      </c>
      <c r="K1742" s="27">
        <v>47800.350687455473</v>
      </c>
      <c r="L1742" s="27">
        <v>111451.31958752699</v>
      </c>
      <c r="M1742" s="27">
        <v>235673.37487118493</v>
      </c>
    </row>
    <row r="1743" spans="1:13" x14ac:dyDescent="0.75">
      <c r="A1743" s="40">
        <v>1741</v>
      </c>
      <c r="B1743" s="27">
        <v>737.27300382932299</v>
      </c>
      <c r="C1743" s="27">
        <v>1323.4982155226171</v>
      </c>
      <c r="D1743" s="27">
        <v>2120.8660451653559</v>
      </c>
      <c r="E1743" s="27">
        <v>3324.1487205620651</v>
      </c>
      <c r="F1743" s="27">
        <v>5146.8570420632896</v>
      </c>
      <c r="G1743" s="27">
        <v>7324.8685906692408</v>
      </c>
      <c r="H1743" s="27">
        <v>10034.98040337555</v>
      </c>
      <c r="I1743" s="27">
        <v>14815.849021406539</v>
      </c>
      <c r="J1743" s="27">
        <v>23132.659852556797</v>
      </c>
      <c r="K1743" s="27">
        <v>43827.378870417248</v>
      </c>
      <c r="L1743" s="27">
        <v>116796.75729397581</v>
      </c>
      <c r="M1743" s="27">
        <v>228585.13705954383</v>
      </c>
    </row>
    <row r="1744" spans="1:13" x14ac:dyDescent="0.75">
      <c r="A1744" s="40">
        <v>1742</v>
      </c>
      <c r="B1744" s="27">
        <v>739.97857257387659</v>
      </c>
      <c r="C1744" s="27">
        <v>1266.6516429668554</v>
      </c>
      <c r="D1744" s="27">
        <v>2137.9597307703516</v>
      </c>
      <c r="E1744" s="27">
        <v>3362.7760108949587</v>
      </c>
      <c r="F1744" s="27">
        <v>5143.4295869242924</v>
      </c>
      <c r="G1744" s="27">
        <v>7617.2585364997794</v>
      </c>
      <c r="H1744" s="27">
        <v>10033.420336506519</v>
      </c>
      <c r="I1744" s="27">
        <v>14125.02953857083</v>
      </c>
      <c r="J1744" s="27">
        <v>23329.581751541104</v>
      </c>
      <c r="K1744" s="27">
        <v>44585.213656048843</v>
      </c>
      <c r="L1744" s="27">
        <v>110541.67623774827</v>
      </c>
      <c r="M1744" s="27">
        <v>222882.97560104568</v>
      </c>
    </row>
    <row r="1745" spans="1:13" x14ac:dyDescent="0.75">
      <c r="A1745" s="40">
        <v>1743</v>
      </c>
      <c r="B1745" s="27">
        <v>281.64893788011977</v>
      </c>
      <c r="C1745" s="27">
        <v>771.35322939215985</v>
      </c>
      <c r="D1745" s="27">
        <v>1667.8628899375472</v>
      </c>
      <c r="E1745" s="27">
        <v>2540.532178288704</v>
      </c>
      <c r="F1745" s="27">
        <v>4105.9953326091781</v>
      </c>
      <c r="G1745" s="27">
        <v>6607.1045493752172</v>
      </c>
      <c r="H1745" s="27">
        <v>9107.7537566901301</v>
      </c>
      <c r="I1745" s="27">
        <v>13105.521196903966</v>
      </c>
      <c r="J1745" s="27">
        <v>21392.530556829079</v>
      </c>
      <c r="K1745" s="27">
        <v>46701.135014656466</v>
      </c>
      <c r="L1745" s="27">
        <v>107910.90289108426</v>
      </c>
      <c r="M1745" s="27">
        <v>214192.34053364681</v>
      </c>
    </row>
    <row r="1746" spans="1:13" x14ac:dyDescent="0.75">
      <c r="A1746" s="40">
        <v>1744</v>
      </c>
      <c r="B1746" s="27">
        <v>867.48879811960796</v>
      </c>
      <c r="C1746" s="27">
        <v>1172.7675128736009</v>
      </c>
      <c r="D1746" s="27">
        <v>1970.6477918268065</v>
      </c>
      <c r="E1746" s="27">
        <v>2816.1168238282698</v>
      </c>
      <c r="F1746" s="27">
        <v>5183.1002215405169</v>
      </c>
      <c r="G1746" s="27">
        <v>7867.3999037377071</v>
      </c>
      <c r="H1746" s="27">
        <v>9829.2963520614867</v>
      </c>
      <c r="I1746" s="27">
        <v>13993.142159975541</v>
      </c>
      <c r="J1746" s="27">
        <v>23114.527969487463</v>
      </c>
      <c r="K1746" s="27">
        <v>45798.760419175378</v>
      </c>
      <c r="L1746" s="27">
        <v>107295.47541282035</v>
      </c>
      <c r="M1746" s="27">
        <v>219908.72336544673</v>
      </c>
    </row>
    <row r="1747" spans="1:13" x14ac:dyDescent="0.75">
      <c r="A1747" s="40">
        <v>1745</v>
      </c>
      <c r="B1747" s="27">
        <v>1055.9451602144836</v>
      </c>
      <c r="C1747" s="27">
        <v>1459.6203962158179</v>
      </c>
      <c r="D1747" s="27">
        <v>2392.6313026175048</v>
      </c>
      <c r="E1747" s="27">
        <v>3420.2776090164843</v>
      </c>
      <c r="F1747" s="27">
        <v>5047.1886552616052</v>
      </c>
      <c r="G1747" s="27">
        <v>7583.8147040407639</v>
      </c>
      <c r="H1747" s="27">
        <v>9927.20648028102</v>
      </c>
      <c r="I1747" s="27">
        <v>14024.131166984342</v>
      </c>
      <c r="J1747" s="27">
        <v>23822.493989401555</v>
      </c>
      <c r="K1747" s="27">
        <v>48921.709523456695</v>
      </c>
      <c r="L1747" s="27">
        <v>117499.39884370765</v>
      </c>
      <c r="M1747" s="27">
        <v>235154.4178311979</v>
      </c>
    </row>
    <row r="1748" spans="1:13" x14ac:dyDescent="0.75">
      <c r="A1748" s="40">
        <v>1746</v>
      </c>
      <c r="B1748" s="27">
        <v>416.85772317311785</v>
      </c>
      <c r="C1748" s="27">
        <v>1064.4809195181297</v>
      </c>
      <c r="D1748" s="27">
        <v>2065.5286162675766</v>
      </c>
      <c r="E1748" s="27">
        <v>2870.9466154477414</v>
      </c>
      <c r="F1748" s="27">
        <v>5129.9885138831451</v>
      </c>
      <c r="G1748" s="27">
        <v>7646.9780529226409</v>
      </c>
      <c r="H1748" s="27">
        <v>10505.826813298656</v>
      </c>
      <c r="I1748" s="27">
        <v>14061.810095595167</v>
      </c>
      <c r="J1748" s="27">
        <v>23218.652246985352</v>
      </c>
      <c r="K1748" s="27">
        <v>47416.186519780225</v>
      </c>
      <c r="L1748" s="27">
        <v>115003.66737616331</v>
      </c>
      <c r="M1748" s="27">
        <v>229400.92349303508</v>
      </c>
    </row>
    <row r="1749" spans="1:13" x14ac:dyDescent="0.75">
      <c r="A1749" s="40">
        <v>1747</v>
      </c>
      <c r="B1749" s="27">
        <v>606.35150754010829</v>
      </c>
      <c r="C1749" s="27">
        <v>1103.5882056333794</v>
      </c>
      <c r="D1749" s="27">
        <v>2040.5233275337669</v>
      </c>
      <c r="E1749" s="27">
        <v>3172.733271172925</v>
      </c>
      <c r="F1749" s="27">
        <v>5163.0703372598655</v>
      </c>
      <c r="G1749" s="27">
        <v>7867.633704025764</v>
      </c>
      <c r="H1749" s="27">
        <v>9849.141082668255</v>
      </c>
      <c r="I1749" s="27">
        <v>13532.545028202279</v>
      </c>
      <c r="J1749" s="27">
        <v>22042.121146549442</v>
      </c>
      <c r="K1749" s="27">
        <v>46298.79311152357</v>
      </c>
      <c r="L1749" s="27">
        <v>114800.66636787092</v>
      </c>
      <c r="M1749" s="27">
        <v>226477.16708998027</v>
      </c>
    </row>
    <row r="1750" spans="1:13" x14ac:dyDescent="0.75">
      <c r="A1750" s="40">
        <v>1748</v>
      </c>
      <c r="B1750" s="27">
        <v>1077.0555644134438</v>
      </c>
      <c r="C1750" s="27">
        <v>1488.2536113789392</v>
      </c>
      <c r="D1750" s="27">
        <v>2320.8769114034949</v>
      </c>
      <c r="E1750" s="27">
        <v>3659.6241115379962</v>
      </c>
      <c r="F1750" s="27">
        <v>5460.9597789039835</v>
      </c>
      <c r="G1750" s="27">
        <v>7638.6921871930244</v>
      </c>
      <c r="H1750" s="27">
        <v>10905.349973630859</v>
      </c>
      <c r="I1750" s="27">
        <v>14428.413907316848</v>
      </c>
      <c r="J1750" s="27">
        <v>24079.222724464606</v>
      </c>
      <c r="K1750" s="27">
        <v>46457.206673056222</v>
      </c>
      <c r="L1750" s="27">
        <v>114034.92038502426</v>
      </c>
      <c r="M1750" s="27">
        <v>231550.57582832366</v>
      </c>
    </row>
    <row r="1751" spans="1:13" x14ac:dyDescent="0.75">
      <c r="A1751" s="40">
        <v>1749</v>
      </c>
      <c r="B1751" s="27">
        <v>1267.1047061585705</v>
      </c>
      <c r="C1751" s="27">
        <v>2151.5994612176582</v>
      </c>
      <c r="D1751" s="27">
        <v>3317.9185279205558</v>
      </c>
      <c r="E1751" s="27">
        <v>4479.3492499900749</v>
      </c>
      <c r="F1751" s="27">
        <v>6665.0990900200268</v>
      </c>
      <c r="G1751" s="27">
        <v>9091.9634263030312</v>
      </c>
      <c r="H1751" s="27">
        <v>12406.991098140192</v>
      </c>
      <c r="I1751" s="27">
        <v>15979.990034298811</v>
      </c>
      <c r="J1751" s="27">
        <v>26101.708261142077</v>
      </c>
      <c r="K1751" s="27">
        <v>49730.68891728844</v>
      </c>
      <c r="L1751" s="27">
        <v>113272.87001646015</v>
      </c>
      <c r="M1751" s="27">
        <v>244465.2827889396</v>
      </c>
    </row>
    <row r="1752" spans="1:13" x14ac:dyDescent="0.75">
      <c r="A1752" s="40">
        <v>1750</v>
      </c>
      <c r="B1752" s="27">
        <v>290.94445481305593</v>
      </c>
      <c r="C1752" s="27">
        <v>715.00725599336147</v>
      </c>
      <c r="D1752" s="27">
        <v>1573.6867959550291</v>
      </c>
      <c r="E1752" s="27">
        <v>3091.2740849421534</v>
      </c>
      <c r="F1752" s="27">
        <v>4964.9015911885945</v>
      </c>
      <c r="G1752" s="27">
        <v>7119.5982343635114</v>
      </c>
      <c r="H1752" s="27">
        <v>9583.0557940353174</v>
      </c>
      <c r="I1752" s="27">
        <v>13904.870480743542</v>
      </c>
      <c r="J1752" s="27">
        <v>21900.505440235051</v>
      </c>
      <c r="K1752" s="27">
        <v>43451.513081319426</v>
      </c>
      <c r="L1752" s="27">
        <v>100783.4460105467</v>
      </c>
      <c r="M1752" s="27">
        <v>207378.80322413574</v>
      </c>
    </row>
    <row r="1753" spans="1:13" x14ac:dyDescent="0.75">
      <c r="A1753" s="40">
        <v>1751</v>
      </c>
      <c r="B1753" s="27">
        <v>506.66034319366736</v>
      </c>
      <c r="C1753" s="27">
        <v>942.26191626532818</v>
      </c>
      <c r="D1753" s="27">
        <v>1928.8031985272391</v>
      </c>
      <c r="E1753" s="27">
        <v>2734.1667513661378</v>
      </c>
      <c r="F1753" s="27">
        <v>4658.9518569722422</v>
      </c>
      <c r="G1753" s="27">
        <v>6913.2532780898327</v>
      </c>
      <c r="H1753" s="27">
        <v>8942.9822484773904</v>
      </c>
      <c r="I1753" s="27">
        <v>13103.030462542709</v>
      </c>
      <c r="J1753" s="27">
        <v>21878.39827909974</v>
      </c>
      <c r="K1753" s="27">
        <v>47475.238821725507</v>
      </c>
      <c r="L1753" s="27">
        <v>107144.13304394743</v>
      </c>
      <c r="M1753" s="27">
        <v>216227.88020020723</v>
      </c>
    </row>
    <row r="1754" spans="1:13" x14ac:dyDescent="0.75">
      <c r="A1754" s="40">
        <v>1752</v>
      </c>
      <c r="B1754" s="27">
        <v>1150.0628787138412</v>
      </c>
      <c r="C1754" s="27">
        <v>1681.9619169243815</v>
      </c>
      <c r="D1754" s="27">
        <v>2635.1617955658439</v>
      </c>
      <c r="E1754" s="27">
        <v>3782.4573484536813</v>
      </c>
      <c r="F1754" s="27">
        <v>5419.4004936053097</v>
      </c>
      <c r="G1754" s="27">
        <v>8069.8814861631254</v>
      </c>
      <c r="H1754" s="27">
        <v>10611.753742845409</v>
      </c>
      <c r="I1754" s="27">
        <v>14251.32162212496</v>
      </c>
      <c r="J1754" s="27">
        <v>22666.463588959421</v>
      </c>
      <c r="K1754" s="27">
        <v>47289.437915924034</v>
      </c>
      <c r="L1754" s="27">
        <v>111440.4040370014</v>
      </c>
      <c r="M1754" s="27">
        <v>228998.30682628142</v>
      </c>
    </row>
    <row r="1755" spans="1:13" x14ac:dyDescent="0.75">
      <c r="A1755" s="40">
        <v>1753</v>
      </c>
      <c r="B1755" s="27">
        <v>573.67009895054798</v>
      </c>
      <c r="C1755" s="27">
        <v>905.06223473677528</v>
      </c>
      <c r="D1755" s="27">
        <v>1968.6131344695605</v>
      </c>
      <c r="E1755" s="27">
        <v>2688.7521837965614</v>
      </c>
      <c r="F1755" s="27">
        <v>4471.5671537943708</v>
      </c>
      <c r="G1755" s="27">
        <v>6731.3308254599979</v>
      </c>
      <c r="H1755" s="27">
        <v>9770.4951274376654</v>
      </c>
      <c r="I1755" s="27">
        <v>14353.924400749383</v>
      </c>
      <c r="J1755" s="27">
        <v>22833.724944670917</v>
      </c>
      <c r="K1755" s="27">
        <v>47998.617853489384</v>
      </c>
      <c r="L1755" s="27">
        <v>108685.35663967888</v>
      </c>
      <c r="M1755" s="27">
        <v>220981.11459723406</v>
      </c>
    </row>
    <row r="1756" spans="1:13" x14ac:dyDescent="0.75">
      <c r="A1756" s="40">
        <v>1754</v>
      </c>
      <c r="B1756" s="27">
        <v>1099.4554788652313</v>
      </c>
      <c r="C1756" s="27">
        <v>1471.0700672723615</v>
      </c>
      <c r="D1756" s="27">
        <v>2365.6184210038482</v>
      </c>
      <c r="E1756" s="27">
        <v>3282.7720618587919</v>
      </c>
      <c r="F1756" s="27">
        <v>4861.1358951850125</v>
      </c>
      <c r="G1756" s="27">
        <v>6877.3204435009975</v>
      </c>
      <c r="H1756" s="27">
        <v>9352.9616181465535</v>
      </c>
      <c r="I1756" s="27">
        <v>12652.330698826612</v>
      </c>
      <c r="J1756" s="27">
        <v>21801.924097427676</v>
      </c>
      <c r="K1756" s="27">
        <v>48299.229019377963</v>
      </c>
      <c r="L1756" s="27">
        <v>115077.62454152068</v>
      </c>
      <c r="M1756" s="27">
        <v>227141.44234298571</v>
      </c>
    </row>
    <row r="1757" spans="1:13" x14ac:dyDescent="0.75">
      <c r="A1757" s="40">
        <v>1755</v>
      </c>
      <c r="B1757" s="27">
        <v>758.87079905541032</v>
      </c>
      <c r="C1757" s="27">
        <v>1427.4006091787887</v>
      </c>
      <c r="D1757" s="27">
        <v>2513.976078591033</v>
      </c>
      <c r="E1757" s="27">
        <v>3572.2556997051724</v>
      </c>
      <c r="F1757" s="27">
        <v>5704.4212989587395</v>
      </c>
      <c r="G1757" s="27">
        <v>7960.1663801778632</v>
      </c>
      <c r="H1757" s="27">
        <v>10731.734091266466</v>
      </c>
      <c r="I1757" s="27">
        <v>14152.864820403833</v>
      </c>
      <c r="J1757" s="27">
        <v>24370.665949873262</v>
      </c>
      <c r="K1757" s="27">
        <v>48106.091074089491</v>
      </c>
      <c r="L1757" s="27">
        <v>113766.55321569653</v>
      </c>
      <c r="M1757" s="27">
        <v>233065.00001699658</v>
      </c>
    </row>
    <row r="1758" spans="1:13" x14ac:dyDescent="0.75">
      <c r="A1758" s="40">
        <v>1756</v>
      </c>
      <c r="B1758" s="27">
        <v>1216.6306967485434</v>
      </c>
      <c r="C1758" s="27">
        <v>1606.1886876824719</v>
      </c>
      <c r="D1758" s="27">
        <v>2374.5281570017396</v>
      </c>
      <c r="E1758" s="27">
        <v>3507.3715405551629</v>
      </c>
      <c r="F1758" s="27">
        <v>5619.5654370327975</v>
      </c>
      <c r="G1758" s="27">
        <v>8095.1760569804173</v>
      </c>
      <c r="H1758" s="27">
        <v>10551.900440576719</v>
      </c>
      <c r="I1758" s="27">
        <v>13974.878861879261</v>
      </c>
      <c r="J1758" s="27">
        <v>23097.694015962028</v>
      </c>
      <c r="K1758" s="27">
        <v>49377.87485473814</v>
      </c>
      <c r="L1758" s="27">
        <v>106760.73171190493</v>
      </c>
      <c r="M1758" s="27">
        <v>226182.54046106222</v>
      </c>
    </row>
    <row r="1759" spans="1:13" x14ac:dyDescent="0.75">
      <c r="A1759" s="40">
        <v>1757</v>
      </c>
      <c r="B1759" s="27">
        <v>699.30460290875635</v>
      </c>
      <c r="C1759" s="27">
        <v>1139.7588446414011</v>
      </c>
      <c r="D1759" s="27">
        <v>1994.4295199660846</v>
      </c>
      <c r="E1759" s="27">
        <v>3333.1306344911136</v>
      </c>
      <c r="F1759" s="27">
        <v>4888.1650647901697</v>
      </c>
      <c r="G1759" s="27">
        <v>7211.5974443114828</v>
      </c>
      <c r="H1759" s="27">
        <v>9760.0783072061313</v>
      </c>
      <c r="I1759" s="27">
        <v>13599.077167012219</v>
      </c>
      <c r="J1759" s="27">
        <v>23179.272249273039</v>
      </c>
      <c r="K1759" s="27">
        <v>44041.98644449003</v>
      </c>
      <c r="L1759" s="27">
        <v>112544.21615373038</v>
      </c>
      <c r="M1759" s="27">
        <v>222391.01643282082</v>
      </c>
    </row>
    <row r="1760" spans="1:13" x14ac:dyDescent="0.75">
      <c r="A1760" s="40">
        <v>1758</v>
      </c>
      <c r="B1760" s="27">
        <v>1067.5192320030328</v>
      </c>
      <c r="C1760" s="27">
        <v>1723.2780442032963</v>
      </c>
      <c r="D1760" s="27">
        <v>2372.6153476461041</v>
      </c>
      <c r="E1760" s="27">
        <v>3591.2265661577985</v>
      </c>
      <c r="F1760" s="27">
        <v>5218.9204700170667</v>
      </c>
      <c r="G1760" s="27">
        <v>7969.7504118967627</v>
      </c>
      <c r="H1760" s="27">
        <v>10635.776525296824</v>
      </c>
      <c r="I1760" s="27">
        <v>14354.264330084028</v>
      </c>
      <c r="J1760" s="27">
        <v>23006.896121923535</v>
      </c>
      <c r="K1760" s="27">
        <v>47544.833133575958</v>
      </c>
      <c r="L1760" s="27">
        <v>108612.85152394234</v>
      </c>
      <c r="M1760" s="27">
        <v>226097.93170674675</v>
      </c>
    </row>
    <row r="1761" spans="1:13" x14ac:dyDescent="0.75">
      <c r="A1761" s="40">
        <v>1759</v>
      </c>
      <c r="B1761" s="27">
        <v>586.2764289858751</v>
      </c>
      <c r="C1761" s="27">
        <v>1056.2221940138406</v>
      </c>
      <c r="D1761" s="27">
        <v>1991.4706035974668</v>
      </c>
      <c r="E1761" s="27">
        <v>3247.1927166146488</v>
      </c>
      <c r="F1761" s="27">
        <v>5039.88958369795</v>
      </c>
      <c r="G1761" s="27">
        <v>7167.5058796641533</v>
      </c>
      <c r="H1761" s="27">
        <v>9643.9096935253474</v>
      </c>
      <c r="I1761" s="27">
        <v>14649.732438849373</v>
      </c>
      <c r="J1761" s="27">
        <v>24014.327990219695</v>
      </c>
      <c r="K1761" s="27">
        <v>45904.891817312076</v>
      </c>
      <c r="L1761" s="27">
        <v>116317.13157687921</v>
      </c>
      <c r="M1761" s="27">
        <v>229618.55092335964</v>
      </c>
    </row>
    <row r="1762" spans="1:13" x14ac:dyDescent="0.75">
      <c r="A1762" s="40">
        <v>1760</v>
      </c>
      <c r="B1762" s="27">
        <v>963.22711664420785</v>
      </c>
      <c r="C1762" s="27">
        <v>1026.7921049658908</v>
      </c>
      <c r="D1762" s="27">
        <v>1714.5655492607766</v>
      </c>
      <c r="E1762" s="27">
        <v>2775.7419109554612</v>
      </c>
      <c r="F1762" s="27">
        <v>4848.1957080930588</v>
      </c>
      <c r="G1762" s="27">
        <v>6741.7200665459386</v>
      </c>
      <c r="H1762" s="27">
        <v>9472.6406682239322</v>
      </c>
      <c r="I1762" s="27">
        <v>13240.895634303975</v>
      </c>
      <c r="J1762" s="27">
        <v>23377.760479485907</v>
      </c>
      <c r="K1762" s="27">
        <v>46741.493861013791</v>
      </c>
      <c r="L1762" s="27">
        <v>111246.98403314251</v>
      </c>
      <c r="M1762" s="27">
        <v>222150.01713263546</v>
      </c>
    </row>
    <row r="1763" spans="1:13" x14ac:dyDescent="0.75">
      <c r="A1763" s="40">
        <v>1761</v>
      </c>
      <c r="B1763" s="27">
        <v>1106.4112405712513</v>
      </c>
      <c r="C1763" s="27">
        <v>1422.9050456388213</v>
      </c>
      <c r="D1763" s="27">
        <v>2568.5549919085461</v>
      </c>
      <c r="E1763" s="27">
        <v>3501.5096396416484</v>
      </c>
      <c r="F1763" s="27">
        <v>5314.1493679321284</v>
      </c>
      <c r="G1763" s="27">
        <v>8132.1724260983756</v>
      </c>
      <c r="H1763" s="27">
        <v>10749.599385344103</v>
      </c>
      <c r="I1763" s="27">
        <v>14633.066726795296</v>
      </c>
      <c r="J1763" s="27">
        <v>24069.000181764743</v>
      </c>
      <c r="K1763" s="27">
        <v>47027.605391436809</v>
      </c>
      <c r="L1763" s="27">
        <v>114469.70257022856</v>
      </c>
      <c r="M1763" s="27">
        <v>232994.67696736028</v>
      </c>
    </row>
    <row r="1764" spans="1:13" x14ac:dyDescent="0.75">
      <c r="A1764" s="40">
        <v>1762</v>
      </c>
      <c r="B1764" s="27">
        <v>710.20552546391264</v>
      </c>
      <c r="C1764" s="27">
        <v>1137.3799570938281</v>
      </c>
      <c r="D1764" s="27">
        <v>2173.658020720788</v>
      </c>
      <c r="E1764" s="27">
        <v>3517.6486380065326</v>
      </c>
      <c r="F1764" s="27">
        <v>5833.3534266000497</v>
      </c>
      <c r="G1764" s="27">
        <v>8840.4926979519951</v>
      </c>
      <c r="H1764" s="27">
        <v>10866.299797158339</v>
      </c>
      <c r="I1764" s="27">
        <v>15060.098404752818</v>
      </c>
      <c r="J1764" s="27">
        <v>23874.189231663884</v>
      </c>
      <c r="K1764" s="27">
        <v>46721.944284944504</v>
      </c>
      <c r="L1764" s="27">
        <v>114715.47395879056</v>
      </c>
      <c r="M1764" s="27">
        <v>233450.74394314722</v>
      </c>
    </row>
    <row r="1765" spans="1:13" x14ac:dyDescent="0.75">
      <c r="A1765" s="40">
        <v>1763</v>
      </c>
      <c r="B1765" s="27">
        <v>810.4804288297164</v>
      </c>
      <c r="C1765" s="27">
        <v>1197.9996257490275</v>
      </c>
      <c r="D1765" s="27">
        <v>2158.2218577969325</v>
      </c>
      <c r="E1765" s="27">
        <v>2786.8011860870174</v>
      </c>
      <c r="F1765" s="27">
        <v>4851.0956713487976</v>
      </c>
      <c r="G1765" s="27">
        <v>7326.1765125610982</v>
      </c>
      <c r="H1765" s="27">
        <v>9976.1605520776648</v>
      </c>
      <c r="I1765" s="27">
        <v>14922.229642051825</v>
      </c>
      <c r="J1765" s="27">
        <v>23139.198056762587</v>
      </c>
      <c r="K1765" s="27">
        <v>47617.026484661124</v>
      </c>
      <c r="L1765" s="27">
        <v>112063.16320623881</v>
      </c>
      <c r="M1765" s="27">
        <v>226848.55322416459</v>
      </c>
    </row>
    <row r="1766" spans="1:13" x14ac:dyDescent="0.75">
      <c r="A1766" s="40">
        <v>1764</v>
      </c>
      <c r="B1766" s="27">
        <v>555.41230359797191</v>
      </c>
      <c r="C1766" s="27">
        <v>1089.0654994003417</v>
      </c>
      <c r="D1766" s="27">
        <v>1873.6119016748853</v>
      </c>
      <c r="E1766" s="27">
        <v>2954.2361114610248</v>
      </c>
      <c r="F1766" s="27">
        <v>4504.8305622774496</v>
      </c>
      <c r="G1766" s="27">
        <v>7173.5590634547407</v>
      </c>
      <c r="H1766" s="27">
        <v>10103.756242882315</v>
      </c>
      <c r="I1766" s="27">
        <v>14573.344421313115</v>
      </c>
      <c r="J1766" s="27">
        <v>22344.474852254061</v>
      </c>
      <c r="K1766" s="27">
        <v>44308.195309271629</v>
      </c>
      <c r="L1766" s="27">
        <v>108979.45375604658</v>
      </c>
      <c r="M1766" s="27">
        <v>218459.94002363412</v>
      </c>
    </row>
    <row r="1767" spans="1:13" x14ac:dyDescent="0.75">
      <c r="A1767" s="40">
        <v>1765</v>
      </c>
      <c r="B1767" s="27">
        <v>435.40749179052364</v>
      </c>
      <c r="C1767" s="27">
        <v>765.6959553493507</v>
      </c>
      <c r="D1767" s="27">
        <v>1711.5398853650404</v>
      </c>
      <c r="E1767" s="27">
        <v>3082.1699798344634</v>
      </c>
      <c r="F1767" s="27">
        <v>4669.5067191749258</v>
      </c>
      <c r="G1767" s="27">
        <v>6968.4114767982974</v>
      </c>
      <c r="H1767" s="27">
        <v>10335.475228547526</v>
      </c>
      <c r="I1767" s="27">
        <v>14581.317917788096</v>
      </c>
      <c r="J1767" s="27">
        <v>23699.773507311693</v>
      </c>
      <c r="K1767" s="27">
        <v>49073.982171400348</v>
      </c>
      <c r="L1767" s="27">
        <v>106242.62132415242</v>
      </c>
      <c r="M1767" s="27">
        <v>221565.9016575127</v>
      </c>
    </row>
    <row r="1768" spans="1:13" x14ac:dyDescent="0.75">
      <c r="A1768" s="40">
        <v>1766</v>
      </c>
      <c r="B1768" s="27">
        <v>773.91776662020129</v>
      </c>
      <c r="C1768" s="27">
        <v>1153.1934456942836</v>
      </c>
      <c r="D1768" s="27">
        <v>2299.723776108498</v>
      </c>
      <c r="E1768" s="27">
        <v>3095.5179660599533</v>
      </c>
      <c r="F1768" s="27">
        <v>4974.807930295894</v>
      </c>
      <c r="G1768" s="27">
        <v>7801.0982059327071</v>
      </c>
      <c r="H1768" s="27">
        <v>9948.9622269926476</v>
      </c>
      <c r="I1768" s="27">
        <v>14165.415001582878</v>
      </c>
      <c r="J1768" s="27">
        <v>22101.263726342862</v>
      </c>
      <c r="K1768" s="27">
        <v>45350.219198727573</v>
      </c>
      <c r="L1768" s="27">
        <v>103789.04401312848</v>
      </c>
      <c r="M1768" s="27">
        <v>215453.16325748598</v>
      </c>
    </row>
    <row r="1769" spans="1:13" x14ac:dyDescent="0.75">
      <c r="A1769" s="40">
        <v>1767</v>
      </c>
      <c r="B1769" s="27">
        <v>209.95949108933564</v>
      </c>
      <c r="C1769" s="27">
        <v>562.09247179068916</v>
      </c>
      <c r="D1769" s="27">
        <v>1232.2513511318393</v>
      </c>
      <c r="E1769" s="27">
        <v>2298.6594069829298</v>
      </c>
      <c r="F1769" s="27">
        <v>3991.1669597193104</v>
      </c>
      <c r="G1769" s="27">
        <v>6077.4464022139146</v>
      </c>
      <c r="H1769" s="27">
        <v>8740.7709367870702</v>
      </c>
      <c r="I1769" s="27">
        <v>12466.117062206657</v>
      </c>
      <c r="J1769" s="27">
        <v>22649.097965728157</v>
      </c>
      <c r="K1769" s="27">
        <v>46604.099619837842</v>
      </c>
      <c r="L1769" s="27">
        <v>111236.31166946579</v>
      </c>
      <c r="M1769" s="27">
        <v>216067.97333695355</v>
      </c>
    </row>
    <row r="1770" spans="1:13" x14ac:dyDescent="0.75">
      <c r="A1770" s="40">
        <v>1768</v>
      </c>
      <c r="B1770" s="27">
        <v>729.14927303788136</v>
      </c>
      <c r="C1770" s="27">
        <v>1336.386879798185</v>
      </c>
      <c r="D1770" s="27">
        <v>2557.4850749239558</v>
      </c>
      <c r="E1770" s="27">
        <v>3778.1742904413113</v>
      </c>
      <c r="F1770" s="27">
        <v>5705.1817253060872</v>
      </c>
      <c r="G1770" s="27">
        <v>7924.898056196078</v>
      </c>
      <c r="H1770" s="27">
        <v>10699.94608899155</v>
      </c>
      <c r="I1770" s="27">
        <v>14333.300430279574</v>
      </c>
      <c r="J1770" s="27">
        <v>23365.3584748102</v>
      </c>
      <c r="K1770" s="27">
        <v>47815.295251759992</v>
      </c>
      <c r="L1770" s="27">
        <v>119402.84026298148</v>
      </c>
      <c r="M1770" s="27">
        <v>237648.01580852631</v>
      </c>
    </row>
    <row r="1771" spans="1:13" x14ac:dyDescent="0.75">
      <c r="A1771" s="40">
        <v>1769</v>
      </c>
      <c r="B1771" s="27">
        <v>649.66341107861081</v>
      </c>
      <c r="C1771" s="27">
        <v>1150.1606244828872</v>
      </c>
      <c r="D1771" s="27">
        <v>1932.2846318661905</v>
      </c>
      <c r="E1771" s="27">
        <v>2881.0865991693281</v>
      </c>
      <c r="F1771" s="27">
        <v>4810.9689111438638</v>
      </c>
      <c r="G1771" s="27">
        <v>7160.4769146972103</v>
      </c>
      <c r="H1771" s="27">
        <v>9790.6956953472109</v>
      </c>
      <c r="I1771" s="27">
        <v>14450.969903870922</v>
      </c>
      <c r="J1771" s="27">
        <v>22833.863794906007</v>
      </c>
      <c r="K1771" s="27">
        <v>45771.401592486625</v>
      </c>
      <c r="L1771" s="27">
        <v>107489.3634770151</v>
      </c>
      <c r="M1771" s="27">
        <v>218920.93555606395</v>
      </c>
    </row>
    <row r="1772" spans="1:13" x14ac:dyDescent="0.75">
      <c r="A1772" s="40">
        <v>1770</v>
      </c>
      <c r="B1772" s="27">
        <v>1187.4723100910487</v>
      </c>
      <c r="C1772" s="27">
        <v>1938.6629206721555</v>
      </c>
      <c r="D1772" s="27">
        <v>2797.6313166774344</v>
      </c>
      <c r="E1772" s="27">
        <v>4153.3848792540375</v>
      </c>
      <c r="F1772" s="27">
        <v>5773.1228258938063</v>
      </c>
      <c r="G1772" s="27">
        <v>8316.489456617448</v>
      </c>
      <c r="H1772" s="27">
        <v>11029.019512072613</v>
      </c>
      <c r="I1772" s="27">
        <v>14542.390642543629</v>
      </c>
      <c r="J1772" s="27">
        <v>22752.59875358775</v>
      </c>
      <c r="K1772" s="27">
        <v>46769.540089728631</v>
      </c>
      <c r="L1772" s="27">
        <v>114473.24617370374</v>
      </c>
      <c r="M1772" s="27">
        <v>233733.55888084229</v>
      </c>
    </row>
    <row r="1773" spans="1:13" x14ac:dyDescent="0.75">
      <c r="A1773" s="40">
        <v>1771</v>
      </c>
      <c r="B1773" s="27">
        <v>1449.1943758059206</v>
      </c>
      <c r="C1773" s="27">
        <v>1718.2490092394582</v>
      </c>
      <c r="D1773" s="27">
        <v>2629.3294218808296</v>
      </c>
      <c r="E1773" s="27">
        <v>3719.1190106096619</v>
      </c>
      <c r="F1773" s="27">
        <v>5515.0973478953238</v>
      </c>
      <c r="G1773" s="27">
        <v>7721.9590654752683</v>
      </c>
      <c r="H1773" s="27">
        <v>10971.118886323326</v>
      </c>
      <c r="I1773" s="27">
        <v>14632.659663207873</v>
      </c>
      <c r="J1773" s="27">
        <v>24670.476325865748</v>
      </c>
      <c r="K1773" s="27">
        <v>49856.273355321275</v>
      </c>
      <c r="L1773" s="27">
        <v>114642.45352442592</v>
      </c>
      <c r="M1773" s="27">
        <v>237525.92998605059</v>
      </c>
    </row>
    <row r="1774" spans="1:13" x14ac:dyDescent="0.75">
      <c r="A1774" s="40">
        <v>1772</v>
      </c>
      <c r="B1774" s="27">
        <v>1130.5247097135725</v>
      </c>
      <c r="C1774" s="27">
        <v>1562.673189050809</v>
      </c>
      <c r="D1774" s="27">
        <v>2597.4947173062101</v>
      </c>
      <c r="E1774" s="27">
        <v>3673.3539196029888</v>
      </c>
      <c r="F1774" s="27">
        <v>5832.9542521261028</v>
      </c>
      <c r="G1774" s="27">
        <v>7752.4907162054151</v>
      </c>
      <c r="H1774" s="27">
        <v>10288.306523356732</v>
      </c>
      <c r="I1774" s="27">
        <v>14130.359772635085</v>
      </c>
      <c r="J1774" s="27">
        <v>23423.650529872408</v>
      </c>
      <c r="K1774" s="27">
        <v>47562.040386812936</v>
      </c>
      <c r="L1774" s="27">
        <v>110638.56294557429</v>
      </c>
      <c r="M1774" s="27">
        <v>228592.41166225655</v>
      </c>
    </row>
    <row r="1775" spans="1:13" x14ac:dyDescent="0.75">
      <c r="A1775" s="40">
        <v>1773</v>
      </c>
      <c r="B1775" s="27">
        <v>988.62870385970746</v>
      </c>
      <c r="C1775" s="27">
        <v>1655.9488318404619</v>
      </c>
      <c r="D1775" s="27">
        <v>2976.7748906497873</v>
      </c>
      <c r="E1775" s="27">
        <v>3988.7970227528422</v>
      </c>
      <c r="F1775" s="27">
        <v>6009.8421347964613</v>
      </c>
      <c r="G1775" s="27">
        <v>8431.6597221760894</v>
      </c>
      <c r="H1775" s="27">
        <v>10835.008800344352</v>
      </c>
      <c r="I1775" s="27">
        <v>14331.169930841585</v>
      </c>
      <c r="J1775" s="27">
        <v>23047.919842215881</v>
      </c>
      <c r="K1775" s="27">
        <v>45992.056063938362</v>
      </c>
      <c r="L1775" s="27">
        <v>119705.28300087448</v>
      </c>
      <c r="M1775" s="27">
        <v>237963.08894429001</v>
      </c>
    </row>
    <row r="1776" spans="1:13" x14ac:dyDescent="0.75">
      <c r="A1776" s="40">
        <v>1774</v>
      </c>
      <c r="B1776" s="27">
        <v>938.15664324187674</v>
      </c>
      <c r="C1776" s="27">
        <v>1528.9566048504203</v>
      </c>
      <c r="D1776" s="27">
        <v>2542.0680926679634</v>
      </c>
      <c r="E1776" s="27">
        <v>3729.8773301618057</v>
      </c>
      <c r="F1776" s="27">
        <v>5656.8204663222423</v>
      </c>
      <c r="G1776" s="27">
        <v>7534.4801575734164</v>
      </c>
      <c r="H1776" s="27">
        <v>10115.437612736685</v>
      </c>
      <c r="I1776" s="27">
        <v>15064.675075433668</v>
      </c>
      <c r="J1776" s="27">
        <v>24374.52147733634</v>
      </c>
      <c r="K1776" s="27">
        <v>45097.985290360928</v>
      </c>
      <c r="L1776" s="27">
        <v>109920.13290327514</v>
      </c>
      <c r="M1776" s="27">
        <v>226503.11165396048</v>
      </c>
    </row>
    <row r="1777" spans="1:13" x14ac:dyDescent="0.75">
      <c r="A1777" s="40">
        <v>1775</v>
      </c>
      <c r="B1777" s="27">
        <v>679.60665167884144</v>
      </c>
      <c r="C1777" s="27">
        <v>1202.1852727952937</v>
      </c>
      <c r="D1777" s="27">
        <v>2069.0575035166985</v>
      </c>
      <c r="E1777" s="27">
        <v>3514.748441785021</v>
      </c>
      <c r="F1777" s="27">
        <v>4948.6576132513292</v>
      </c>
      <c r="G1777" s="27">
        <v>7507.8920478266664</v>
      </c>
      <c r="H1777" s="27">
        <v>10288.729556115723</v>
      </c>
      <c r="I1777" s="27">
        <v>14804.133372541575</v>
      </c>
      <c r="J1777" s="27">
        <v>23157.752504035074</v>
      </c>
      <c r="K1777" s="27">
        <v>48703.712001245003</v>
      </c>
      <c r="L1777" s="27">
        <v>107760.26940921199</v>
      </c>
      <c r="M1777" s="27">
        <v>224636.7443740032</v>
      </c>
    </row>
    <row r="1778" spans="1:13" x14ac:dyDescent="0.75">
      <c r="A1778" s="40">
        <v>1776</v>
      </c>
      <c r="B1778" s="27">
        <v>1325.2990596929449</v>
      </c>
      <c r="C1778" s="27">
        <v>1869.7059468991793</v>
      </c>
      <c r="D1778" s="27">
        <v>2619.2710969544278</v>
      </c>
      <c r="E1778" s="27">
        <v>3610.4616858197842</v>
      </c>
      <c r="F1778" s="27">
        <v>6235.9429080067202</v>
      </c>
      <c r="G1778" s="27">
        <v>8682.525176259398</v>
      </c>
      <c r="H1778" s="27">
        <v>10582.733466968755</v>
      </c>
      <c r="I1778" s="27">
        <v>14544.777501051998</v>
      </c>
      <c r="J1778" s="27">
        <v>22938.397018880889</v>
      </c>
      <c r="K1778" s="27">
        <v>46398.943044107436</v>
      </c>
      <c r="L1778" s="27">
        <v>116292.11002115204</v>
      </c>
      <c r="M1778" s="27">
        <v>235100.16692579357</v>
      </c>
    </row>
    <row r="1779" spans="1:13" x14ac:dyDescent="0.75">
      <c r="A1779" s="40">
        <v>1777</v>
      </c>
      <c r="B1779" s="27">
        <v>1116.729150610161</v>
      </c>
      <c r="C1779" s="27">
        <v>1663.0746030484006</v>
      </c>
      <c r="D1779" s="27">
        <v>2460.7420819795516</v>
      </c>
      <c r="E1779" s="27">
        <v>3612.2301953927526</v>
      </c>
      <c r="F1779" s="27">
        <v>5699.3516884456913</v>
      </c>
      <c r="G1779" s="27">
        <v>8081.0067225407402</v>
      </c>
      <c r="H1779" s="27">
        <v>11308.842814299976</v>
      </c>
      <c r="I1779" s="27">
        <v>14775.894396117932</v>
      </c>
      <c r="J1779" s="27">
        <v>25136.147830798043</v>
      </c>
      <c r="K1779" s="27">
        <v>48959.800942935806</v>
      </c>
      <c r="L1779" s="27">
        <v>110608.86823952149</v>
      </c>
      <c r="M1779" s="27">
        <v>233422.68866569054</v>
      </c>
    </row>
    <row r="1780" spans="1:13" x14ac:dyDescent="0.75">
      <c r="A1780" s="40">
        <v>1778</v>
      </c>
      <c r="B1780" s="27">
        <v>751.99766289422405</v>
      </c>
      <c r="C1780" s="27">
        <v>1133.6876241931313</v>
      </c>
      <c r="D1780" s="27">
        <v>1708.8920793706493</v>
      </c>
      <c r="E1780" s="27">
        <v>2925.9666618753545</v>
      </c>
      <c r="F1780" s="27">
        <v>4830.3390348314424</v>
      </c>
      <c r="G1780" s="27">
        <v>6991.5499358940579</v>
      </c>
      <c r="H1780" s="27">
        <v>9263.9768683348084</v>
      </c>
      <c r="I1780" s="27">
        <v>13220.545846542489</v>
      </c>
      <c r="J1780" s="27">
        <v>20801.532617715959</v>
      </c>
      <c r="K1780" s="27">
        <v>44644.13069933487</v>
      </c>
      <c r="L1780" s="27">
        <v>110824.42551695295</v>
      </c>
      <c r="M1780" s="27">
        <v>217097.04454793994</v>
      </c>
    </row>
    <row r="1781" spans="1:13" x14ac:dyDescent="0.75">
      <c r="A1781" s="40">
        <v>1779</v>
      </c>
      <c r="B1781" s="27">
        <v>1034.2525529419072</v>
      </c>
      <c r="C1781" s="27">
        <v>1774.742214764934</v>
      </c>
      <c r="D1781" s="27">
        <v>2745.3416346043668</v>
      </c>
      <c r="E1781" s="27">
        <v>3884.9961757245474</v>
      </c>
      <c r="F1781" s="27">
        <v>6480.5286288626667</v>
      </c>
      <c r="G1781" s="27">
        <v>8957.8689585718967</v>
      </c>
      <c r="H1781" s="27">
        <v>11518.762131734227</v>
      </c>
      <c r="I1781" s="27">
        <v>15861.395999139117</v>
      </c>
      <c r="J1781" s="27">
        <v>24889.032184858152</v>
      </c>
      <c r="K1781" s="27">
        <v>47166.804491062416</v>
      </c>
      <c r="L1781" s="27">
        <v>122295.20276610118</v>
      </c>
      <c r="M1781" s="27">
        <v>246608.92773836543</v>
      </c>
    </row>
    <row r="1782" spans="1:13" x14ac:dyDescent="0.75">
      <c r="A1782" s="40">
        <v>1780</v>
      </c>
      <c r="B1782" s="27">
        <v>1071.4050443233864</v>
      </c>
      <c r="C1782" s="27">
        <v>1720.3692385506583</v>
      </c>
      <c r="D1782" s="27">
        <v>2920.7338368430064</v>
      </c>
      <c r="E1782" s="27">
        <v>3791.822667693079</v>
      </c>
      <c r="F1782" s="27">
        <v>5490.0839209483674</v>
      </c>
      <c r="G1782" s="27">
        <v>7699.4670949209249</v>
      </c>
      <c r="H1782" s="27">
        <v>10637.370228474043</v>
      </c>
      <c r="I1782" s="27">
        <v>13713.397652080545</v>
      </c>
      <c r="J1782" s="27">
        <v>23478.367128499391</v>
      </c>
      <c r="K1782" s="27">
        <v>44576.333448661258</v>
      </c>
      <c r="L1782" s="27">
        <v>110331.09481591504</v>
      </c>
      <c r="M1782" s="27">
        <v>225430.4450769097</v>
      </c>
    </row>
    <row r="1783" spans="1:13" x14ac:dyDescent="0.75">
      <c r="A1783" s="40">
        <v>1781</v>
      </c>
      <c r="B1783" s="27">
        <v>955.19435433931358</v>
      </c>
      <c r="C1783" s="27">
        <v>1490.8702987035213</v>
      </c>
      <c r="D1783" s="27">
        <v>2337.0170973969653</v>
      </c>
      <c r="E1783" s="27">
        <v>3420.7446566444269</v>
      </c>
      <c r="F1783" s="27">
        <v>5496.0753912736254</v>
      </c>
      <c r="G1783" s="27">
        <v>7636.824535497668</v>
      </c>
      <c r="H1783" s="27">
        <v>10688.243468029134</v>
      </c>
      <c r="I1783" s="27">
        <v>14687.691899641941</v>
      </c>
      <c r="J1783" s="27">
        <v>24751.233509211001</v>
      </c>
      <c r="K1783" s="27">
        <v>48152.916009531385</v>
      </c>
      <c r="L1783" s="27">
        <v>111885.72017354233</v>
      </c>
      <c r="M1783" s="27">
        <v>231502.53139381131</v>
      </c>
    </row>
    <row r="1784" spans="1:13" x14ac:dyDescent="0.75">
      <c r="A1784" s="40">
        <v>1782</v>
      </c>
      <c r="B1784" s="27">
        <v>1048.2788354193181</v>
      </c>
      <c r="C1784" s="27">
        <v>1290.8239810410596</v>
      </c>
      <c r="D1784" s="27">
        <v>2637.3734429416509</v>
      </c>
      <c r="E1784" s="27">
        <v>3648.8234895140049</v>
      </c>
      <c r="F1784" s="27">
        <v>5781.7255972480634</v>
      </c>
      <c r="G1784" s="27">
        <v>8247.7482582153461</v>
      </c>
      <c r="H1784" s="27">
        <v>11034.62247411898</v>
      </c>
      <c r="I1784" s="27">
        <v>14902.164408075347</v>
      </c>
      <c r="J1784" s="27">
        <v>24294.913653581869</v>
      </c>
      <c r="K1784" s="27">
        <v>49072.368429084439</v>
      </c>
      <c r="L1784" s="27">
        <v>111485.36226838204</v>
      </c>
      <c r="M1784" s="27">
        <v>233444.20483762212</v>
      </c>
    </row>
    <row r="1785" spans="1:13" x14ac:dyDescent="0.75">
      <c r="A1785" s="40">
        <v>1783</v>
      </c>
      <c r="B1785" s="27">
        <v>1040.4094777429709</v>
      </c>
      <c r="C1785" s="27">
        <v>1656.6992794219987</v>
      </c>
      <c r="D1785" s="27">
        <v>2469.5290153278911</v>
      </c>
      <c r="E1785" s="27">
        <v>3675.2877215429908</v>
      </c>
      <c r="F1785" s="27">
        <v>5648.2367459299567</v>
      </c>
      <c r="G1785" s="27">
        <v>8896.3208178828354</v>
      </c>
      <c r="H1785" s="27">
        <v>11175.970274958236</v>
      </c>
      <c r="I1785" s="27">
        <v>15306.867999642098</v>
      </c>
      <c r="J1785" s="27">
        <v>23296.528969145933</v>
      </c>
      <c r="K1785" s="27">
        <v>48104.922188457393</v>
      </c>
      <c r="L1785" s="27">
        <v>117569.73923164079</v>
      </c>
      <c r="M1785" s="27">
        <v>238840.5117216931</v>
      </c>
    </row>
    <row r="1786" spans="1:13" x14ac:dyDescent="0.75">
      <c r="A1786" s="40">
        <v>1784</v>
      </c>
      <c r="B1786" s="27">
        <v>736.69792667249567</v>
      </c>
      <c r="C1786" s="27">
        <v>1321.9604967456253</v>
      </c>
      <c r="D1786" s="27">
        <v>1942.8940059155575</v>
      </c>
      <c r="E1786" s="27">
        <v>3343.7895719597727</v>
      </c>
      <c r="F1786" s="27">
        <v>5228.9540009761695</v>
      </c>
      <c r="G1786" s="27">
        <v>8273.940635795152</v>
      </c>
      <c r="H1786" s="27">
        <v>10556.506250579871</v>
      </c>
      <c r="I1786" s="27">
        <v>14842.825563306498</v>
      </c>
      <c r="J1786" s="27">
        <v>23329.890476024244</v>
      </c>
      <c r="K1786" s="27">
        <v>46885.835020906889</v>
      </c>
      <c r="L1786" s="27">
        <v>108839.9168584344</v>
      </c>
      <c r="M1786" s="27">
        <v>225303.21080731667</v>
      </c>
    </row>
    <row r="1787" spans="1:13" x14ac:dyDescent="0.75">
      <c r="A1787" s="40">
        <v>1785</v>
      </c>
      <c r="B1787" s="27">
        <v>675.78596866261796</v>
      </c>
      <c r="C1787" s="27">
        <v>1305.1044952541852</v>
      </c>
      <c r="D1787" s="27">
        <v>1990.4032324924337</v>
      </c>
      <c r="E1787" s="27">
        <v>3016.6707409362134</v>
      </c>
      <c r="F1787" s="27">
        <v>4833.4326415492978</v>
      </c>
      <c r="G1787" s="27">
        <v>8003.1133749833389</v>
      </c>
      <c r="H1787" s="27">
        <v>9949.1246551573277</v>
      </c>
      <c r="I1787" s="27">
        <v>14499.201637601524</v>
      </c>
      <c r="J1787" s="27">
        <v>23553.542626381444</v>
      </c>
      <c r="K1787" s="27">
        <v>48523.630252824019</v>
      </c>
      <c r="L1787" s="27">
        <v>118258.30709476341</v>
      </c>
      <c r="M1787" s="27">
        <v>234608.31672060583</v>
      </c>
    </row>
    <row r="1788" spans="1:13" x14ac:dyDescent="0.75">
      <c r="A1788" s="40">
        <v>1786</v>
      </c>
      <c r="B1788" s="27">
        <v>635.59831882546132</v>
      </c>
      <c r="C1788" s="27">
        <v>1251.5852141257783</v>
      </c>
      <c r="D1788" s="27">
        <v>2591.398436764197</v>
      </c>
      <c r="E1788" s="27">
        <v>3733.3943910987437</v>
      </c>
      <c r="F1788" s="27">
        <v>5281.0313438419107</v>
      </c>
      <c r="G1788" s="27">
        <v>7935.882053200301</v>
      </c>
      <c r="H1788" s="27">
        <v>10326.837506743075</v>
      </c>
      <c r="I1788" s="27">
        <v>14695.447552377838</v>
      </c>
      <c r="J1788" s="27">
        <v>23765.090561224235</v>
      </c>
      <c r="K1788" s="27">
        <v>47159.722821362346</v>
      </c>
      <c r="L1788" s="27">
        <v>106976.55041081828</v>
      </c>
      <c r="M1788" s="27">
        <v>224352.53861038218</v>
      </c>
    </row>
    <row r="1789" spans="1:13" x14ac:dyDescent="0.75">
      <c r="A1789" s="40">
        <v>1787</v>
      </c>
      <c r="B1789" s="27">
        <v>783.86695191499894</v>
      </c>
      <c r="C1789" s="27">
        <v>1354.583243447647</v>
      </c>
      <c r="D1789" s="27">
        <v>2285.1008464980696</v>
      </c>
      <c r="E1789" s="27">
        <v>3343.3691706427635</v>
      </c>
      <c r="F1789" s="27">
        <v>5282.6067413737765</v>
      </c>
      <c r="G1789" s="27">
        <v>7423.8572836094245</v>
      </c>
      <c r="H1789" s="27">
        <v>9318.7018212166295</v>
      </c>
      <c r="I1789" s="27">
        <v>13298.416797068276</v>
      </c>
      <c r="J1789" s="27">
        <v>22387.147681806891</v>
      </c>
      <c r="K1789" s="27">
        <v>44922.938285426499</v>
      </c>
      <c r="L1789" s="27">
        <v>116371.01794760462</v>
      </c>
      <c r="M1789" s="27">
        <v>226771.60677060959</v>
      </c>
    </row>
    <row r="1790" spans="1:13" x14ac:dyDescent="0.75">
      <c r="A1790" s="40">
        <v>1788</v>
      </c>
      <c r="B1790" s="27">
        <v>431.76094451564131</v>
      </c>
      <c r="C1790" s="27">
        <v>751.38777363862027</v>
      </c>
      <c r="D1790" s="27">
        <v>1435.6452070623782</v>
      </c>
      <c r="E1790" s="27">
        <v>2591.6693791109283</v>
      </c>
      <c r="F1790" s="27">
        <v>4530.8079302339174</v>
      </c>
      <c r="G1790" s="27">
        <v>6604.467800880695</v>
      </c>
      <c r="H1790" s="27">
        <v>8882.0993594983447</v>
      </c>
      <c r="I1790" s="27">
        <v>13250.4205222007</v>
      </c>
      <c r="J1790" s="27">
        <v>21339.332671213182</v>
      </c>
      <c r="K1790" s="27">
        <v>44218.403907091386</v>
      </c>
      <c r="L1790" s="27">
        <v>111708.68498200635</v>
      </c>
      <c r="M1790" s="27">
        <v>215744.68047745214</v>
      </c>
    </row>
    <row r="1791" spans="1:13" x14ac:dyDescent="0.75">
      <c r="A1791" s="40">
        <v>1789</v>
      </c>
      <c r="B1791" s="27">
        <v>613.09322899047402</v>
      </c>
      <c r="C1791" s="27">
        <v>1135.9173787244799</v>
      </c>
      <c r="D1791" s="27">
        <v>1682.572334730241</v>
      </c>
      <c r="E1791" s="27">
        <v>2770.5043721524125</v>
      </c>
      <c r="F1791" s="27">
        <v>4188.5945811709826</v>
      </c>
      <c r="G1791" s="27">
        <v>6527.3580612753576</v>
      </c>
      <c r="H1791" s="27">
        <v>9213.3577809084964</v>
      </c>
      <c r="I1791" s="27">
        <v>12941.311747569911</v>
      </c>
      <c r="J1791" s="27">
        <v>21111.294600950219</v>
      </c>
      <c r="K1791" s="27">
        <v>46053.600739409725</v>
      </c>
      <c r="L1791" s="27">
        <v>113028.91309407368</v>
      </c>
      <c r="M1791" s="27">
        <v>219266.51791995598</v>
      </c>
    </row>
    <row r="1792" spans="1:13" x14ac:dyDescent="0.75">
      <c r="A1792" s="40">
        <v>1790</v>
      </c>
      <c r="B1792" s="27">
        <v>967.88841739222698</v>
      </c>
      <c r="C1792" s="27">
        <v>1700.5349751368194</v>
      </c>
      <c r="D1792" s="27">
        <v>2873.8621432699729</v>
      </c>
      <c r="E1792" s="27">
        <v>4051.8234767228714</v>
      </c>
      <c r="F1792" s="27">
        <v>6207.0374945398944</v>
      </c>
      <c r="G1792" s="27">
        <v>8522.5845361924148</v>
      </c>
      <c r="H1792" s="27">
        <v>10450.551869856543</v>
      </c>
      <c r="I1792" s="27">
        <v>15348.193921428319</v>
      </c>
      <c r="J1792" s="27">
        <v>24763.902271574741</v>
      </c>
      <c r="K1792" s="27">
        <v>47805.780998576476</v>
      </c>
      <c r="L1792" s="27">
        <v>110628.44321923237</v>
      </c>
      <c r="M1792" s="27">
        <v>233320.60332392267</v>
      </c>
    </row>
    <row r="1793" spans="1:13" x14ac:dyDescent="0.75">
      <c r="A1793" s="40">
        <v>1791</v>
      </c>
      <c r="B1793" s="27">
        <v>424.43523434428789</v>
      </c>
      <c r="C1793" s="27">
        <v>1055.0677368801698</v>
      </c>
      <c r="D1793" s="27">
        <v>2060.4616585336043</v>
      </c>
      <c r="E1793" s="27">
        <v>2901.5977355473879</v>
      </c>
      <c r="F1793" s="27">
        <v>5270.0487694240001</v>
      </c>
      <c r="G1793" s="27">
        <v>7895.6008923322952</v>
      </c>
      <c r="H1793" s="27">
        <v>10889.290891325712</v>
      </c>
      <c r="I1793" s="27">
        <v>14987.669948164257</v>
      </c>
      <c r="J1793" s="27">
        <v>23801.808953408836</v>
      </c>
      <c r="K1793" s="27">
        <v>46265.132428455458</v>
      </c>
      <c r="L1793" s="27">
        <v>118528.30833638429</v>
      </c>
      <c r="M1793" s="27">
        <v>234079.42258480028</v>
      </c>
    </row>
    <row r="1794" spans="1:13" x14ac:dyDescent="0.75">
      <c r="A1794" s="40">
        <v>1792</v>
      </c>
      <c r="B1794" s="27">
        <v>818.32829210249474</v>
      </c>
      <c r="C1794" s="27">
        <v>1471.5711560530908</v>
      </c>
      <c r="D1794" s="27">
        <v>2329.0814389075967</v>
      </c>
      <c r="E1794" s="27">
        <v>3451.5607440688764</v>
      </c>
      <c r="F1794" s="27">
        <v>5417.0285345602606</v>
      </c>
      <c r="G1794" s="27">
        <v>7771.0870341275877</v>
      </c>
      <c r="H1794" s="27">
        <v>10282.302672780934</v>
      </c>
      <c r="I1794" s="27">
        <v>14485.639085357165</v>
      </c>
      <c r="J1794" s="27">
        <v>24108.095532092426</v>
      </c>
      <c r="K1794" s="27">
        <v>47378.435484058573</v>
      </c>
      <c r="L1794" s="27">
        <v>114537.72960619174</v>
      </c>
      <c r="M1794" s="27">
        <v>232050.85958030075</v>
      </c>
    </row>
    <row r="1795" spans="1:13" x14ac:dyDescent="0.75">
      <c r="A1795" s="40">
        <v>1793</v>
      </c>
      <c r="B1795" s="27">
        <v>857.02056358332629</v>
      </c>
      <c r="C1795" s="27">
        <v>1122.8977406865597</v>
      </c>
      <c r="D1795" s="27">
        <v>1856.5152838026115</v>
      </c>
      <c r="E1795" s="27">
        <v>3066.0036627916706</v>
      </c>
      <c r="F1795" s="27">
        <v>5303.8395106725802</v>
      </c>
      <c r="G1795" s="27">
        <v>8022.1563112211879</v>
      </c>
      <c r="H1795" s="27">
        <v>10737.501654416235</v>
      </c>
      <c r="I1795" s="27">
        <v>14935.799322276929</v>
      </c>
      <c r="J1795" s="27">
        <v>24012.38403433247</v>
      </c>
      <c r="K1795" s="27">
        <v>49325.953758562493</v>
      </c>
      <c r="L1795" s="27">
        <v>109872.18817304171</v>
      </c>
      <c r="M1795" s="27">
        <v>229112.26001538779</v>
      </c>
    </row>
    <row r="1796" spans="1:13" x14ac:dyDescent="0.75">
      <c r="A1796" s="40">
        <v>1794</v>
      </c>
      <c r="B1796" s="27">
        <v>1313.5349140087201</v>
      </c>
      <c r="C1796" s="27">
        <v>1585.4998919882783</v>
      </c>
      <c r="D1796" s="27">
        <v>2515.1204119007307</v>
      </c>
      <c r="E1796" s="27">
        <v>3701.612407608045</v>
      </c>
      <c r="F1796" s="27">
        <v>5633.2240903947677</v>
      </c>
      <c r="G1796" s="27">
        <v>8191.6620351577294</v>
      </c>
      <c r="H1796" s="27">
        <v>10423.408367342767</v>
      </c>
      <c r="I1796" s="27">
        <v>14668.78277436136</v>
      </c>
      <c r="J1796" s="27">
        <v>22718.297671949826</v>
      </c>
      <c r="K1796" s="27">
        <v>47658.397821759921</v>
      </c>
      <c r="L1796" s="27">
        <v>110988.20669779647</v>
      </c>
      <c r="M1796" s="27">
        <v>229397.7470842686</v>
      </c>
    </row>
    <row r="1797" spans="1:13" x14ac:dyDescent="0.75">
      <c r="A1797" s="40">
        <v>1795</v>
      </c>
      <c r="B1797" s="27">
        <v>714.51520537861506</v>
      </c>
      <c r="C1797" s="27">
        <v>1405.2675734220538</v>
      </c>
      <c r="D1797" s="27">
        <v>2455.5941681633121</v>
      </c>
      <c r="E1797" s="27">
        <v>3704.1272776233527</v>
      </c>
      <c r="F1797" s="27">
        <v>5823.2208569456416</v>
      </c>
      <c r="G1797" s="27">
        <v>7802.6531220266188</v>
      </c>
      <c r="H1797" s="27">
        <v>10573.298955160892</v>
      </c>
      <c r="I1797" s="27">
        <v>13999.199816369801</v>
      </c>
      <c r="J1797" s="27">
        <v>24050.769966119449</v>
      </c>
      <c r="K1797" s="27">
        <v>47870.216670376423</v>
      </c>
      <c r="L1797" s="27">
        <v>99623.15077187409</v>
      </c>
      <c r="M1797" s="27">
        <v>218022.01438346025</v>
      </c>
    </row>
    <row r="1798" spans="1:13" x14ac:dyDescent="0.75">
      <c r="A1798" s="40">
        <v>1796</v>
      </c>
      <c r="B1798" s="27">
        <v>1204.5689357191877</v>
      </c>
      <c r="C1798" s="27">
        <v>1592.7715990002034</v>
      </c>
      <c r="D1798" s="27">
        <v>2532.6333924173668</v>
      </c>
      <c r="E1798" s="27">
        <v>3525.5267459784518</v>
      </c>
      <c r="F1798" s="27">
        <v>5574.2352470854239</v>
      </c>
      <c r="G1798" s="27">
        <v>7960.428647165274</v>
      </c>
      <c r="H1798" s="27">
        <v>10028.05759890475</v>
      </c>
      <c r="I1798" s="27">
        <v>13719.553986557032</v>
      </c>
      <c r="J1798" s="27">
        <v>24071.130256420482</v>
      </c>
      <c r="K1798" s="27">
        <v>49416.513789322795</v>
      </c>
      <c r="L1798" s="27">
        <v>106732.88669707498</v>
      </c>
      <c r="M1798" s="27">
        <v>226358.30689564595</v>
      </c>
    </row>
    <row r="1799" spans="1:13" x14ac:dyDescent="0.75">
      <c r="A1799" s="40">
        <v>1797</v>
      </c>
      <c r="B1799" s="27">
        <v>910.02354460400238</v>
      </c>
      <c r="C1799" s="27">
        <v>1663.0518287070299</v>
      </c>
      <c r="D1799" s="27">
        <v>2712.9111885778693</v>
      </c>
      <c r="E1799" s="27">
        <v>3767.0805244214862</v>
      </c>
      <c r="F1799" s="27">
        <v>5751.3248895395081</v>
      </c>
      <c r="G1799" s="27">
        <v>8003.9025528552884</v>
      </c>
      <c r="H1799" s="27">
        <v>10391.781189400761</v>
      </c>
      <c r="I1799" s="27">
        <v>14810.774496646074</v>
      </c>
      <c r="J1799" s="27">
        <v>23794.847228204337</v>
      </c>
      <c r="K1799" s="27">
        <v>46142.683271285117</v>
      </c>
      <c r="L1799" s="27">
        <v>117695.946646165</v>
      </c>
      <c r="M1799" s="27">
        <v>235644.32736040646</v>
      </c>
    </row>
    <row r="1800" spans="1:13" x14ac:dyDescent="0.75">
      <c r="A1800" s="40">
        <v>1798</v>
      </c>
      <c r="B1800" s="27">
        <v>723.33350768164382</v>
      </c>
      <c r="C1800" s="27">
        <v>1230.5833518789732</v>
      </c>
      <c r="D1800" s="27">
        <v>2023.4571970695106</v>
      </c>
      <c r="E1800" s="27">
        <v>3031.3525306476222</v>
      </c>
      <c r="F1800" s="27">
        <v>4862.1224001099908</v>
      </c>
      <c r="G1800" s="27">
        <v>7125.3305550544756</v>
      </c>
      <c r="H1800" s="27">
        <v>10196.256047796822</v>
      </c>
      <c r="I1800" s="27">
        <v>14184.04802888514</v>
      </c>
      <c r="J1800" s="27">
        <v>22028.458887797111</v>
      </c>
      <c r="K1800" s="27">
        <v>47101.815455615899</v>
      </c>
      <c r="L1800" s="27">
        <v>111206.36779054423</v>
      </c>
      <c r="M1800" s="27">
        <v>223713.1257530814</v>
      </c>
    </row>
    <row r="1801" spans="1:13" x14ac:dyDescent="0.75">
      <c r="A1801" s="40">
        <v>1799</v>
      </c>
      <c r="B1801" s="27">
        <v>739.06799820218293</v>
      </c>
      <c r="C1801" s="27">
        <v>1337.2480792002316</v>
      </c>
      <c r="D1801" s="27">
        <v>2206.6322176059912</v>
      </c>
      <c r="E1801" s="27">
        <v>3274.6059987069893</v>
      </c>
      <c r="F1801" s="27">
        <v>5154.5452212492237</v>
      </c>
      <c r="G1801" s="27">
        <v>7433.8423487772816</v>
      </c>
      <c r="H1801" s="27">
        <v>9932.0963034257584</v>
      </c>
      <c r="I1801" s="27">
        <v>15250.56985495385</v>
      </c>
      <c r="J1801" s="27">
        <v>23398.051201875205</v>
      </c>
      <c r="K1801" s="27">
        <v>47000.733312056953</v>
      </c>
      <c r="L1801" s="27">
        <v>118690.52152419831</v>
      </c>
      <c r="M1801" s="27">
        <v>234417.91406025196</v>
      </c>
    </row>
    <row r="1802" spans="1:13" x14ac:dyDescent="0.75">
      <c r="A1802" s="40">
        <v>1800</v>
      </c>
      <c r="B1802" s="27">
        <v>714.12333413344459</v>
      </c>
      <c r="C1802" s="27">
        <v>1325.9041906041239</v>
      </c>
      <c r="D1802" s="27">
        <v>2188.8827827847999</v>
      </c>
      <c r="E1802" s="27">
        <v>3104.9278008266119</v>
      </c>
      <c r="F1802" s="27">
        <v>4955.5612157321884</v>
      </c>
      <c r="G1802" s="27">
        <v>7637.7971540895524</v>
      </c>
      <c r="H1802" s="27">
        <v>10302.197335288452</v>
      </c>
      <c r="I1802" s="27">
        <v>14423.00832352617</v>
      </c>
      <c r="J1802" s="27">
        <v>23990.792431673646</v>
      </c>
      <c r="K1802" s="27">
        <v>45620.603973036457</v>
      </c>
      <c r="L1802" s="27">
        <v>112360.85087603446</v>
      </c>
      <c r="M1802" s="27">
        <v>226624.6494177299</v>
      </c>
    </row>
    <row r="1803" spans="1:13" x14ac:dyDescent="0.75">
      <c r="A1803" s="40">
        <v>1801</v>
      </c>
      <c r="B1803" s="27">
        <v>480.37277585748234</v>
      </c>
      <c r="C1803" s="27">
        <v>953.04831797805673</v>
      </c>
      <c r="D1803" s="27">
        <v>1995.3159516444284</v>
      </c>
      <c r="E1803" s="27">
        <v>3111.126652633553</v>
      </c>
      <c r="F1803" s="27">
        <v>4841.8913877141022</v>
      </c>
      <c r="G1803" s="27">
        <v>7126.2669370332733</v>
      </c>
      <c r="H1803" s="27">
        <v>9568.6368511366745</v>
      </c>
      <c r="I1803" s="27">
        <v>14416.459072516125</v>
      </c>
      <c r="J1803" s="27">
        <v>21310.559619391279</v>
      </c>
      <c r="K1803" s="27">
        <v>44632.743432218253</v>
      </c>
      <c r="L1803" s="27">
        <v>106667.73779051394</v>
      </c>
      <c r="M1803" s="27">
        <v>215104.15878863717</v>
      </c>
    </row>
    <row r="1804" spans="1:13" x14ac:dyDescent="0.75">
      <c r="A1804" s="40">
        <v>1802</v>
      </c>
      <c r="B1804" s="27">
        <v>460.61233701006859</v>
      </c>
      <c r="C1804" s="27">
        <v>1077.1793176563078</v>
      </c>
      <c r="D1804" s="27">
        <v>1924.0454367102502</v>
      </c>
      <c r="E1804" s="27">
        <v>2891.5875165084581</v>
      </c>
      <c r="F1804" s="27">
        <v>5291.3983527869568</v>
      </c>
      <c r="G1804" s="27">
        <v>7503.2276647180261</v>
      </c>
      <c r="H1804" s="27">
        <v>9794.7799208990182</v>
      </c>
      <c r="I1804" s="27">
        <v>13567.196986349052</v>
      </c>
      <c r="J1804" s="27">
        <v>23033.254093500349</v>
      </c>
      <c r="K1804" s="27">
        <v>46720.935187220864</v>
      </c>
      <c r="L1804" s="27">
        <v>109679.32395399126</v>
      </c>
      <c r="M1804" s="27">
        <v>221943.54076735061</v>
      </c>
    </row>
    <row r="1805" spans="1:13" x14ac:dyDescent="0.75">
      <c r="A1805" s="40">
        <v>1803</v>
      </c>
      <c r="B1805" s="27">
        <v>287.2941783740971</v>
      </c>
      <c r="C1805" s="27">
        <v>558.95635838006274</v>
      </c>
      <c r="D1805" s="27">
        <v>1315.5308873622707</v>
      </c>
      <c r="E1805" s="27">
        <v>2688.6941216498235</v>
      </c>
      <c r="F1805" s="27">
        <v>4711.6348527283553</v>
      </c>
      <c r="G1805" s="27">
        <v>7433.2645621877746</v>
      </c>
      <c r="H1805" s="27">
        <v>10043.209177203404</v>
      </c>
      <c r="I1805" s="27">
        <v>14486.715658045956</v>
      </c>
      <c r="J1805" s="27">
        <v>22345.922645572646</v>
      </c>
      <c r="K1805" s="27">
        <v>45245.942912481667</v>
      </c>
      <c r="L1805" s="27">
        <v>117265.07423480606</v>
      </c>
      <c r="M1805" s="27">
        <v>226382.23958879212</v>
      </c>
    </row>
    <row r="1806" spans="1:13" x14ac:dyDescent="0.75">
      <c r="A1806" s="40">
        <v>1804</v>
      </c>
      <c r="B1806" s="27">
        <v>275.68425601597119</v>
      </c>
      <c r="C1806" s="27">
        <v>704.25185493499157</v>
      </c>
      <c r="D1806" s="27">
        <v>1622.3913037940802</v>
      </c>
      <c r="E1806" s="27">
        <v>2644.1495107063529</v>
      </c>
      <c r="F1806" s="27">
        <v>4517.6418892200163</v>
      </c>
      <c r="G1806" s="27">
        <v>6889.8679251385911</v>
      </c>
      <c r="H1806" s="27">
        <v>9360.3695331411582</v>
      </c>
      <c r="I1806" s="27">
        <v>13163.529907793883</v>
      </c>
      <c r="J1806" s="27">
        <v>22046.469118774199</v>
      </c>
      <c r="K1806" s="27">
        <v>47340.388001453437</v>
      </c>
      <c r="L1806" s="27">
        <v>110114.96761986171</v>
      </c>
      <c r="M1806" s="27">
        <v>218679.71092083439</v>
      </c>
    </row>
    <row r="1807" spans="1:13" x14ac:dyDescent="0.75">
      <c r="A1807" s="40">
        <v>1805</v>
      </c>
      <c r="B1807" s="27">
        <v>717.61442005075514</v>
      </c>
      <c r="C1807" s="27">
        <v>1468.5525849752885</v>
      </c>
      <c r="D1807" s="27">
        <v>2331.0827329753811</v>
      </c>
      <c r="E1807" s="27">
        <v>3626.6775449660054</v>
      </c>
      <c r="F1807" s="27">
        <v>5561.6655860152387</v>
      </c>
      <c r="G1807" s="27">
        <v>7834.6237377843354</v>
      </c>
      <c r="H1807" s="27">
        <v>9666.1232984462695</v>
      </c>
      <c r="I1807" s="27">
        <v>14341.72892122659</v>
      </c>
      <c r="J1807" s="27">
        <v>22508.729245274124</v>
      </c>
      <c r="K1807" s="27">
        <v>44351.463858524134</v>
      </c>
      <c r="L1807" s="27">
        <v>105490.20028598161</v>
      </c>
      <c r="M1807" s="27">
        <v>217898.46221621975</v>
      </c>
    </row>
    <row r="1808" spans="1:13" x14ac:dyDescent="0.75">
      <c r="A1808" s="40">
        <v>1806</v>
      </c>
      <c r="B1808" s="27">
        <v>961.24881304033624</v>
      </c>
      <c r="C1808" s="27">
        <v>1463.1673148195259</v>
      </c>
      <c r="D1808" s="27">
        <v>2267.6995022624615</v>
      </c>
      <c r="E1808" s="27">
        <v>3127.9355866102705</v>
      </c>
      <c r="F1808" s="27">
        <v>5258.4817944328533</v>
      </c>
      <c r="G1808" s="27">
        <v>7995.643713653204</v>
      </c>
      <c r="H1808" s="27">
        <v>10150.377036478429</v>
      </c>
      <c r="I1808" s="27">
        <v>14119.038029263393</v>
      </c>
      <c r="J1808" s="27">
        <v>22742.735417113625</v>
      </c>
      <c r="K1808" s="27">
        <v>46759.46447180117</v>
      </c>
      <c r="L1808" s="27">
        <v>114038.33861778815</v>
      </c>
      <c r="M1808" s="27">
        <v>228884.13029726341</v>
      </c>
    </row>
    <row r="1809" spans="1:13" x14ac:dyDescent="0.75">
      <c r="A1809" s="40">
        <v>1807</v>
      </c>
      <c r="B1809" s="27">
        <v>510.53615122090559</v>
      </c>
      <c r="C1809" s="27">
        <v>1233.3150267264718</v>
      </c>
      <c r="D1809" s="27">
        <v>2532.5933534330252</v>
      </c>
      <c r="E1809" s="27">
        <v>3499.126241421749</v>
      </c>
      <c r="F1809" s="27">
        <v>5508.8623386062391</v>
      </c>
      <c r="G1809" s="27">
        <v>8126.6689908920089</v>
      </c>
      <c r="H1809" s="27">
        <v>10286.67054278859</v>
      </c>
      <c r="I1809" s="27">
        <v>15259.573696002015</v>
      </c>
      <c r="J1809" s="27">
        <v>24382.213726157686</v>
      </c>
      <c r="K1809" s="27">
        <v>45217.516649454512</v>
      </c>
      <c r="L1809" s="27">
        <v>118375.38357725236</v>
      </c>
      <c r="M1809" s="27">
        <v>234932.46029395558</v>
      </c>
    </row>
    <row r="1810" spans="1:13" x14ac:dyDescent="0.75">
      <c r="A1810" s="40">
        <v>1808</v>
      </c>
      <c r="B1810" s="27">
        <v>979.10598212118202</v>
      </c>
      <c r="C1810" s="27">
        <v>1293.4667138608929</v>
      </c>
      <c r="D1810" s="27">
        <v>2137.4821673880651</v>
      </c>
      <c r="E1810" s="27">
        <v>3198.8412735468592</v>
      </c>
      <c r="F1810" s="27">
        <v>5288.9017756012036</v>
      </c>
      <c r="G1810" s="27">
        <v>7975.8080841175688</v>
      </c>
      <c r="H1810" s="27">
        <v>10667.13440025915</v>
      </c>
      <c r="I1810" s="27">
        <v>14430.992035711562</v>
      </c>
      <c r="J1810" s="27">
        <v>23783.780570836592</v>
      </c>
      <c r="K1810" s="27">
        <v>45723.739116142577</v>
      </c>
      <c r="L1810" s="27">
        <v>112214.56764333145</v>
      </c>
      <c r="M1810" s="27">
        <v>227693.81976291712</v>
      </c>
    </row>
    <row r="1811" spans="1:13" x14ac:dyDescent="0.75">
      <c r="A1811" s="40">
        <v>1809</v>
      </c>
      <c r="B1811" s="27">
        <v>533.59895223256899</v>
      </c>
      <c r="C1811" s="27">
        <v>822.83438227427541</v>
      </c>
      <c r="D1811" s="27">
        <v>1658.5709202788858</v>
      </c>
      <c r="E1811" s="27">
        <v>2778.792807083184</v>
      </c>
      <c r="F1811" s="27">
        <v>4738.1420845147804</v>
      </c>
      <c r="G1811" s="27">
        <v>6621.3782928327855</v>
      </c>
      <c r="H1811" s="27">
        <v>8804.0942494706687</v>
      </c>
      <c r="I1811" s="27">
        <v>13235.578563882242</v>
      </c>
      <c r="J1811" s="27">
        <v>23683.570952171285</v>
      </c>
      <c r="K1811" s="27">
        <v>42391.657025332825</v>
      </c>
      <c r="L1811" s="27">
        <v>115194.72852184446</v>
      </c>
      <c r="M1811" s="27">
        <v>220462.94675191795</v>
      </c>
    </row>
    <row r="1812" spans="1:13" x14ac:dyDescent="0.75">
      <c r="A1812" s="40">
        <v>1810</v>
      </c>
      <c r="B1812" s="27">
        <v>1122.9592254387826</v>
      </c>
      <c r="C1812" s="27">
        <v>1734.2029928332195</v>
      </c>
      <c r="D1812" s="27">
        <v>2891.0377836040716</v>
      </c>
      <c r="E1812" s="27">
        <v>4106.9082059969369</v>
      </c>
      <c r="F1812" s="27">
        <v>6523.8739057859057</v>
      </c>
      <c r="G1812" s="27">
        <v>8814.2108063860796</v>
      </c>
      <c r="H1812" s="27">
        <v>11321.119814881924</v>
      </c>
      <c r="I1812" s="27">
        <v>15024.809491041437</v>
      </c>
      <c r="J1812" s="27">
        <v>23441.327794979225</v>
      </c>
      <c r="K1812" s="27">
        <v>43949.209443604312</v>
      </c>
      <c r="L1812" s="27">
        <v>113953.90513295462</v>
      </c>
      <c r="M1812" s="27">
        <v>232883.56459750651</v>
      </c>
    </row>
    <row r="1813" spans="1:13" x14ac:dyDescent="0.75">
      <c r="A1813" s="40">
        <v>1811</v>
      </c>
      <c r="B1813" s="27">
        <v>883.0433423017821</v>
      </c>
      <c r="C1813" s="27">
        <v>1319.912081228671</v>
      </c>
      <c r="D1813" s="27">
        <v>2013.7231400363671</v>
      </c>
      <c r="E1813" s="27">
        <v>3481.1085698418901</v>
      </c>
      <c r="F1813" s="27">
        <v>5088.4033067068667</v>
      </c>
      <c r="G1813" s="27">
        <v>7121.6160359856003</v>
      </c>
      <c r="H1813" s="27">
        <v>10225.29933304101</v>
      </c>
      <c r="I1813" s="27">
        <v>14640.938025767027</v>
      </c>
      <c r="J1813" s="27">
        <v>22358.570205357188</v>
      </c>
      <c r="K1813" s="27">
        <v>46112.794310770201</v>
      </c>
      <c r="L1813" s="27">
        <v>114789.47117133392</v>
      </c>
      <c r="M1813" s="27">
        <v>228034.87952237052</v>
      </c>
    </row>
    <row r="1814" spans="1:13" x14ac:dyDescent="0.75">
      <c r="A1814" s="40">
        <v>1812</v>
      </c>
      <c r="B1814" s="27">
        <v>471.48460186400916</v>
      </c>
      <c r="C1814" s="27">
        <v>836.09831348803709</v>
      </c>
      <c r="D1814" s="27">
        <v>1936.2908530052227</v>
      </c>
      <c r="E1814" s="27">
        <v>3167.1249663932977</v>
      </c>
      <c r="F1814" s="27">
        <v>4900.6404562209063</v>
      </c>
      <c r="G1814" s="27">
        <v>7062.5055316133366</v>
      </c>
      <c r="H1814" s="27">
        <v>9607.3120039745554</v>
      </c>
      <c r="I1814" s="27">
        <v>14182.664299185286</v>
      </c>
      <c r="J1814" s="27">
        <v>21823.316019781851</v>
      </c>
      <c r="K1814" s="27">
        <v>46674.195754007436</v>
      </c>
      <c r="L1814" s="27">
        <v>110746.84985626399</v>
      </c>
      <c r="M1814" s="27">
        <v>221408.48265579791</v>
      </c>
    </row>
    <row r="1815" spans="1:13" x14ac:dyDescent="0.75">
      <c r="A1815" s="40">
        <v>1813</v>
      </c>
      <c r="B1815" s="27">
        <v>536.11404326597403</v>
      </c>
      <c r="C1815" s="27">
        <v>1112.5091549374483</v>
      </c>
      <c r="D1815" s="27">
        <v>1888.4809583835304</v>
      </c>
      <c r="E1815" s="27">
        <v>2882.107503452833</v>
      </c>
      <c r="F1815" s="27">
        <v>4966.6541269080335</v>
      </c>
      <c r="G1815" s="27">
        <v>7472.0692030859645</v>
      </c>
      <c r="H1815" s="27">
        <v>10455.998107215244</v>
      </c>
      <c r="I1815" s="27">
        <v>14372.452041936223</v>
      </c>
      <c r="J1815" s="27">
        <v>23140.718808215359</v>
      </c>
      <c r="K1815" s="27">
        <v>48874.520660719281</v>
      </c>
      <c r="L1815" s="27">
        <v>114349.30212548198</v>
      </c>
      <c r="M1815" s="27">
        <v>230050.92673360187</v>
      </c>
    </row>
    <row r="1816" spans="1:13" x14ac:dyDescent="0.75">
      <c r="A1816" s="40">
        <v>1814</v>
      </c>
      <c r="B1816" s="27">
        <v>776.61259324448474</v>
      </c>
      <c r="C1816" s="27">
        <v>1053.8972360699554</v>
      </c>
      <c r="D1816" s="27">
        <v>2080.827269610847</v>
      </c>
      <c r="E1816" s="27">
        <v>3312.3782109277527</v>
      </c>
      <c r="F1816" s="27">
        <v>5260.4244662889978</v>
      </c>
      <c r="G1816" s="27">
        <v>6897.1604055918287</v>
      </c>
      <c r="H1816" s="27">
        <v>9435.1748359980702</v>
      </c>
      <c r="I1816" s="27">
        <v>13098.953731938396</v>
      </c>
      <c r="J1816" s="27">
        <v>22793.541640415846</v>
      </c>
      <c r="K1816" s="27">
        <v>46516.636449922764</v>
      </c>
      <c r="L1816" s="27">
        <v>119901.24484282773</v>
      </c>
      <c r="M1816" s="27">
        <v>231126.85168283666</v>
      </c>
    </row>
    <row r="1817" spans="1:13" x14ac:dyDescent="0.75">
      <c r="A1817" s="40">
        <v>1815</v>
      </c>
      <c r="B1817" s="27">
        <v>797.85311679817096</v>
      </c>
      <c r="C1817" s="27">
        <v>1349.0142767911166</v>
      </c>
      <c r="D1817" s="27">
        <v>2350.4822838987893</v>
      </c>
      <c r="E1817" s="27">
        <v>3429.150177745134</v>
      </c>
      <c r="F1817" s="27">
        <v>4870.8756217839691</v>
      </c>
      <c r="G1817" s="27">
        <v>7335.7447681160993</v>
      </c>
      <c r="H1817" s="27">
        <v>10647.55623591668</v>
      </c>
      <c r="I1817" s="27">
        <v>14016.652053109399</v>
      </c>
      <c r="J1817" s="27">
        <v>22935.184057409628</v>
      </c>
      <c r="K1817" s="27">
        <v>47180.555126475025</v>
      </c>
      <c r="L1817" s="27">
        <v>106438.64802831001</v>
      </c>
      <c r="M1817" s="27">
        <v>221351.71574635402</v>
      </c>
    </row>
    <row r="1818" spans="1:13" x14ac:dyDescent="0.75">
      <c r="A1818" s="40">
        <v>1816</v>
      </c>
      <c r="B1818" s="27">
        <v>793.84432350496354</v>
      </c>
      <c r="C1818" s="27">
        <v>1101.0462649172405</v>
      </c>
      <c r="D1818" s="27">
        <v>2107.4971109417966</v>
      </c>
      <c r="E1818" s="27">
        <v>2944.6848992340238</v>
      </c>
      <c r="F1818" s="27">
        <v>4721.9955218587129</v>
      </c>
      <c r="G1818" s="27">
        <v>7565.2790568095807</v>
      </c>
      <c r="H1818" s="27">
        <v>9731.6318594792974</v>
      </c>
      <c r="I1818" s="27">
        <v>14638.252532593426</v>
      </c>
      <c r="J1818" s="27">
        <v>22661.476879331167</v>
      </c>
      <c r="K1818" s="27">
        <v>45906.66663562991</v>
      </c>
      <c r="L1818" s="27">
        <v>112190.94464673013</v>
      </c>
      <c r="M1818" s="27">
        <v>224363.31973103026</v>
      </c>
    </row>
    <row r="1819" spans="1:13" x14ac:dyDescent="0.75">
      <c r="A1819" s="40">
        <v>1817</v>
      </c>
      <c r="B1819" s="27">
        <v>664.60840178960643</v>
      </c>
      <c r="C1819" s="27">
        <v>1082.2510397781589</v>
      </c>
      <c r="D1819" s="27">
        <v>2336.3352087664389</v>
      </c>
      <c r="E1819" s="27">
        <v>3137.0914924657554</v>
      </c>
      <c r="F1819" s="27">
        <v>4747.6743304163974</v>
      </c>
      <c r="G1819" s="27">
        <v>7162.320913527743</v>
      </c>
      <c r="H1819" s="27">
        <v>9597.9364893098973</v>
      </c>
      <c r="I1819" s="27">
        <v>13701.350210243691</v>
      </c>
      <c r="J1819" s="27">
        <v>23606.566236899438</v>
      </c>
      <c r="K1819" s="27">
        <v>48474.59827283115</v>
      </c>
      <c r="L1819" s="27">
        <v>111004.433067479</v>
      </c>
      <c r="M1819" s="27">
        <v>225515.16566350727</v>
      </c>
    </row>
    <row r="1820" spans="1:13" x14ac:dyDescent="0.75">
      <c r="A1820" s="40">
        <v>1818</v>
      </c>
      <c r="B1820" s="27">
        <v>1317.7241850981227</v>
      </c>
      <c r="C1820" s="27">
        <v>1872.0792274823034</v>
      </c>
      <c r="D1820" s="27">
        <v>3125.0629589221062</v>
      </c>
      <c r="E1820" s="27">
        <v>4306.1454738653993</v>
      </c>
      <c r="F1820" s="27">
        <v>6439.1234915975074</v>
      </c>
      <c r="G1820" s="27">
        <v>8526.9077073954104</v>
      </c>
      <c r="H1820" s="27">
        <v>11218.527707564441</v>
      </c>
      <c r="I1820" s="27">
        <v>15633.491756376083</v>
      </c>
      <c r="J1820" s="27">
        <v>26076.266639119305</v>
      </c>
      <c r="K1820" s="27">
        <v>47460.637418923638</v>
      </c>
      <c r="L1820" s="27">
        <v>109051.69764625881</v>
      </c>
      <c r="M1820" s="27">
        <v>235027.66421260312</v>
      </c>
    </row>
    <row r="1821" spans="1:13" x14ac:dyDescent="0.75">
      <c r="A1821" s="40">
        <v>1819</v>
      </c>
      <c r="B1821" s="27">
        <v>681.97339932700561</v>
      </c>
      <c r="C1821" s="27">
        <v>1229.716046335685</v>
      </c>
      <c r="D1821" s="27">
        <v>2209.9543251100258</v>
      </c>
      <c r="E1821" s="27">
        <v>3240.148968442445</v>
      </c>
      <c r="F1821" s="27">
        <v>4945.0960450149141</v>
      </c>
      <c r="G1821" s="27">
        <v>7582.4422820732871</v>
      </c>
      <c r="H1821" s="27">
        <v>10306.876242492755</v>
      </c>
      <c r="I1821" s="27">
        <v>14939.625132480171</v>
      </c>
      <c r="J1821" s="27">
        <v>22431.26130092793</v>
      </c>
      <c r="K1821" s="27">
        <v>45619.703981840852</v>
      </c>
      <c r="L1821" s="27">
        <v>119499.45293736909</v>
      </c>
      <c r="M1821" s="27">
        <v>232686.25066141417</v>
      </c>
    </row>
    <row r="1822" spans="1:13" x14ac:dyDescent="0.75">
      <c r="A1822" s="40">
        <v>1820</v>
      </c>
      <c r="B1822" s="27">
        <v>195.37213935087493</v>
      </c>
      <c r="C1822" s="27">
        <v>656.58619874040596</v>
      </c>
      <c r="D1822" s="27">
        <v>1602.7538766595535</v>
      </c>
      <c r="E1822" s="27">
        <v>2773.0805469452171</v>
      </c>
      <c r="F1822" s="27">
        <v>4596.0841584288864</v>
      </c>
      <c r="G1822" s="27">
        <v>7023.7273716969648</v>
      </c>
      <c r="H1822" s="27">
        <v>9717.2318000263622</v>
      </c>
      <c r="I1822" s="27">
        <v>14370.193807725052</v>
      </c>
      <c r="J1822" s="27">
        <v>22971.03549646381</v>
      </c>
      <c r="K1822" s="27">
        <v>44999.517111134861</v>
      </c>
      <c r="L1822" s="27">
        <v>105809.20470193184</v>
      </c>
      <c r="M1822" s="27">
        <v>214714.78720910382</v>
      </c>
    </row>
    <row r="1823" spans="1:13" x14ac:dyDescent="0.75">
      <c r="A1823" s="40">
        <v>1821</v>
      </c>
      <c r="B1823" s="27">
        <v>615.6659528666205</v>
      </c>
      <c r="C1823" s="27">
        <v>1305.1681253939314</v>
      </c>
      <c r="D1823" s="27">
        <v>2201.7488483334891</v>
      </c>
      <c r="E1823" s="27">
        <v>3451.3336295271874</v>
      </c>
      <c r="F1823" s="27">
        <v>5635.6300453605945</v>
      </c>
      <c r="G1823" s="27">
        <v>8179.9869178165391</v>
      </c>
      <c r="H1823" s="27">
        <v>10447.009388088118</v>
      </c>
      <c r="I1823" s="27">
        <v>14293.527983993379</v>
      </c>
      <c r="J1823" s="27">
        <v>22706.749257795949</v>
      </c>
      <c r="K1823" s="27">
        <v>48159.147381347488</v>
      </c>
      <c r="L1823" s="27">
        <v>101885.83196090726</v>
      </c>
      <c r="M1823" s="27">
        <v>218881.79949143057</v>
      </c>
    </row>
    <row r="1824" spans="1:13" x14ac:dyDescent="0.75">
      <c r="A1824" s="40">
        <v>1822</v>
      </c>
      <c r="B1824" s="27">
        <v>968.61723882351362</v>
      </c>
      <c r="C1824" s="27">
        <v>1335.3646048967203</v>
      </c>
      <c r="D1824" s="27">
        <v>1994.2788141659839</v>
      </c>
      <c r="E1824" s="27">
        <v>3072.4185219610226</v>
      </c>
      <c r="F1824" s="27">
        <v>4705.0947120479395</v>
      </c>
      <c r="G1824" s="27">
        <v>7153.8445207714394</v>
      </c>
      <c r="H1824" s="27">
        <v>10075.259506132526</v>
      </c>
      <c r="I1824" s="27">
        <v>13486.717169490701</v>
      </c>
      <c r="J1824" s="27">
        <v>22090.415888536096</v>
      </c>
      <c r="K1824" s="27">
        <v>46751.961543429265</v>
      </c>
      <c r="L1824" s="27">
        <v>112192.47459292915</v>
      </c>
      <c r="M1824" s="27">
        <v>223826.44711318437</v>
      </c>
    </row>
    <row r="1825" spans="1:13" x14ac:dyDescent="0.75">
      <c r="A1825" s="40">
        <v>1823</v>
      </c>
      <c r="B1825" s="27">
        <v>1094.8196413420665</v>
      </c>
      <c r="C1825" s="27">
        <v>1841.8021096769808</v>
      </c>
      <c r="D1825" s="27">
        <v>2873.3592663550662</v>
      </c>
      <c r="E1825" s="27">
        <v>4484.3291935690941</v>
      </c>
      <c r="F1825" s="27">
        <v>6349.9924862051557</v>
      </c>
      <c r="G1825" s="27">
        <v>9038.2962627870729</v>
      </c>
      <c r="H1825" s="27">
        <v>12071.083895781543</v>
      </c>
      <c r="I1825" s="27">
        <v>16130.751493148171</v>
      </c>
      <c r="J1825" s="27">
        <v>24237.18896373274</v>
      </c>
      <c r="K1825" s="27">
        <v>46964.439376220165</v>
      </c>
      <c r="L1825" s="27">
        <v>113042.17588854244</v>
      </c>
      <c r="M1825" s="27">
        <v>238128.23857736049</v>
      </c>
    </row>
    <row r="1826" spans="1:13" x14ac:dyDescent="0.75">
      <c r="A1826" s="40">
        <v>1824</v>
      </c>
      <c r="B1826" s="27">
        <v>715.253757296392</v>
      </c>
      <c r="C1826" s="27">
        <v>1284.5303785999567</v>
      </c>
      <c r="D1826" s="27">
        <v>2427.646485168385</v>
      </c>
      <c r="E1826" s="27">
        <v>3875.2130779340805</v>
      </c>
      <c r="F1826" s="27">
        <v>5798.6846091913467</v>
      </c>
      <c r="G1826" s="27">
        <v>8407.6463048175792</v>
      </c>
      <c r="H1826" s="27">
        <v>10688.505632742541</v>
      </c>
      <c r="I1826" s="27">
        <v>15652.136961145065</v>
      </c>
      <c r="J1826" s="27">
        <v>24074.2217040916</v>
      </c>
      <c r="K1826" s="27">
        <v>46470.36366084803</v>
      </c>
      <c r="L1826" s="27">
        <v>111134.17588915551</v>
      </c>
      <c r="M1826" s="27">
        <v>230528.3784609905</v>
      </c>
    </row>
    <row r="1827" spans="1:13" x14ac:dyDescent="0.75">
      <c r="A1827" s="40">
        <v>1825</v>
      </c>
      <c r="B1827" s="27">
        <v>1096.3344364178774</v>
      </c>
      <c r="C1827" s="27">
        <v>1867.509374736328</v>
      </c>
      <c r="D1827" s="27">
        <v>2667.1798418137332</v>
      </c>
      <c r="E1827" s="27">
        <v>3518.3701163029909</v>
      </c>
      <c r="F1827" s="27">
        <v>5734.3518653626379</v>
      </c>
      <c r="G1827" s="27">
        <v>8645.6622747775691</v>
      </c>
      <c r="H1827" s="27">
        <v>11650.172568821785</v>
      </c>
      <c r="I1827" s="27">
        <v>14855.357641734125</v>
      </c>
      <c r="J1827" s="27">
        <v>24054.948779794882</v>
      </c>
      <c r="K1827" s="27">
        <v>48865.396142231402</v>
      </c>
      <c r="L1827" s="27">
        <v>117987.41687707676</v>
      </c>
      <c r="M1827" s="27">
        <v>240942.69991907009</v>
      </c>
    </row>
    <row r="1828" spans="1:13" x14ac:dyDescent="0.75">
      <c r="A1828" s="40">
        <v>1826</v>
      </c>
      <c r="B1828" s="27">
        <v>904.94517811131664</v>
      </c>
      <c r="C1828" s="27">
        <v>1357.3520396159583</v>
      </c>
      <c r="D1828" s="27">
        <v>2317.0072149231273</v>
      </c>
      <c r="E1828" s="27">
        <v>3455.1850546768983</v>
      </c>
      <c r="F1828" s="27">
        <v>5292.7126609486877</v>
      </c>
      <c r="G1828" s="27">
        <v>7873.250282714318</v>
      </c>
      <c r="H1828" s="27">
        <v>10311.009359225267</v>
      </c>
      <c r="I1828" s="27">
        <v>14335.081093662666</v>
      </c>
      <c r="J1828" s="27">
        <v>23170.267628382193</v>
      </c>
      <c r="K1828" s="27">
        <v>45886.206196979561</v>
      </c>
      <c r="L1828" s="27">
        <v>108971.68847812802</v>
      </c>
      <c r="M1828" s="27">
        <v>223874.70518736803</v>
      </c>
    </row>
    <row r="1829" spans="1:13" x14ac:dyDescent="0.75">
      <c r="A1829" s="40">
        <v>1827</v>
      </c>
      <c r="B1829" s="27">
        <v>806.33842584288504</v>
      </c>
      <c r="C1829" s="27">
        <v>1231.7232429684809</v>
      </c>
      <c r="D1829" s="27">
        <v>2187.3280792609148</v>
      </c>
      <c r="E1829" s="27">
        <v>3377.7500806316675</v>
      </c>
      <c r="F1829" s="27">
        <v>5115.0015598547034</v>
      </c>
      <c r="G1829" s="27">
        <v>7752.2431484491681</v>
      </c>
      <c r="H1829" s="27">
        <v>10028.790044382913</v>
      </c>
      <c r="I1829" s="27">
        <v>13690.61429895983</v>
      </c>
      <c r="J1829" s="27">
        <v>21849.920177955573</v>
      </c>
      <c r="K1829" s="27">
        <v>44507.190347257914</v>
      </c>
      <c r="L1829" s="27">
        <v>108969.19194604573</v>
      </c>
      <c r="M1829" s="27">
        <v>219516.09135160979</v>
      </c>
    </row>
    <row r="1830" spans="1:13" x14ac:dyDescent="0.75">
      <c r="A1830" s="40">
        <v>1828</v>
      </c>
      <c r="B1830" s="27">
        <v>785.39637540564581</v>
      </c>
      <c r="C1830" s="27">
        <v>1450.0510271767271</v>
      </c>
      <c r="D1830" s="27">
        <v>2090.5810639206175</v>
      </c>
      <c r="E1830" s="27">
        <v>3558.1896042722947</v>
      </c>
      <c r="F1830" s="27">
        <v>5686.1900302950526</v>
      </c>
      <c r="G1830" s="27">
        <v>7890.8637373480597</v>
      </c>
      <c r="H1830" s="27">
        <v>10042.854950056149</v>
      </c>
      <c r="I1830" s="27">
        <v>14523.556816095617</v>
      </c>
      <c r="J1830" s="27">
        <v>23923.249498070742</v>
      </c>
      <c r="K1830" s="27">
        <v>47522.098519769846</v>
      </c>
      <c r="L1830" s="27">
        <v>113574.18108508149</v>
      </c>
      <c r="M1830" s="27">
        <v>231047.21270749223</v>
      </c>
    </row>
    <row r="1831" spans="1:13" x14ac:dyDescent="0.75">
      <c r="A1831" s="40">
        <v>1829</v>
      </c>
      <c r="B1831" s="27">
        <v>1225.1226573975582</v>
      </c>
      <c r="C1831" s="27">
        <v>1910.8193145931582</v>
      </c>
      <c r="D1831" s="27">
        <v>2936.9955057640618</v>
      </c>
      <c r="E1831" s="27">
        <v>3996.3834139155078</v>
      </c>
      <c r="F1831" s="27">
        <v>6126.3917833894666</v>
      </c>
      <c r="G1831" s="27">
        <v>8513.7495734046388</v>
      </c>
      <c r="H1831" s="27">
        <v>10711.229194796761</v>
      </c>
      <c r="I1831" s="27">
        <v>14401.632274824515</v>
      </c>
      <c r="J1831" s="27">
        <v>25685.679780010221</v>
      </c>
      <c r="K1831" s="27">
        <v>47454.558353877277</v>
      </c>
      <c r="L1831" s="27">
        <v>104157.2807203322</v>
      </c>
      <c r="M1831" s="27">
        <v>227119.84257230535</v>
      </c>
    </row>
    <row r="1832" spans="1:13" x14ac:dyDescent="0.75">
      <c r="A1832" s="40">
        <v>1830</v>
      </c>
      <c r="B1832" s="27">
        <v>728.77677443875291</v>
      </c>
      <c r="C1832" s="27">
        <v>1404.6820091866393</v>
      </c>
      <c r="D1832" s="27">
        <v>2311.8481760519062</v>
      </c>
      <c r="E1832" s="27">
        <v>3376.6224465699052</v>
      </c>
      <c r="F1832" s="27">
        <v>5716.8385468569468</v>
      </c>
      <c r="G1832" s="27">
        <v>8062.3804608289211</v>
      </c>
      <c r="H1832" s="27">
        <v>10871.898231756393</v>
      </c>
      <c r="I1832" s="27">
        <v>15526.845178157106</v>
      </c>
      <c r="J1832" s="27">
        <v>22355.73188571354</v>
      </c>
      <c r="K1832" s="27">
        <v>47107.698392842285</v>
      </c>
      <c r="L1832" s="27">
        <v>107414.53043525125</v>
      </c>
      <c r="M1832" s="27">
        <v>224877.85253765364</v>
      </c>
    </row>
    <row r="1833" spans="1:13" x14ac:dyDescent="0.75">
      <c r="A1833" s="40">
        <v>1831</v>
      </c>
      <c r="B1833" s="27">
        <v>1267.2386410069594</v>
      </c>
      <c r="C1833" s="27">
        <v>1673.739494950365</v>
      </c>
      <c r="D1833" s="27">
        <v>2730.3746784352552</v>
      </c>
      <c r="E1833" s="27">
        <v>4054.8594505048386</v>
      </c>
      <c r="F1833" s="27">
        <v>6102.9036381941842</v>
      </c>
      <c r="G1833" s="27">
        <v>8457.5163946344692</v>
      </c>
      <c r="H1833" s="27">
        <v>11135.798596646957</v>
      </c>
      <c r="I1833" s="27">
        <v>16200.802136823535</v>
      </c>
      <c r="J1833" s="27">
        <v>24660.332075114682</v>
      </c>
      <c r="K1833" s="27">
        <v>48019.707629156401</v>
      </c>
      <c r="L1833" s="27">
        <v>116089.93966039234</v>
      </c>
      <c r="M1833" s="27">
        <v>240393.21239586</v>
      </c>
    </row>
    <row r="1834" spans="1:13" x14ac:dyDescent="0.75">
      <c r="A1834" s="40">
        <v>1832</v>
      </c>
      <c r="B1834" s="27">
        <v>460.6898822295625</v>
      </c>
      <c r="C1834" s="27">
        <v>773.18724295859283</v>
      </c>
      <c r="D1834" s="27">
        <v>1603.8654083481379</v>
      </c>
      <c r="E1834" s="27">
        <v>3045.9987156515708</v>
      </c>
      <c r="F1834" s="27">
        <v>4809.3276528123388</v>
      </c>
      <c r="G1834" s="27">
        <v>7050.6947643081949</v>
      </c>
      <c r="H1834" s="27">
        <v>9694.2892228589917</v>
      </c>
      <c r="I1834" s="27">
        <v>13799.325270907662</v>
      </c>
      <c r="J1834" s="27">
        <v>22135.288180766598</v>
      </c>
      <c r="K1834" s="27">
        <v>46256.080919286091</v>
      </c>
      <c r="L1834" s="27">
        <v>115640.56067749434</v>
      </c>
      <c r="M1834" s="27">
        <v>225269.30793762207</v>
      </c>
    </row>
    <row r="1835" spans="1:13" x14ac:dyDescent="0.75">
      <c r="A1835" s="40">
        <v>1833</v>
      </c>
      <c r="B1835" s="27">
        <v>420.59484374758904</v>
      </c>
      <c r="C1835" s="27">
        <v>643.30620431322313</v>
      </c>
      <c r="D1835" s="27">
        <v>1206.1195615525212</v>
      </c>
      <c r="E1835" s="27">
        <v>2614.2854926430882</v>
      </c>
      <c r="F1835" s="27">
        <v>4359.203174750437</v>
      </c>
      <c r="G1835" s="27">
        <v>6689.5245672657911</v>
      </c>
      <c r="H1835" s="27">
        <v>8924.6931427614327</v>
      </c>
      <c r="I1835" s="27">
        <v>12815.178675643547</v>
      </c>
      <c r="J1835" s="27">
        <v>21864.833445754237</v>
      </c>
      <c r="K1835" s="27">
        <v>45126.089219567482</v>
      </c>
      <c r="L1835" s="27">
        <v>110026.23227263926</v>
      </c>
      <c r="M1835" s="27">
        <v>214690.06060063862</v>
      </c>
    </row>
    <row r="1836" spans="1:13" x14ac:dyDescent="0.75">
      <c r="A1836" s="40">
        <v>1834</v>
      </c>
      <c r="B1836" s="27">
        <v>455.55278829166491</v>
      </c>
      <c r="C1836" s="27">
        <v>1154.3467543986189</v>
      </c>
      <c r="D1836" s="27">
        <v>1977.1998710883636</v>
      </c>
      <c r="E1836" s="27">
        <v>2982.7894953982177</v>
      </c>
      <c r="F1836" s="27">
        <v>5095.6870254120149</v>
      </c>
      <c r="G1836" s="27">
        <v>7194.6309247849276</v>
      </c>
      <c r="H1836" s="27">
        <v>10054.884077956827</v>
      </c>
      <c r="I1836" s="27">
        <v>14315.390241850269</v>
      </c>
      <c r="J1836" s="27">
        <v>22701.696737375634</v>
      </c>
      <c r="K1836" s="27">
        <v>44279.971133138402</v>
      </c>
      <c r="L1836" s="27">
        <v>114732.9988122948</v>
      </c>
      <c r="M1836" s="27">
        <v>224945.14786198974</v>
      </c>
    </row>
    <row r="1837" spans="1:13" x14ac:dyDescent="0.75">
      <c r="A1837" s="40">
        <v>1835</v>
      </c>
      <c r="B1837" s="27">
        <v>278.2699292502075</v>
      </c>
      <c r="C1837" s="27">
        <v>787.49390632919676</v>
      </c>
      <c r="D1837" s="27">
        <v>1732.5937660483323</v>
      </c>
      <c r="E1837" s="27">
        <v>2462.6366945977643</v>
      </c>
      <c r="F1837" s="27">
        <v>4246.7780329502712</v>
      </c>
      <c r="G1837" s="27">
        <v>6607.2053829514771</v>
      </c>
      <c r="H1837" s="27">
        <v>9440.7042315614235</v>
      </c>
      <c r="I1837" s="27">
        <v>13480.964109500972</v>
      </c>
      <c r="J1837" s="27">
        <v>22121.539889524473</v>
      </c>
      <c r="K1837" s="27">
        <v>45636.284575126439</v>
      </c>
      <c r="L1837" s="27">
        <v>108861.26371650284</v>
      </c>
      <c r="M1837" s="27">
        <v>215655.7342343434</v>
      </c>
    </row>
    <row r="1838" spans="1:13" x14ac:dyDescent="0.75">
      <c r="A1838" s="40">
        <v>1836</v>
      </c>
      <c r="B1838" s="27">
        <v>705.55717008301872</v>
      </c>
      <c r="C1838" s="27">
        <v>928.0595890719851</v>
      </c>
      <c r="D1838" s="27">
        <v>1591.5938102292421</v>
      </c>
      <c r="E1838" s="27">
        <v>2685.6721834435739</v>
      </c>
      <c r="F1838" s="27">
        <v>4878.8969929944433</v>
      </c>
      <c r="G1838" s="27">
        <v>6560.0843353915261</v>
      </c>
      <c r="H1838" s="27">
        <v>9850.5611147186428</v>
      </c>
      <c r="I1838" s="27">
        <v>13753.816398986994</v>
      </c>
      <c r="J1838" s="27">
        <v>22124.086676056206</v>
      </c>
      <c r="K1838" s="27">
        <v>42119.515240229943</v>
      </c>
      <c r="L1838" s="27">
        <v>100959.00244178434</v>
      </c>
      <c r="M1838" s="27">
        <v>206156.84595298991</v>
      </c>
    </row>
    <row r="1839" spans="1:13" x14ac:dyDescent="0.75">
      <c r="A1839" s="40">
        <v>1837</v>
      </c>
      <c r="B1839" s="27">
        <v>589.41878596176684</v>
      </c>
      <c r="C1839" s="27">
        <v>905.27960849975352</v>
      </c>
      <c r="D1839" s="27">
        <v>1682.4076331041433</v>
      </c>
      <c r="E1839" s="27">
        <v>2886.5918848715519</v>
      </c>
      <c r="F1839" s="27">
        <v>4883.0689916334231</v>
      </c>
      <c r="G1839" s="27">
        <v>6900.5297553041019</v>
      </c>
      <c r="H1839" s="27">
        <v>9843.2559915785532</v>
      </c>
      <c r="I1839" s="27">
        <v>13751.61633284617</v>
      </c>
      <c r="J1839" s="27">
        <v>22397.717407363569</v>
      </c>
      <c r="K1839" s="27">
        <v>43546.544660209067</v>
      </c>
      <c r="L1839" s="27">
        <v>116965.00007430321</v>
      </c>
      <c r="M1839" s="27">
        <v>224351.43112567533</v>
      </c>
    </row>
    <row r="1840" spans="1:13" x14ac:dyDescent="0.75">
      <c r="A1840" s="40">
        <v>1838</v>
      </c>
      <c r="B1840" s="27">
        <v>807.36405213097169</v>
      </c>
      <c r="C1840" s="27">
        <v>1678.9170474626735</v>
      </c>
      <c r="D1840" s="27">
        <v>2662.2909191639192</v>
      </c>
      <c r="E1840" s="27">
        <v>3962.661143296762</v>
      </c>
      <c r="F1840" s="27">
        <v>5843.77490589238</v>
      </c>
      <c r="G1840" s="27">
        <v>7951.7268300993019</v>
      </c>
      <c r="H1840" s="27">
        <v>10660.985724260448</v>
      </c>
      <c r="I1840" s="27">
        <v>14720.311958186256</v>
      </c>
      <c r="J1840" s="27">
        <v>24381.769514508705</v>
      </c>
      <c r="K1840" s="27">
        <v>48666.415317156207</v>
      </c>
      <c r="L1840" s="27">
        <v>104087.10320152578</v>
      </c>
      <c r="M1840" s="27">
        <v>225423.32061368341</v>
      </c>
    </row>
    <row r="1841" spans="1:13" x14ac:dyDescent="0.75">
      <c r="A1841" s="40">
        <v>1839</v>
      </c>
      <c r="B1841" s="27">
        <v>742.86598912900081</v>
      </c>
      <c r="C1841" s="27">
        <v>1159.163527397046</v>
      </c>
      <c r="D1841" s="27">
        <v>2156.3140963196056</v>
      </c>
      <c r="E1841" s="27">
        <v>2917.5320766368386</v>
      </c>
      <c r="F1841" s="27">
        <v>5053.7757253807795</v>
      </c>
      <c r="G1841" s="27">
        <v>7191.2362229072605</v>
      </c>
      <c r="H1841" s="27">
        <v>9291.1240357112256</v>
      </c>
      <c r="I1841" s="27">
        <v>12877.550078865461</v>
      </c>
      <c r="J1841" s="27">
        <v>22939.521847650409</v>
      </c>
      <c r="K1841" s="27">
        <v>43884.266473504758</v>
      </c>
      <c r="L1841" s="27">
        <v>123144.83757091274</v>
      </c>
      <c r="M1841" s="27">
        <v>231358.18764441513</v>
      </c>
    </row>
    <row r="1842" spans="1:13" x14ac:dyDescent="0.75">
      <c r="A1842" s="40">
        <v>1840</v>
      </c>
      <c r="B1842" s="27">
        <v>688.08887801894161</v>
      </c>
      <c r="C1842" s="27">
        <v>1472.9270058325201</v>
      </c>
      <c r="D1842" s="27">
        <v>2197.3755200316227</v>
      </c>
      <c r="E1842" s="27">
        <v>3233.8920426056284</v>
      </c>
      <c r="F1842" s="27">
        <v>4724.7399655232002</v>
      </c>
      <c r="G1842" s="27">
        <v>7361.7499388332653</v>
      </c>
      <c r="H1842" s="27">
        <v>9770.4853903958719</v>
      </c>
      <c r="I1842" s="27">
        <v>13466.177349915291</v>
      </c>
      <c r="J1842" s="27">
        <v>21289.032281433902</v>
      </c>
      <c r="K1842" s="27">
        <v>44512.40726924123</v>
      </c>
      <c r="L1842" s="27">
        <v>116649.94612261555</v>
      </c>
      <c r="M1842" s="27">
        <v>225366.82176444703</v>
      </c>
    </row>
    <row r="1843" spans="1:13" x14ac:dyDescent="0.75">
      <c r="A1843" s="40">
        <v>1841</v>
      </c>
      <c r="B1843" s="27">
        <v>1258.4411140403681</v>
      </c>
      <c r="C1843" s="27">
        <v>1853.5913822139846</v>
      </c>
      <c r="D1843" s="27">
        <v>2703.7663360373699</v>
      </c>
      <c r="E1843" s="27">
        <v>3836.3842882767203</v>
      </c>
      <c r="F1843" s="27">
        <v>6359.4858353073651</v>
      </c>
      <c r="G1843" s="27">
        <v>8703.2609381949878</v>
      </c>
      <c r="H1843" s="27">
        <v>11912.812436277571</v>
      </c>
      <c r="I1843" s="27">
        <v>15658.962602289233</v>
      </c>
      <c r="J1843" s="27">
        <v>24415.342581129982</v>
      </c>
      <c r="K1843" s="27">
        <v>48029.734657382098</v>
      </c>
      <c r="L1843" s="27">
        <v>107128.32627683891</v>
      </c>
      <c r="M1843" s="27">
        <v>231860.10844798858</v>
      </c>
    </row>
    <row r="1844" spans="1:13" x14ac:dyDescent="0.75">
      <c r="A1844" s="40">
        <v>1842</v>
      </c>
      <c r="B1844" s="27">
        <v>684.93489456291718</v>
      </c>
      <c r="C1844" s="27">
        <v>1154.9370340831229</v>
      </c>
      <c r="D1844" s="27">
        <v>2171.0159073018731</v>
      </c>
      <c r="E1844" s="27">
        <v>3226.7824184023775</v>
      </c>
      <c r="F1844" s="27">
        <v>4998.254299596505</v>
      </c>
      <c r="G1844" s="27">
        <v>6881.0265991000924</v>
      </c>
      <c r="H1844" s="27">
        <v>9172.5938255266519</v>
      </c>
      <c r="I1844" s="27">
        <v>12577.854858524646</v>
      </c>
      <c r="J1844" s="27">
        <v>21117.452149359713</v>
      </c>
      <c r="K1844" s="27">
        <v>43797.333968800536</v>
      </c>
      <c r="L1844" s="27">
        <v>110559.075415153</v>
      </c>
      <c r="M1844" s="27">
        <v>216341.26137041143</v>
      </c>
    </row>
    <row r="1845" spans="1:13" x14ac:dyDescent="0.75">
      <c r="A1845" s="40">
        <v>1843</v>
      </c>
      <c r="B1845" s="27">
        <v>618.96624800197606</v>
      </c>
      <c r="C1845" s="27">
        <v>1182.9846633991256</v>
      </c>
      <c r="D1845" s="27">
        <v>1797.2229565707094</v>
      </c>
      <c r="E1845" s="27">
        <v>2825.4707322960312</v>
      </c>
      <c r="F1845" s="27">
        <v>4499.7983792618033</v>
      </c>
      <c r="G1845" s="27">
        <v>7049.0360437263153</v>
      </c>
      <c r="H1845" s="27">
        <v>9381.6010193724069</v>
      </c>
      <c r="I1845" s="27">
        <v>13835.38433606406</v>
      </c>
      <c r="J1845" s="27">
        <v>22908.646522123759</v>
      </c>
      <c r="K1845" s="27">
        <v>48515.127861886649</v>
      </c>
      <c r="L1845" s="27">
        <v>107109.70640291795</v>
      </c>
      <c r="M1845" s="27">
        <v>219723.94516562077</v>
      </c>
    </row>
    <row r="1846" spans="1:13" x14ac:dyDescent="0.75">
      <c r="A1846" s="40">
        <v>1844</v>
      </c>
      <c r="B1846" s="27">
        <v>623.0386120879848</v>
      </c>
      <c r="C1846" s="27">
        <v>1391.5826431116147</v>
      </c>
      <c r="D1846" s="27">
        <v>2048.9445980926248</v>
      </c>
      <c r="E1846" s="27">
        <v>2998.3654985277681</v>
      </c>
      <c r="F1846" s="27">
        <v>4975.4731711371569</v>
      </c>
      <c r="G1846" s="27">
        <v>6976.774454136088</v>
      </c>
      <c r="H1846" s="27">
        <v>10102.689171879669</v>
      </c>
      <c r="I1846" s="27">
        <v>13900.428957590935</v>
      </c>
      <c r="J1846" s="27">
        <v>23246.697948318717</v>
      </c>
      <c r="K1846" s="27">
        <v>44983.854816904801</v>
      </c>
      <c r="L1846" s="27">
        <v>110625.39943720022</v>
      </c>
      <c r="M1846" s="27">
        <v>221873.24930898758</v>
      </c>
    </row>
    <row r="1847" spans="1:13" x14ac:dyDescent="0.75">
      <c r="A1847" s="40">
        <v>1845</v>
      </c>
      <c r="B1847" s="27">
        <v>288.5116120842431</v>
      </c>
      <c r="C1847" s="27">
        <v>710.12797661160585</v>
      </c>
      <c r="D1847" s="27">
        <v>1397.959283312739</v>
      </c>
      <c r="E1847" s="27">
        <v>2344.1886060875258</v>
      </c>
      <c r="F1847" s="27">
        <v>4110.7174317139434</v>
      </c>
      <c r="G1847" s="27">
        <v>6415.7568526742398</v>
      </c>
      <c r="H1847" s="27">
        <v>9032.2073106761818</v>
      </c>
      <c r="I1847" s="27">
        <v>13011.629813534615</v>
      </c>
      <c r="J1847" s="27">
        <v>22000.372115417718</v>
      </c>
      <c r="K1847" s="27">
        <v>45732.55156225196</v>
      </c>
      <c r="L1847" s="27">
        <v>103896.50616705975</v>
      </c>
      <c r="M1847" s="27">
        <v>208940.52873142454</v>
      </c>
    </row>
    <row r="1848" spans="1:13" x14ac:dyDescent="0.75">
      <c r="A1848" s="40">
        <v>1846</v>
      </c>
      <c r="B1848" s="27">
        <v>1352.5341516355984</v>
      </c>
      <c r="C1848" s="27">
        <v>1882.5811341976369</v>
      </c>
      <c r="D1848" s="27">
        <v>3004.4689640088764</v>
      </c>
      <c r="E1848" s="27">
        <v>4068.5457614487532</v>
      </c>
      <c r="F1848" s="27">
        <v>6319.6705876552442</v>
      </c>
      <c r="G1848" s="27">
        <v>8587.7532346743683</v>
      </c>
      <c r="H1848" s="27">
        <v>11050.757905339939</v>
      </c>
      <c r="I1848" s="27">
        <v>15759.97835059918</v>
      </c>
      <c r="J1848" s="27">
        <v>23753.402827788464</v>
      </c>
      <c r="K1848" s="27">
        <v>47422.174243967689</v>
      </c>
      <c r="L1848" s="27">
        <v>123781.89420362659</v>
      </c>
      <c r="M1848" s="27">
        <v>246983.76136494236</v>
      </c>
    </row>
    <row r="1849" spans="1:13" x14ac:dyDescent="0.75">
      <c r="A1849" s="40">
        <v>1847</v>
      </c>
      <c r="B1849" s="27">
        <v>900.04509569724905</v>
      </c>
      <c r="C1849" s="27">
        <v>1413.7727130272251</v>
      </c>
      <c r="D1849" s="27">
        <v>2647.382154138264</v>
      </c>
      <c r="E1849" s="27">
        <v>3905.0740026831627</v>
      </c>
      <c r="F1849" s="27">
        <v>6297.565110956959</v>
      </c>
      <c r="G1849" s="27">
        <v>8433.3870030258549</v>
      </c>
      <c r="H1849" s="27">
        <v>11208.076846213255</v>
      </c>
      <c r="I1849" s="27">
        <v>15107.442774781986</v>
      </c>
      <c r="J1849" s="27">
        <v>24386.267638171994</v>
      </c>
      <c r="K1849" s="27">
        <v>47499.744096073497</v>
      </c>
      <c r="L1849" s="27">
        <v>114142.73826878099</v>
      </c>
      <c r="M1849" s="27">
        <v>235941.49570355043</v>
      </c>
    </row>
    <row r="1850" spans="1:13" x14ac:dyDescent="0.75">
      <c r="A1850" s="40">
        <v>1848</v>
      </c>
      <c r="B1850" s="27">
        <v>852.70843247599259</v>
      </c>
      <c r="C1850" s="27">
        <v>1509.2413808200945</v>
      </c>
      <c r="D1850" s="27">
        <v>2537.9775020846282</v>
      </c>
      <c r="E1850" s="27">
        <v>3733.2670181395952</v>
      </c>
      <c r="F1850" s="27">
        <v>5920.1472775209695</v>
      </c>
      <c r="G1850" s="27">
        <v>8283.6790735358372</v>
      </c>
      <c r="H1850" s="27">
        <v>10788.228677229781</v>
      </c>
      <c r="I1850" s="27">
        <v>14610.256294115243</v>
      </c>
      <c r="J1850" s="27">
        <v>24980.419691779403</v>
      </c>
      <c r="K1850" s="27">
        <v>48037.659044708096</v>
      </c>
      <c r="L1850" s="27">
        <v>113152.38882023847</v>
      </c>
      <c r="M1850" s="27">
        <v>234405.97321264812</v>
      </c>
    </row>
    <row r="1851" spans="1:13" x14ac:dyDescent="0.75">
      <c r="A1851" s="40">
        <v>1849</v>
      </c>
      <c r="B1851" s="27">
        <v>862.759646218954</v>
      </c>
      <c r="C1851" s="27">
        <v>1686.8433466121205</v>
      </c>
      <c r="D1851" s="27">
        <v>2249.941859572471</v>
      </c>
      <c r="E1851" s="27">
        <v>3486.0961604245385</v>
      </c>
      <c r="F1851" s="27">
        <v>5554.8377529798745</v>
      </c>
      <c r="G1851" s="27">
        <v>7945.813624172355</v>
      </c>
      <c r="H1851" s="27">
        <v>10674.462393154055</v>
      </c>
      <c r="I1851" s="27">
        <v>13973.747115346283</v>
      </c>
      <c r="J1851" s="27">
        <v>23145.928382267652</v>
      </c>
      <c r="K1851" s="27">
        <v>46971.849918704902</v>
      </c>
      <c r="L1851" s="27">
        <v>122829.69710109089</v>
      </c>
      <c r="M1851" s="27">
        <v>239381.97730054409</v>
      </c>
    </row>
    <row r="1852" spans="1:13" x14ac:dyDescent="0.75">
      <c r="A1852" s="40">
        <v>1850</v>
      </c>
      <c r="B1852" s="27">
        <v>770.87420513086545</v>
      </c>
      <c r="C1852" s="27">
        <v>1302.5485754002148</v>
      </c>
      <c r="D1852" s="27">
        <v>1927.08004162203</v>
      </c>
      <c r="E1852" s="27">
        <v>2873.9795344597514</v>
      </c>
      <c r="F1852" s="27">
        <v>4696.2189160395355</v>
      </c>
      <c r="G1852" s="27">
        <v>7058.617326126172</v>
      </c>
      <c r="H1852" s="27">
        <v>9603.7796767824329</v>
      </c>
      <c r="I1852" s="27">
        <v>13652.63698059709</v>
      </c>
      <c r="J1852" s="27">
        <v>22086.049096438219</v>
      </c>
      <c r="K1852" s="27">
        <v>48389.863486589165</v>
      </c>
      <c r="L1852" s="27">
        <v>110951.91230150411</v>
      </c>
      <c r="M1852" s="27">
        <v>223313.5601406896</v>
      </c>
    </row>
    <row r="1853" spans="1:13" x14ac:dyDescent="0.75">
      <c r="A1853" s="40">
        <v>1851</v>
      </c>
      <c r="B1853" s="27">
        <v>452.00414267837186</v>
      </c>
      <c r="C1853" s="27">
        <v>765.43703821070085</v>
      </c>
      <c r="D1853" s="27">
        <v>1480.6853612714767</v>
      </c>
      <c r="E1853" s="27">
        <v>2108.635028337274</v>
      </c>
      <c r="F1853" s="27">
        <v>3784.1629167957435</v>
      </c>
      <c r="G1853" s="27">
        <v>6339.6311498777941</v>
      </c>
      <c r="H1853" s="27">
        <v>8622.5775515248097</v>
      </c>
      <c r="I1853" s="27">
        <v>12976.888948751875</v>
      </c>
      <c r="J1853" s="27">
        <v>23095.397586368912</v>
      </c>
      <c r="K1853" s="27">
        <v>45687.534389502893</v>
      </c>
      <c r="L1853" s="27">
        <v>107305.61345815397</v>
      </c>
      <c r="M1853" s="27">
        <v>212618.56757147383</v>
      </c>
    </row>
    <row r="1854" spans="1:13" x14ac:dyDescent="0.75">
      <c r="A1854" s="40">
        <v>1852</v>
      </c>
      <c r="B1854" s="27">
        <v>1069.2703745253675</v>
      </c>
      <c r="C1854" s="27">
        <v>1697.3542567829427</v>
      </c>
      <c r="D1854" s="27">
        <v>2574.6209570228821</v>
      </c>
      <c r="E1854" s="27">
        <v>3920.5233573484875</v>
      </c>
      <c r="F1854" s="27">
        <v>5514.5282367358159</v>
      </c>
      <c r="G1854" s="27">
        <v>7954.6717578347598</v>
      </c>
      <c r="H1854" s="27">
        <v>10909.89510493238</v>
      </c>
      <c r="I1854" s="27">
        <v>14815.58575935477</v>
      </c>
      <c r="J1854" s="27">
        <v>24232.455334082799</v>
      </c>
      <c r="K1854" s="27">
        <v>49405.613008152781</v>
      </c>
      <c r="L1854" s="27">
        <v>112946.40332890645</v>
      </c>
      <c r="M1854" s="27">
        <v>235040.92147567944</v>
      </c>
    </row>
    <row r="1855" spans="1:13" x14ac:dyDescent="0.75">
      <c r="A1855" s="40">
        <v>1853</v>
      </c>
      <c r="B1855" s="27">
        <v>949.36947035840421</v>
      </c>
      <c r="C1855" s="27">
        <v>1376.8903931113164</v>
      </c>
      <c r="D1855" s="27">
        <v>2289.9813532662811</v>
      </c>
      <c r="E1855" s="27">
        <v>3378.4995619499532</v>
      </c>
      <c r="F1855" s="27">
        <v>4770.2919705943204</v>
      </c>
      <c r="G1855" s="27">
        <v>7067.5471139935253</v>
      </c>
      <c r="H1855" s="27">
        <v>9671.0295469800913</v>
      </c>
      <c r="I1855" s="27">
        <v>13465.882248510636</v>
      </c>
      <c r="J1855" s="27">
        <v>21990.379878954031</v>
      </c>
      <c r="K1855" s="27">
        <v>44328.916920351054</v>
      </c>
      <c r="L1855" s="27">
        <v>121112.64295560593</v>
      </c>
      <c r="M1855" s="27">
        <v>230401.43141367554</v>
      </c>
    </row>
    <row r="1856" spans="1:13" x14ac:dyDescent="0.75">
      <c r="A1856" s="40">
        <v>1854</v>
      </c>
      <c r="B1856" s="27">
        <v>892.92573472969525</v>
      </c>
      <c r="C1856" s="27">
        <v>1218.9949882472283</v>
      </c>
      <c r="D1856" s="27">
        <v>2294.8667682930682</v>
      </c>
      <c r="E1856" s="27">
        <v>3599.0054605698824</v>
      </c>
      <c r="F1856" s="27">
        <v>5517.0567665344861</v>
      </c>
      <c r="G1856" s="27">
        <v>7826.9547399175353</v>
      </c>
      <c r="H1856" s="27">
        <v>11090.723107514874</v>
      </c>
      <c r="I1856" s="27">
        <v>14595.785478991718</v>
      </c>
      <c r="J1856" s="27">
        <v>24336.916836870485</v>
      </c>
      <c r="K1856" s="27">
        <v>48378.9748318934</v>
      </c>
      <c r="L1856" s="27">
        <v>111919.8782422159</v>
      </c>
      <c r="M1856" s="27">
        <v>231672.08295577829</v>
      </c>
    </row>
    <row r="1857" spans="1:13" x14ac:dyDescent="0.75">
      <c r="A1857" s="40">
        <v>1855</v>
      </c>
      <c r="B1857" s="27">
        <v>1149.6400745455758</v>
      </c>
      <c r="C1857" s="27">
        <v>1885.408266453509</v>
      </c>
      <c r="D1857" s="27">
        <v>3130.393541916259</v>
      </c>
      <c r="E1857" s="27">
        <v>4196.2754317061335</v>
      </c>
      <c r="F1857" s="27">
        <v>5972.9182675878401</v>
      </c>
      <c r="G1857" s="27">
        <v>8323.7621247812058</v>
      </c>
      <c r="H1857" s="27">
        <v>10993.604373921873</v>
      </c>
      <c r="I1857" s="27">
        <v>15093.282951656816</v>
      </c>
      <c r="J1857" s="27">
        <v>24872.561948160845</v>
      </c>
      <c r="K1857" s="27">
        <v>49202.887861426076</v>
      </c>
      <c r="L1857" s="27">
        <v>116400.91907360093</v>
      </c>
      <c r="M1857" s="27">
        <v>241221.65391575708</v>
      </c>
    </row>
    <row r="1858" spans="1:13" x14ac:dyDescent="0.75">
      <c r="A1858" s="40">
        <v>1856</v>
      </c>
      <c r="B1858" s="27">
        <v>657.58075686043594</v>
      </c>
      <c r="C1858" s="27">
        <v>1250.6035586820653</v>
      </c>
      <c r="D1858" s="27">
        <v>2101.9455710784532</v>
      </c>
      <c r="E1858" s="27">
        <v>3081.1064381939796</v>
      </c>
      <c r="F1858" s="27">
        <v>4665.4148468247004</v>
      </c>
      <c r="G1858" s="27">
        <v>6871.5276672235632</v>
      </c>
      <c r="H1858" s="27">
        <v>9424.4427838376723</v>
      </c>
      <c r="I1858" s="27">
        <v>13632.003313483816</v>
      </c>
      <c r="J1858" s="27">
        <v>22281.629903281646</v>
      </c>
      <c r="K1858" s="27">
        <v>45784.45937951011</v>
      </c>
      <c r="L1858" s="27">
        <v>117701.37136581345</v>
      </c>
      <c r="M1858" s="27">
        <v>227452.08558478989</v>
      </c>
    </row>
    <row r="1859" spans="1:13" x14ac:dyDescent="0.75">
      <c r="A1859" s="40">
        <v>1857</v>
      </c>
      <c r="B1859" s="27">
        <v>1094.3531590007769</v>
      </c>
      <c r="C1859" s="27">
        <v>1757.6086230943038</v>
      </c>
      <c r="D1859" s="27">
        <v>2546.8313985183049</v>
      </c>
      <c r="E1859" s="27">
        <v>3685.0869463635463</v>
      </c>
      <c r="F1859" s="27">
        <v>5760.6607294274727</v>
      </c>
      <c r="G1859" s="27">
        <v>7871.1583629755187</v>
      </c>
      <c r="H1859" s="27">
        <v>10469.177771010145</v>
      </c>
      <c r="I1859" s="27">
        <v>14522.87841730447</v>
      </c>
      <c r="J1859" s="27">
        <v>24052.680073532742</v>
      </c>
      <c r="K1859" s="27">
        <v>44443.825959915921</v>
      </c>
      <c r="L1859" s="27">
        <v>113681.45384846146</v>
      </c>
      <c r="M1859" s="27">
        <v>229885.71528960468</v>
      </c>
    </row>
    <row r="1860" spans="1:13" x14ac:dyDescent="0.75">
      <c r="A1860" s="40">
        <v>1858</v>
      </c>
      <c r="B1860" s="27">
        <v>1070.7669007144286</v>
      </c>
      <c r="C1860" s="27">
        <v>1339.1238162389636</v>
      </c>
      <c r="D1860" s="27">
        <v>2054.1184482190438</v>
      </c>
      <c r="E1860" s="27">
        <v>3285.4407545677823</v>
      </c>
      <c r="F1860" s="27">
        <v>5258.7307935261488</v>
      </c>
      <c r="G1860" s="27">
        <v>7708.5960960568045</v>
      </c>
      <c r="H1860" s="27">
        <v>10825.865320682526</v>
      </c>
      <c r="I1860" s="27">
        <v>14351.448561421843</v>
      </c>
      <c r="J1860" s="27">
        <v>23984.956833465767</v>
      </c>
      <c r="K1860" s="27">
        <v>45933.061964068693</v>
      </c>
      <c r="L1860" s="27">
        <v>110823.93172243729</v>
      </c>
      <c r="M1860" s="27">
        <v>226636.04121139931</v>
      </c>
    </row>
    <row r="1861" spans="1:13" x14ac:dyDescent="0.75">
      <c r="A1861" s="40">
        <v>1859</v>
      </c>
      <c r="B1861" s="27">
        <v>717.80028121378564</v>
      </c>
      <c r="C1861" s="27">
        <v>1224.6293704395357</v>
      </c>
      <c r="D1861" s="27">
        <v>2000.936525473895</v>
      </c>
      <c r="E1861" s="27">
        <v>3222.5009246625414</v>
      </c>
      <c r="F1861" s="27">
        <v>5429.9034378802462</v>
      </c>
      <c r="G1861" s="27">
        <v>7966.3929144349531</v>
      </c>
      <c r="H1861" s="27">
        <v>10507.941152542015</v>
      </c>
      <c r="I1861" s="27">
        <v>14532.220120804428</v>
      </c>
      <c r="J1861" s="27">
        <v>23949.883416247292</v>
      </c>
      <c r="K1861" s="27">
        <v>45872.711847118539</v>
      </c>
      <c r="L1861" s="27">
        <v>115582.4135413669</v>
      </c>
      <c r="M1861" s="27">
        <v>231007.33353218413</v>
      </c>
    </row>
    <row r="1862" spans="1:13" x14ac:dyDescent="0.75">
      <c r="A1862" s="40">
        <v>1860</v>
      </c>
      <c r="B1862" s="27">
        <v>1010.938440271595</v>
      </c>
      <c r="C1862" s="27">
        <v>1738.1954109476646</v>
      </c>
      <c r="D1862" s="27">
        <v>2735.7982631973282</v>
      </c>
      <c r="E1862" s="27">
        <v>3763.41758803837</v>
      </c>
      <c r="F1862" s="27">
        <v>5942.0140574619872</v>
      </c>
      <c r="G1862" s="27">
        <v>8423.5427209109766</v>
      </c>
      <c r="H1862" s="27">
        <v>10304.748046071807</v>
      </c>
      <c r="I1862" s="27">
        <v>14413.802197240002</v>
      </c>
      <c r="J1862" s="27">
        <v>24347.327822414372</v>
      </c>
      <c r="K1862" s="27">
        <v>45999.823043362412</v>
      </c>
      <c r="L1862" s="27">
        <v>109019.53471425101</v>
      </c>
      <c r="M1862" s="27">
        <v>227699.14230416753</v>
      </c>
    </row>
    <row r="1863" spans="1:13" x14ac:dyDescent="0.75">
      <c r="A1863" s="40">
        <v>1861</v>
      </c>
      <c r="B1863" s="27">
        <v>731.70224664885609</v>
      </c>
      <c r="C1863" s="27">
        <v>1159.4280815608654</v>
      </c>
      <c r="D1863" s="27">
        <v>2009.9645123671507</v>
      </c>
      <c r="E1863" s="27">
        <v>3140.2201450983557</v>
      </c>
      <c r="F1863" s="27">
        <v>4771.872067159391</v>
      </c>
      <c r="G1863" s="27">
        <v>6992.0894731440058</v>
      </c>
      <c r="H1863" s="27">
        <v>9061.2979978763469</v>
      </c>
      <c r="I1863" s="27">
        <v>13413.460959504766</v>
      </c>
      <c r="J1863" s="27">
        <v>22479.299170305254</v>
      </c>
      <c r="K1863" s="27">
        <v>45069.296509872409</v>
      </c>
      <c r="L1863" s="27">
        <v>107638.53107097722</v>
      </c>
      <c r="M1863" s="27">
        <v>216467.1622345146</v>
      </c>
    </row>
    <row r="1864" spans="1:13" x14ac:dyDescent="0.75">
      <c r="A1864" s="40">
        <v>1862</v>
      </c>
      <c r="B1864" s="27">
        <v>677.92686032422353</v>
      </c>
      <c r="C1864" s="27">
        <v>1044.8337342649611</v>
      </c>
      <c r="D1864" s="27">
        <v>1829.2342876268085</v>
      </c>
      <c r="E1864" s="27">
        <v>2996.2295183952374</v>
      </c>
      <c r="F1864" s="27">
        <v>4670.4849445366417</v>
      </c>
      <c r="G1864" s="27">
        <v>7096.3275266747514</v>
      </c>
      <c r="H1864" s="27">
        <v>10334.984586714505</v>
      </c>
      <c r="I1864" s="27">
        <v>13475.708129097373</v>
      </c>
      <c r="J1864" s="27">
        <v>23214.440117213395</v>
      </c>
      <c r="K1864" s="27">
        <v>45392.683362533746</v>
      </c>
      <c r="L1864" s="27">
        <v>113845.26293163549</v>
      </c>
      <c r="M1864" s="27">
        <v>224578.11599901714</v>
      </c>
    </row>
    <row r="1865" spans="1:13" x14ac:dyDescent="0.75">
      <c r="A1865" s="40">
        <v>1863</v>
      </c>
      <c r="B1865" s="27">
        <v>1151.392447182734</v>
      </c>
      <c r="C1865" s="27">
        <v>1659.6925306531484</v>
      </c>
      <c r="D1865" s="27">
        <v>2685.6876277464035</v>
      </c>
      <c r="E1865" s="27">
        <v>3749.4996687097591</v>
      </c>
      <c r="F1865" s="27">
        <v>5571.8970948389906</v>
      </c>
      <c r="G1865" s="27">
        <v>7894.9570807297423</v>
      </c>
      <c r="H1865" s="27">
        <v>10370.607616030029</v>
      </c>
      <c r="I1865" s="27">
        <v>14363.499296127658</v>
      </c>
      <c r="J1865" s="27">
        <v>23205.349991837735</v>
      </c>
      <c r="K1865" s="27">
        <v>48720.878555602598</v>
      </c>
      <c r="L1865" s="27">
        <v>111702.62608014976</v>
      </c>
      <c r="M1865" s="27">
        <v>231076.08798960855</v>
      </c>
    </row>
    <row r="1866" spans="1:13" x14ac:dyDescent="0.75">
      <c r="A1866" s="40">
        <v>1864</v>
      </c>
      <c r="B1866" s="27">
        <v>502.36830707557965</v>
      </c>
      <c r="C1866" s="27">
        <v>699.76100378482079</v>
      </c>
      <c r="D1866" s="27">
        <v>1442.4572395544092</v>
      </c>
      <c r="E1866" s="27">
        <v>2736.8154928275326</v>
      </c>
      <c r="F1866" s="27">
        <v>4474.1888065071544</v>
      </c>
      <c r="G1866" s="27">
        <v>6761.3774658705515</v>
      </c>
      <c r="H1866" s="27">
        <v>9466.8564566167333</v>
      </c>
      <c r="I1866" s="27">
        <v>13621.810574677176</v>
      </c>
      <c r="J1866" s="27">
        <v>22074.986082382398</v>
      </c>
      <c r="K1866" s="27">
        <v>45041.239129200854</v>
      </c>
      <c r="L1866" s="27">
        <v>117566.3968490251</v>
      </c>
      <c r="M1866" s="27">
        <v>224388.25740752229</v>
      </c>
    </row>
    <row r="1867" spans="1:13" x14ac:dyDescent="0.75">
      <c r="A1867" s="40">
        <v>1865</v>
      </c>
      <c r="B1867" s="27">
        <v>1028.605067139375</v>
      </c>
      <c r="C1867" s="27">
        <v>1373.9532402839686</v>
      </c>
      <c r="D1867" s="27">
        <v>2080.1740866441396</v>
      </c>
      <c r="E1867" s="27">
        <v>3225.1000665062602</v>
      </c>
      <c r="F1867" s="27">
        <v>4980.6462559802312</v>
      </c>
      <c r="G1867" s="27">
        <v>7019.535874902911</v>
      </c>
      <c r="H1867" s="27">
        <v>9567.893830911722</v>
      </c>
      <c r="I1867" s="27">
        <v>13842.714970996443</v>
      </c>
      <c r="J1867" s="27">
        <v>23020.334120303232</v>
      </c>
      <c r="K1867" s="27">
        <v>46359.554514302275</v>
      </c>
      <c r="L1867" s="27">
        <v>115317.63794377696</v>
      </c>
      <c r="M1867" s="27">
        <v>227816.14997174754</v>
      </c>
    </row>
    <row r="1868" spans="1:13" x14ac:dyDescent="0.75">
      <c r="A1868" s="40">
        <v>1866</v>
      </c>
      <c r="B1868" s="27">
        <v>944.6107643248688</v>
      </c>
      <c r="C1868" s="27">
        <v>1295.2149428825796</v>
      </c>
      <c r="D1868" s="27">
        <v>2024.2759587860637</v>
      </c>
      <c r="E1868" s="27">
        <v>3298.9477862604836</v>
      </c>
      <c r="F1868" s="27">
        <v>4908.0473635038506</v>
      </c>
      <c r="G1868" s="27">
        <v>7157.3678794135049</v>
      </c>
      <c r="H1868" s="27">
        <v>9988.2856871684198</v>
      </c>
      <c r="I1868" s="27">
        <v>13373.086933551516</v>
      </c>
      <c r="J1868" s="27">
        <v>23046.590055531648</v>
      </c>
      <c r="K1868" s="27">
        <v>45011.042649515643</v>
      </c>
      <c r="L1868" s="27">
        <v>105536.63873590966</v>
      </c>
      <c r="M1868" s="27">
        <v>216584.10875684823</v>
      </c>
    </row>
    <row r="1869" spans="1:13" x14ac:dyDescent="0.75">
      <c r="A1869" s="40">
        <v>1867</v>
      </c>
      <c r="B1869" s="27">
        <v>1262.7947863103909</v>
      </c>
      <c r="C1869" s="27">
        <v>1712.5396033167053</v>
      </c>
      <c r="D1869" s="27">
        <v>2693.0535716060404</v>
      </c>
      <c r="E1869" s="27">
        <v>4166.8388097740972</v>
      </c>
      <c r="F1869" s="27">
        <v>6213.834040122747</v>
      </c>
      <c r="G1869" s="27">
        <v>8370.5817989126954</v>
      </c>
      <c r="H1869" s="27">
        <v>10575.458471102713</v>
      </c>
      <c r="I1869" s="27">
        <v>14082.058357743241</v>
      </c>
      <c r="J1869" s="27">
        <v>22961.411795635941</v>
      </c>
      <c r="K1869" s="27">
        <v>46021.563674053497</v>
      </c>
      <c r="L1869" s="27">
        <v>108066.39238285672</v>
      </c>
      <c r="M1869" s="27">
        <v>226126.52729143479</v>
      </c>
    </row>
    <row r="1870" spans="1:13" x14ac:dyDescent="0.75">
      <c r="A1870" s="40">
        <v>1868</v>
      </c>
      <c r="B1870" s="27">
        <v>680.00742302334402</v>
      </c>
      <c r="C1870" s="27">
        <v>1154.9654124915542</v>
      </c>
      <c r="D1870" s="27">
        <v>2213.5968215115718</v>
      </c>
      <c r="E1870" s="27">
        <v>3355.3325660034607</v>
      </c>
      <c r="F1870" s="27">
        <v>4800.3452579740551</v>
      </c>
      <c r="G1870" s="27">
        <v>7198.4615404504875</v>
      </c>
      <c r="H1870" s="27">
        <v>9837.4125096056086</v>
      </c>
      <c r="I1870" s="27">
        <v>13584.937779040803</v>
      </c>
      <c r="J1870" s="27">
        <v>22640.224594319239</v>
      </c>
      <c r="K1870" s="27">
        <v>47211.740038680247</v>
      </c>
      <c r="L1870" s="27">
        <v>118379.93504507144</v>
      </c>
      <c r="M1870" s="27">
        <v>231056.95898817183</v>
      </c>
    </row>
    <row r="1871" spans="1:13" x14ac:dyDescent="0.75">
      <c r="A1871" s="40">
        <v>1869</v>
      </c>
      <c r="B1871" s="27">
        <v>1043.5493013893865</v>
      </c>
      <c r="C1871" s="27">
        <v>1685.9044746691798</v>
      </c>
      <c r="D1871" s="27">
        <v>2472.1932082280546</v>
      </c>
      <c r="E1871" s="27">
        <v>3712.400117541416</v>
      </c>
      <c r="F1871" s="27">
        <v>6259.7324569945922</v>
      </c>
      <c r="G1871" s="27">
        <v>8814.0399757375708</v>
      </c>
      <c r="H1871" s="27">
        <v>11104.122456716286</v>
      </c>
      <c r="I1871" s="27">
        <v>15088.664782185049</v>
      </c>
      <c r="J1871" s="27">
        <v>26455.569351277212</v>
      </c>
      <c r="K1871" s="27">
        <v>53186.07279481506</v>
      </c>
      <c r="L1871" s="27">
        <v>122215.70694554019</v>
      </c>
      <c r="M1871" s="27">
        <v>252037.955865094</v>
      </c>
    </row>
    <row r="1872" spans="1:13" x14ac:dyDescent="0.75">
      <c r="A1872" s="40">
        <v>1870</v>
      </c>
      <c r="B1872" s="27">
        <v>633.71798749825393</v>
      </c>
      <c r="C1872" s="27">
        <v>1130.2485802614392</v>
      </c>
      <c r="D1872" s="27">
        <v>1763.9839179733535</v>
      </c>
      <c r="E1872" s="27">
        <v>2995.8521399850433</v>
      </c>
      <c r="F1872" s="27">
        <v>4730.8370567623351</v>
      </c>
      <c r="G1872" s="27">
        <v>6862.9745130396623</v>
      </c>
      <c r="H1872" s="27">
        <v>10209.726839420124</v>
      </c>
      <c r="I1872" s="27">
        <v>13340.383283371018</v>
      </c>
      <c r="J1872" s="27">
        <v>23034.431478000697</v>
      </c>
      <c r="K1872" s="27">
        <v>44253.233950300753</v>
      </c>
      <c r="L1872" s="27">
        <v>113548.2067532536</v>
      </c>
      <c r="M1872" s="27">
        <v>222503.59649986628</v>
      </c>
    </row>
    <row r="1873" spans="1:13" x14ac:dyDescent="0.75">
      <c r="A1873" s="40">
        <v>1871</v>
      </c>
      <c r="B1873" s="27">
        <v>749.89045519205683</v>
      </c>
      <c r="C1873" s="27">
        <v>1247.7437508801231</v>
      </c>
      <c r="D1873" s="27">
        <v>2116.6446526214713</v>
      </c>
      <c r="E1873" s="27">
        <v>3487.2263537822</v>
      </c>
      <c r="F1873" s="27">
        <v>5289.0380841899023</v>
      </c>
      <c r="G1873" s="27">
        <v>7603.0674122815835</v>
      </c>
      <c r="H1873" s="27">
        <v>10179.815690098651</v>
      </c>
      <c r="I1873" s="27">
        <v>14361.09145994595</v>
      </c>
      <c r="J1873" s="27">
        <v>23679.656230696084</v>
      </c>
      <c r="K1873" s="27">
        <v>47049.158859922172</v>
      </c>
      <c r="L1873" s="27">
        <v>117589.39921963238</v>
      </c>
      <c r="M1873" s="27">
        <v>233352.73216924258</v>
      </c>
    </row>
    <row r="1874" spans="1:13" x14ac:dyDescent="0.75">
      <c r="A1874" s="40">
        <v>1872</v>
      </c>
      <c r="B1874" s="27">
        <v>559.4346098084352</v>
      </c>
      <c r="C1874" s="27">
        <v>1116.3719562680199</v>
      </c>
      <c r="D1874" s="27">
        <v>1976.3366599545261</v>
      </c>
      <c r="E1874" s="27">
        <v>2876.8993858474278</v>
      </c>
      <c r="F1874" s="27">
        <v>4622.7179245185398</v>
      </c>
      <c r="G1874" s="27">
        <v>6739.6201993684226</v>
      </c>
      <c r="H1874" s="27">
        <v>9239.3274169102369</v>
      </c>
      <c r="I1874" s="27">
        <v>13197.638981978787</v>
      </c>
      <c r="J1874" s="27">
        <v>23327.166645124104</v>
      </c>
      <c r="K1874" s="27">
        <v>45721.834331518185</v>
      </c>
      <c r="L1874" s="27">
        <v>109905.26329849103</v>
      </c>
      <c r="M1874" s="27">
        <v>219282.61140978773</v>
      </c>
    </row>
    <row r="1875" spans="1:13" x14ac:dyDescent="0.75">
      <c r="A1875" s="40">
        <v>1873</v>
      </c>
      <c r="B1875" s="27">
        <v>1216.2538320157764</v>
      </c>
      <c r="C1875" s="27">
        <v>1792.5891139855667</v>
      </c>
      <c r="D1875" s="27">
        <v>2924.4391249139589</v>
      </c>
      <c r="E1875" s="27">
        <v>3965.8408416068123</v>
      </c>
      <c r="F1875" s="27">
        <v>5512.2863388549013</v>
      </c>
      <c r="G1875" s="27">
        <v>8309.4660459035367</v>
      </c>
      <c r="H1875" s="27">
        <v>10347.314400704927</v>
      </c>
      <c r="I1875" s="27">
        <v>14397.47882447447</v>
      </c>
      <c r="J1875" s="27">
        <v>23101.517189828723</v>
      </c>
      <c r="K1875" s="27">
        <v>47242.65626653863</v>
      </c>
      <c r="L1875" s="27">
        <v>111206.5342274335</v>
      </c>
      <c r="M1875" s="27">
        <v>230016.37620626081</v>
      </c>
    </row>
    <row r="1876" spans="1:13" x14ac:dyDescent="0.75">
      <c r="A1876" s="40">
        <v>1874</v>
      </c>
      <c r="B1876" s="27">
        <v>537.01547557480808</v>
      </c>
      <c r="C1876" s="27">
        <v>1219.7045189733617</v>
      </c>
      <c r="D1876" s="27">
        <v>2075.3940973811405</v>
      </c>
      <c r="E1876" s="27">
        <v>3404.1478500307858</v>
      </c>
      <c r="F1876" s="27">
        <v>4958.4989655959944</v>
      </c>
      <c r="G1876" s="27">
        <v>7296.449049944611</v>
      </c>
      <c r="H1876" s="27">
        <v>10400.424382601763</v>
      </c>
      <c r="I1876" s="27">
        <v>13554.731280780572</v>
      </c>
      <c r="J1876" s="27">
        <v>23759.585456929315</v>
      </c>
      <c r="K1876" s="27">
        <v>48143.881395569319</v>
      </c>
      <c r="L1876" s="27">
        <v>109923.11119586384</v>
      </c>
      <c r="M1876" s="27">
        <v>225272.94366924552</v>
      </c>
    </row>
    <row r="1877" spans="1:13" x14ac:dyDescent="0.75">
      <c r="A1877" s="40">
        <v>1875</v>
      </c>
      <c r="B1877" s="27">
        <v>635.76560146307747</v>
      </c>
      <c r="C1877" s="27">
        <v>1180.0702089883125</v>
      </c>
      <c r="D1877" s="27">
        <v>2104.5978439370956</v>
      </c>
      <c r="E1877" s="27">
        <v>3020.8308117609413</v>
      </c>
      <c r="F1877" s="27">
        <v>4962.9148858747503</v>
      </c>
      <c r="G1877" s="27">
        <v>6817.5185014851158</v>
      </c>
      <c r="H1877" s="27">
        <v>9969.2393758846447</v>
      </c>
      <c r="I1877" s="27">
        <v>13721.364026770199</v>
      </c>
      <c r="J1877" s="27">
        <v>24055.226008448182</v>
      </c>
      <c r="K1877" s="27">
        <v>45842.380823315514</v>
      </c>
      <c r="L1877" s="27">
        <v>111523.21240860142</v>
      </c>
      <c r="M1877" s="27">
        <v>223833.12049652927</v>
      </c>
    </row>
    <row r="1878" spans="1:13" x14ac:dyDescent="0.75">
      <c r="A1878" s="40">
        <v>1876</v>
      </c>
      <c r="B1878" s="27">
        <v>752.70455987178138</v>
      </c>
      <c r="C1878" s="27">
        <v>1226.5170279902813</v>
      </c>
      <c r="D1878" s="27">
        <v>1857.350742916693</v>
      </c>
      <c r="E1878" s="27">
        <v>2801.6999108784803</v>
      </c>
      <c r="F1878" s="27">
        <v>4693.8697252079146</v>
      </c>
      <c r="G1878" s="27">
        <v>6604.674014728429</v>
      </c>
      <c r="H1878" s="27">
        <v>9229.5451554770116</v>
      </c>
      <c r="I1878" s="27">
        <v>13450.556561823658</v>
      </c>
      <c r="J1878" s="27">
        <v>21777.324130219553</v>
      </c>
      <c r="K1878" s="27">
        <v>47603.43647985287</v>
      </c>
      <c r="L1878" s="27">
        <v>119411.62051134362</v>
      </c>
      <c r="M1878" s="27">
        <v>229409.29882031027</v>
      </c>
    </row>
    <row r="1879" spans="1:13" x14ac:dyDescent="0.75">
      <c r="A1879" s="40">
        <v>1877</v>
      </c>
      <c r="B1879" s="27">
        <v>933.97699677650235</v>
      </c>
      <c r="C1879" s="27">
        <v>1381.3995035733824</v>
      </c>
      <c r="D1879" s="27">
        <v>2194.5892739789415</v>
      </c>
      <c r="E1879" s="27">
        <v>3482.8242786120245</v>
      </c>
      <c r="F1879" s="27">
        <v>5429.3394045633613</v>
      </c>
      <c r="G1879" s="27">
        <v>7440.1466164221929</v>
      </c>
      <c r="H1879" s="27">
        <v>9865.7644856247643</v>
      </c>
      <c r="I1879" s="27">
        <v>13929.345038890722</v>
      </c>
      <c r="J1879" s="27">
        <v>21922.663439374708</v>
      </c>
      <c r="K1879" s="27">
        <v>46120.05633590548</v>
      </c>
      <c r="L1879" s="27">
        <v>112778.90686281488</v>
      </c>
      <c r="M1879" s="27">
        <v>225479.01223653695</v>
      </c>
    </row>
    <row r="1880" spans="1:13" x14ac:dyDescent="0.75">
      <c r="A1880" s="40">
        <v>1878</v>
      </c>
      <c r="B1880" s="27">
        <v>1088.7024051858316</v>
      </c>
      <c r="C1880" s="27">
        <v>1603.1433165057388</v>
      </c>
      <c r="D1880" s="27">
        <v>2578.5893736640865</v>
      </c>
      <c r="E1880" s="27">
        <v>3829.514237217576</v>
      </c>
      <c r="F1880" s="27">
        <v>5856.5927033285843</v>
      </c>
      <c r="G1880" s="27">
        <v>8639.4559587967233</v>
      </c>
      <c r="H1880" s="27">
        <v>11066.225445485514</v>
      </c>
      <c r="I1880" s="27">
        <v>14999.277760943747</v>
      </c>
      <c r="J1880" s="27">
        <v>23003.357372114129</v>
      </c>
      <c r="K1880" s="27">
        <v>47935.627706812069</v>
      </c>
      <c r="L1880" s="27">
        <v>115354.45166007167</v>
      </c>
      <c r="M1880" s="27">
        <v>235954.93794012567</v>
      </c>
    </row>
    <row r="1881" spans="1:13" x14ac:dyDescent="0.75">
      <c r="A1881" s="40">
        <v>1879</v>
      </c>
      <c r="B1881" s="27">
        <v>1259.6918250138842</v>
      </c>
      <c r="C1881" s="27">
        <v>1860.3406621227623</v>
      </c>
      <c r="D1881" s="27">
        <v>2680.5779726067703</v>
      </c>
      <c r="E1881" s="27">
        <v>3432.3387111579796</v>
      </c>
      <c r="F1881" s="27">
        <v>5423.1554051849089</v>
      </c>
      <c r="G1881" s="27">
        <v>8442.2945148055733</v>
      </c>
      <c r="H1881" s="27">
        <v>10956.962225603987</v>
      </c>
      <c r="I1881" s="27">
        <v>14746.22309295123</v>
      </c>
      <c r="J1881" s="27">
        <v>22796.228473348834</v>
      </c>
      <c r="K1881" s="27">
        <v>48259.152163646504</v>
      </c>
      <c r="L1881" s="27">
        <v>117417.83685854243</v>
      </c>
      <c r="M1881" s="27">
        <v>237274.80190498487</v>
      </c>
    </row>
    <row r="1882" spans="1:13" x14ac:dyDescent="0.75">
      <c r="A1882" s="40">
        <v>1880</v>
      </c>
      <c r="B1882" s="27">
        <v>755.77301160721981</v>
      </c>
      <c r="C1882" s="27">
        <v>1205.3474424746964</v>
      </c>
      <c r="D1882" s="27">
        <v>1972.5794333960803</v>
      </c>
      <c r="E1882" s="27">
        <v>2734.4395348767575</v>
      </c>
      <c r="F1882" s="27">
        <v>4592.2856326822075</v>
      </c>
      <c r="G1882" s="27">
        <v>7377.2710712573316</v>
      </c>
      <c r="H1882" s="27">
        <v>9319.245876845438</v>
      </c>
      <c r="I1882" s="27">
        <v>13397.978076823361</v>
      </c>
      <c r="J1882" s="27">
        <v>22991.673752644536</v>
      </c>
      <c r="K1882" s="27">
        <v>47026.629461740507</v>
      </c>
      <c r="L1882" s="27">
        <v>108218.10395957323</v>
      </c>
      <c r="M1882" s="27">
        <v>219591.32725392136</v>
      </c>
    </row>
    <row r="1883" spans="1:13" x14ac:dyDescent="0.75">
      <c r="A1883" s="40">
        <v>1881</v>
      </c>
      <c r="B1883" s="27">
        <v>1196.4996927955799</v>
      </c>
      <c r="C1883" s="27">
        <v>1479.1654954566329</v>
      </c>
      <c r="D1883" s="27">
        <v>2558.9544049205142</v>
      </c>
      <c r="E1883" s="27">
        <v>3671.3308424193965</v>
      </c>
      <c r="F1883" s="27">
        <v>5899.0055949822417</v>
      </c>
      <c r="G1883" s="27">
        <v>8391.3089656857483</v>
      </c>
      <c r="H1883" s="27">
        <v>10653.864329637086</v>
      </c>
      <c r="I1883" s="27">
        <v>14448.988871656882</v>
      </c>
      <c r="J1883" s="27">
        <v>24685.731763770367</v>
      </c>
      <c r="K1883" s="27">
        <v>46746.421310510108</v>
      </c>
      <c r="L1883" s="27">
        <v>114506.12325242464</v>
      </c>
      <c r="M1883" s="27">
        <v>234237.3945242592</v>
      </c>
    </row>
    <row r="1884" spans="1:13" x14ac:dyDescent="0.75">
      <c r="A1884" s="40">
        <v>1882</v>
      </c>
      <c r="B1884" s="27">
        <v>501.03762588105747</v>
      </c>
      <c r="C1884" s="27">
        <v>1088.3768204693188</v>
      </c>
      <c r="D1884" s="27">
        <v>2178.985549616802</v>
      </c>
      <c r="E1884" s="27">
        <v>3389.7181490123039</v>
      </c>
      <c r="F1884" s="27">
        <v>5063.2066533735197</v>
      </c>
      <c r="G1884" s="27">
        <v>7642.2289554592862</v>
      </c>
      <c r="H1884" s="27">
        <v>10039.152299826645</v>
      </c>
      <c r="I1884" s="27">
        <v>14128.082624385774</v>
      </c>
      <c r="J1884" s="27">
        <v>23347.924223512877</v>
      </c>
      <c r="K1884" s="27">
        <v>47054.203832619212</v>
      </c>
      <c r="L1884" s="27">
        <v>106874.9345237072</v>
      </c>
      <c r="M1884" s="27">
        <v>221307.85125786398</v>
      </c>
    </row>
    <row r="1885" spans="1:13" x14ac:dyDescent="0.75">
      <c r="A1885" s="40">
        <v>1883</v>
      </c>
      <c r="B1885" s="27">
        <v>659.0074838015862</v>
      </c>
      <c r="C1885" s="27">
        <v>1243.4544287479948</v>
      </c>
      <c r="D1885" s="27">
        <v>2230.4645767253824</v>
      </c>
      <c r="E1885" s="27">
        <v>3773.2198473548342</v>
      </c>
      <c r="F1885" s="27">
        <v>5460.1581305685104</v>
      </c>
      <c r="G1885" s="27">
        <v>8581.6119220716937</v>
      </c>
      <c r="H1885" s="27">
        <v>10634.717699199959</v>
      </c>
      <c r="I1885" s="27">
        <v>14494.560237139172</v>
      </c>
      <c r="J1885" s="27">
        <v>22267.68496574233</v>
      </c>
      <c r="K1885" s="27">
        <v>44670.502350085037</v>
      </c>
      <c r="L1885" s="27">
        <v>109043.78525654553</v>
      </c>
      <c r="M1885" s="27">
        <v>223059.16689798201</v>
      </c>
    </row>
    <row r="1886" spans="1:13" x14ac:dyDescent="0.75">
      <c r="A1886" s="40">
        <v>1884</v>
      </c>
      <c r="B1886" s="27">
        <v>727.25275385811983</v>
      </c>
      <c r="C1886" s="27">
        <v>1243.8805707015272</v>
      </c>
      <c r="D1886" s="27">
        <v>2089.3125266673887</v>
      </c>
      <c r="E1886" s="27">
        <v>3010.3895366740035</v>
      </c>
      <c r="F1886" s="27">
        <v>4835.3445809051045</v>
      </c>
      <c r="G1886" s="27">
        <v>6991.5967257244629</v>
      </c>
      <c r="H1886" s="27">
        <v>9830.9058904785488</v>
      </c>
      <c r="I1886" s="27">
        <v>13732.513289817231</v>
      </c>
      <c r="J1886" s="27">
        <v>22840.934078384424</v>
      </c>
      <c r="K1886" s="27">
        <v>49181.995624120464</v>
      </c>
      <c r="L1886" s="27">
        <v>109871.60794326122</v>
      </c>
      <c r="M1886" s="27">
        <v>224355.7335205925</v>
      </c>
    </row>
    <row r="1887" spans="1:13" x14ac:dyDescent="0.75">
      <c r="A1887" s="40">
        <v>1885</v>
      </c>
      <c r="B1887" s="27">
        <v>842.95651814658777</v>
      </c>
      <c r="C1887" s="27">
        <v>1271.8348138411238</v>
      </c>
      <c r="D1887" s="27">
        <v>2032.4581246970629</v>
      </c>
      <c r="E1887" s="27">
        <v>2982.3400869466132</v>
      </c>
      <c r="F1887" s="27">
        <v>5357.7302063190727</v>
      </c>
      <c r="G1887" s="27">
        <v>7458.53659766895</v>
      </c>
      <c r="H1887" s="27">
        <v>10852.384877156466</v>
      </c>
      <c r="I1887" s="27">
        <v>15466.14291731549</v>
      </c>
      <c r="J1887" s="27">
        <v>23553.82577168307</v>
      </c>
      <c r="K1887" s="27">
        <v>48577.185677326401</v>
      </c>
      <c r="L1887" s="27">
        <v>116793.61852641215</v>
      </c>
      <c r="M1887" s="27">
        <v>235189.01411751297</v>
      </c>
    </row>
    <row r="1888" spans="1:13" x14ac:dyDescent="0.75">
      <c r="A1888" s="40">
        <v>1886</v>
      </c>
      <c r="B1888" s="27">
        <v>440.87406487121189</v>
      </c>
      <c r="C1888" s="27">
        <v>1035.2380759739608</v>
      </c>
      <c r="D1888" s="27">
        <v>1625.83043949891</v>
      </c>
      <c r="E1888" s="27">
        <v>2811.5288197032933</v>
      </c>
      <c r="F1888" s="27">
        <v>4570.0599134896474</v>
      </c>
      <c r="G1888" s="27">
        <v>6772.7279624851071</v>
      </c>
      <c r="H1888" s="27">
        <v>9719.249023087672</v>
      </c>
      <c r="I1888" s="27">
        <v>13510.229487190823</v>
      </c>
      <c r="J1888" s="27">
        <v>22136.057246907643</v>
      </c>
      <c r="K1888" s="27">
        <v>46343.152354454447</v>
      </c>
      <c r="L1888" s="27">
        <v>108694.34640476503</v>
      </c>
      <c r="M1888" s="27">
        <v>217659.29379242775</v>
      </c>
    </row>
    <row r="1889" spans="1:13" x14ac:dyDescent="0.75">
      <c r="A1889" s="40">
        <v>1887</v>
      </c>
      <c r="B1889" s="27">
        <v>557.58364868212084</v>
      </c>
      <c r="C1889" s="27">
        <v>1070.2508509136242</v>
      </c>
      <c r="D1889" s="27">
        <v>1683.0686283847608</v>
      </c>
      <c r="E1889" s="27">
        <v>2951.3371924321837</v>
      </c>
      <c r="F1889" s="27">
        <v>4359.1704814963305</v>
      </c>
      <c r="G1889" s="27">
        <v>6312.0573882168392</v>
      </c>
      <c r="H1889" s="27">
        <v>9262.8761854067707</v>
      </c>
      <c r="I1889" s="27">
        <v>12789.809184257218</v>
      </c>
      <c r="J1889" s="27">
        <v>22834.945226839656</v>
      </c>
      <c r="K1889" s="27">
        <v>45774.680145643069</v>
      </c>
      <c r="L1889" s="27">
        <v>112365.5458613307</v>
      </c>
      <c r="M1889" s="27">
        <v>219961.32479360327</v>
      </c>
    </row>
    <row r="1890" spans="1:13" x14ac:dyDescent="0.75">
      <c r="A1890" s="40">
        <v>1888</v>
      </c>
      <c r="B1890" s="27">
        <v>781.51369051735674</v>
      </c>
      <c r="C1890" s="27">
        <v>1309.3228371089644</v>
      </c>
      <c r="D1890" s="27">
        <v>2454.2962997391151</v>
      </c>
      <c r="E1890" s="27">
        <v>3371.1503872903559</v>
      </c>
      <c r="F1890" s="27">
        <v>5249.6898532279592</v>
      </c>
      <c r="G1890" s="27">
        <v>7874.514315272856</v>
      </c>
      <c r="H1890" s="27">
        <v>10248.08269880744</v>
      </c>
      <c r="I1890" s="27">
        <v>14760.499819054807</v>
      </c>
      <c r="J1890" s="27">
        <v>24186.550829485292</v>
      </c>
      <c r="K1890" s="27">
        <v>47186.592373481544</v>
      </c>
      <c r="L1890" s="27">
        <v>108213.82260997727</v>
      </c>
      <c r="M1890" s="27">
        <v>225636.03571396298</v>
      </c>
    </row>
    <row r="1891" spans="1:13" x14ac:dyDescent="0.75">
      <c r="A1891" s="40">
        <v>1889</v>
      </c>
      <c r="B1891" s="27">
        <v>709.89559356070822</v>
      </c>
      <c r="C1891" s="27">
        <v>1379.9126128110365</v>
      </c>
      <c r="D1891" s="27">
        <v>2431.3007540046383</v>
      </c>
      <c r="E1891" s="27">
        <v>3310.590151105047</v>
      </c>
      <c r="F1891" s="27">
        <v>5632.7768301888427</v>
      </c>
      <c r="G1891" s="27">
        <v>7777.2880499823659</v>
      </c>
      <c r="H1891" s="27">
        <v>10338.871930974623</v>
      </c>
      <c r="I1891" s="27">
        <v>14930.588665398041</v>
      </c>
      <c r="J1891" s="27">
        <v>24386.51495176999</v>
      </c>
      <c r="K1891" s="27">
        <v>46514.156477629469</v>
      </c>
      <c r="L1891" s="27">
        <v>117048.20517462185</v>
      </c>
      <c r="M1891" s="27">
        <v>234460.1011920466</v>
      </c>
    </row>
    <row r="1892" spans="1:13" x14ac:dyDescent="0.75">
      <c r="A1892" s="40">
        <v>1890</v>
      </c>
      <c r="B1892" s="27">
        <v>380.35051270012627</v>
      </c>
      <c r="C1892" s="27">
        <v>873.20916733237391</v>
      </c>
      <c r="D1892" s="27">
        <v>1581.9572445068188</v>
      </c>
      <c r="E1892" s="27">
        <v>2701.2245412466436</v>
      </c>
      <c r="F1892" s="27">
        <v>4520.6463519328972</v>
      </c>
      <c r="G1892" s="27">
        <v>6863.6752195982845</v>
      </c>
      <c r="H1892" s="27">
        <v>9474.1625864735252</v>
      </c>
      <c r="I1892" s="27">
        <v>13715.959985271809</v>
      </c>
      <c r="J1892" s="27">
        <v>23260.165782392476</v>
      </c>
      <c r="K1892" s="27">
        <v>46525.21763948939</v>
      </c>
      <c r="L1892" s="27">
        <v>113096.16020593361</v>
      </c>
      <c r="M1892" s="27">
        <v>222992.72923687796</v>
      </c>
    </row>
    <row r="1893" spans="1:13" x14ac:dyDescent="0.75">
      <c r="A1893" s="40">
        <v>1891</v>
      </c>
      <c r="B1893" s="27">
        <v>765.10945659801655</v>
      </c>
      <c r="C1893" s="27">
        <v>1287.2337747169513</v>
      </c>
      <c r="D1893" s="27">
        <v>2387.2043428618927</v>
      </c>
      <c r="E1893" s="27">
        <v>3505.355175362376</v>
      </c>
      <c r="F1893" s="27">
        <v>5716.8180476042035</v>
      </c>
      <c r="G1893" s="27">
        <v>7945.1493911338039</v>
      </c>
      <c r="H1893" s="27">
        <v>10441.46884266843</v>
      </c>
      <c r="I1893" s="27">
        <v>14373.900271697974</v>
      </c>
      <c r="J1893" s="27">
        <v>23578.966662056453</v>
      </c>
      <c r="K1893" s="27">
        <v>46140.466995488154</v>
      </c>
      <c r="L1893" s="27">
        <v>108948.01564839011</v>
      </c>
      <c r="M1893" s="27">
        <v>225089.68860857835</v>
      </c>
    </row>
    <row r="1894" spans="1:13" x14ac:dyDescent="0.75">
      <c r="A1894" s="40">
        <v>1892</v>
      </c>
      <c r="B1894" s="27">
        <v>704.417301088557</v>
      </c>
      <c r="C1894" s="27">
        <v>1138.7176367207576</v>
      </c>
      <c r="D1894" s="27">
        <v>1744.4784744064527</v>
      </c>
      <c r="E1894" s="27">
        <v>2715.8669396253827</v>
      </c>
      <c r="F1894" s="27">
        <v>4369.4917284835246</v>
      </c>
      <c r="G1894" s="27">
        <v>6762.9993281198549</v>
      </c>
      <c r="H1894" s="27">
        <v>9143.4197267441486</v>
      </c>
      <c r="I1894" s="27">
        <v>12812.87665921438</v>
      </c>
      <c r="J1894" s="27">
        <v>21596.019484299599</v>
      </c>
      <c r="K1894" s="27">
        <v>47365.363907671286</v>
      </c>
      <c r="L1894" s="27">
        <v>115560.04974491839</v>
      </c>
      <c r="M1894" s="27">
        <v>223913.70093129232</v>
      </c>
    </row>
    <row r="1895" spans="1:13" x14ac:dyDescent="0.75">
      <c r="A1895" s="40">
        <v>1893</v>
      </c>
      <c r="B1895" s="27">
        <v>504.8088423221925</v>
      </c>
      <c r="C1895" s="27">
        <v>824.38751651522762</v>
      </c>
      <c r="D1895" s="27">
        <v>1753.0874808798253</v>
      </c>
      <c r="E1895" s="27">
        <v>2950.8949473528046</v>
      </c>
      <c r="F1895" s="27">
        <v>5114.5667757505435</v>
      </c>
      <c r="G1895" s="27">
        <v>7157.899152287282</v>
      </c>
      <c r="H1895" s="27">
        <v>9980.3091173961002</v>
      </c>
      <c r="I1895" s="27">
        <v>13954.319392447549</v>
      </c>
      <c r="J1895" s="27">
        <v>21475.127711696317</v>
      </c>
      <c r="K1895" s="27">
        <v>46438.073296986608</v>
      </c>
      <c r="L1895" s="27">
        <v>102512.51474159287</v>
      </c>
      <c r="M1895" s="27">
        <v>212665.98897522732</v>
      </c>
    </row>
    <row r="1896" spans="1:13" x14ac:dyDescent="0.75">
      <c r="A1896" s="40">
        <v>1894</v>
      </c>
      <c r="B1896" s="27">
        <v>897.11525265871023</v>
      </c>
      <c r="C1896" s="27">
        <v>1419.3667733270267</v>
      </c>
      <c r="D1896" s="27">
        <v>2045.3005113619729</v>
      </c>
      <c r="E1896" s="27">
        <v>3592.9308766205213</v>
      </c>
      <c r="F1896" s="27">
        <v>5362.8600901641184</v>
      </c>
      <c r="G1896" s="27">
        <v>7745.3614772265137</v>
      </c>
      <c r="H1896" s="27">
        <v>10391.640337727265</v>
      </c>
      <c r="I1896" s="27">
        <v>15337.963399641594</v>
      </c>
      <c r="J1896" s="27">
        <v>23652.629127941065</v>
      </c>
      <c r="K1896" s="27">
        <v>46806.366414976306</v>
      </c>
      <c r="L1896" s="27">
        <v>109686.75942675085</v>
      </c>
      <c r="M1896" s="27">
        <v>226938.29368839593</v>
      </c>
    </row>
    <row r="1897" spans="1:13" x14ac:dyDescent="0.75">
      <c r="A1897" s="40">
        <v>1895</v>
      </c>
      <c r="B1897" s="27">
        <v>1134.2332024779753</v>
      </c>
      <c r="C1897" s="27">
        <v>1612.9541792532837</v>
      </c>
      <c r="D1897" s="27">
        <v>2628.5664844983694</v>
      </c>
      <c r="E1897" s="27">
        <v>3912.1433111400256</v>
      </c>
      <c r="F1897" s="27">
        <v>5322.463595178735</v>
      </c>
      <c r="G1897" s="27">
        <v>7795.5126577744959</v>
      </c>
      <c r="H1897" s="27">
        <v>10401.023053077573</v>
      </c>
      <c r="I1897" s="27">
        <v>13938.29158907308</v>
      </c>
      <c r="J1897" s="27">
        <v>22836.254153489106</v>
      </c>
      <c r="K1897" s="27">
        <v>47149.144925089786</v>
      </c>
      <c r="L1897" s="27">
        <v>117668.50075445177</v>
      </c>
      <c r="M1897" s="27">
        <v>234399.08790550422</v>
      </c>
    </row>
    <row r="1898" spans="1:13" x14ac:dyDescent="0.75">
      <c r="A1898" s="40">
        <v>1896</v>
      </c>
      <c r="B1898" s="27">
        <v>1006.8213884972356</v>
      </c>
      <c r="C1898" s="27">
        <v>1512.7851694214041</v>
      </c>
      <c r="D1898" s="27">
        <v>2609.2703474541922</v>
      </c>
      <c r="E1898" s="27">
        <v>3312.2773093328578</v>
      </c>
      <c r="F1898" s="27">
        <v>5286.8231434136687</v>
      </c>
      <c r="G1898" s="27">
        <v>7502.5990280816332</v>
      </c>
      <c r="H1898" s="27">
        <v>9716.4860183531418</v>
      </c>
      <c r="I1898" s="27">
        <v>14334.05565815563</v>
      </c>
      <c r="J1898" s="27">
        <v>23735.157483556133</v>
      </c>
      <c r="K1898" s="27">
        <v>44631.044766796753</v>
      </c>
      <c r="L1898" s="27">
        <v>118395.40935568252</v>
      </c>
      <c r="M1898" s="27">
        <v>232042.72966874519</v>
      </c>
    </row>
    <row r="1899" spans="1:13" x14ac:dyDescent="0.75">
      <c r="A1899" s="40">
        <v>1897</v>
      </c>
      <c r="B1899" s="27">
        <v>643.2702261578961</v>
      </c>
      <c r="C1899" s="27">
        <v>1107.2415485419042</v>
      </c>
      <c r="D1899" s="27">
        <v>2085.9708738277695</v>
      </c>
      <c r="E1899" s="27">
        <v>3577.1238290422334</v>
      </c>
      <c r="F1899" s="27">
        <v>5549.5822517322376</v>
      </c>
      <c r="G1899" s="27">
        <v>7636.0145167035807</v>
      </c>
      <c r="H1899" s="27">
        <v>10739.569826001942</v>
      </c>
      <c r="I1899" s="27">
        <v>14610.293872498121</v>
      </c>
      <c r="J1899" s="27">
        <v>22582.278887506938</v>
      </c>
      <c r="K1899" s="27">
        <v>48744.288107446904</v>
      </c>
      <c r="L1899" s="27">
        <v>108093.62376893045</v>
      </c>
      <c r="M1899" s="27">
        <v>225369.25770838998</v>
      </c>
    </row>
    <row r="1900" spans="1:13" x14ac:dyDescent="0.75">
      <c r="A1900" s="40">
        <v>1898</v>
      </c>
      <c r="B1900" s="27">
        <v>767.85488761941087</v>
      </c>
      <c r="C1900" s="27">
        <v>1388.7979575473146</v>
      </c>
      <c r="D1900" s="27">
        <v>2141.0382395449997</v>
      </c>
      <c r="E1900" s="27">
        <v>3211.8651358293137</v>
      </c>
      <c r="F1900" s="27">
        <v>5020.8701053191326</v>
      </c>
      <c r="G1900" s="27">
        <v>6840.4459507095162</v>
      </c>
      <c r="H1900" s="27">
        <v>9762.5640142991033</v>
      </c>
      <c r="I1900" s="27">
        <v>13869.142807674958</v>
      </c>
      <c r="J1900" s="27">
        <v>23131.61185810648</v>
      </c>
      <c r="K1900" s="27">
        <v>47216.768386534124</v>
      </c>
      <c r="L1900" s="27">
        <v>110857.27876325435</v>
      </c>
      <c r="M1900" s="27">
        <v>224208.23810643872</v>
      </c>
    </row>
    <row r="1901" spans="1:13" x14ac:dyDescent="0.75">
      <c r="A1901" s="40">
        <v>1899</v>
      </c>
      <c r="B1901" s="27">
        <v>530.5034867508657</v>
      </c>
      <c r="C1901" s="27">
        <v>956.05239472567337</v>
      </c>
      <c r="D1901" s="27">
        <v>1728.9484354654123</v>
      </c>
      <c r="E1901" s="27">
        <v>2812.5829636184499</v>
      </c>
      <c r="F1901" s="27">
        <v>4520.7233487446938</v>
      </c>
      <c r="G1901" s="27">
        <v>7325.182848509372</v>
      </c>
      <c r="H1901" s="27">
        <v>9342.4385599006055</v>
      </c>
      <c r="I1901" s="27">
        <v>12957.982201322098</v>
      </c>
      <c r="J1901" s="27">
        <v>22503.784648788482</v>
      </c>
      <c r="K1901" s="27">
        <v>47966.553153579633</v>
      </c>
      <c r="L1901" s="27">
        <v>121079.89016503193</v>
      </c>
      <c r="M1901" s="27">
        <v>231724.64220643722</v>
      </c>
    </row>
    <row r="1902" spans="1:13" x14ac:dyDescent="0.75">
      <c r="A1902" s="40">
        <v>1900</v>
      </c>
      <c r="B1902" s="27">
        <v>465.76560090269777</v>
      </c>
      <c r="C1902" s="27">
        <v>819.93543153532664</v>
      </c>
      <c r="D1902" s="27">
        <v>1408.0594086166238</v>
      </c>
      <c r="E1902" s="27">
        <v>2653.5442301958683</v>
      </c>
      <c r="F1902" s="27">
        <v>4570.8506364514469</v>
      </c>
      <c r="G1902" s="27">
        <v>6163.2191386686754</v>
      </c>
      <c r="H1902" s="27">
        <v>8483.9359777111822</v>
      </c>
      <c r="I1902" s="27">
        <v>12290.449296079329</v>
      </c>
      <c r="J1902" s="27">
        <v>21835.511659027383</v>
      </c>
      <c r="K1902" s="27">
        <v>46270.197301110835</v>
      </c>
      <c r="L1902" s="27">
        <v>109887.31073711501</v>
      </c>
      <c r="M1902" s="27">
        <v>214848.77941741439</v>
      </c>
    </row>
    <row r="1903" spans="1:13" x14ac:dyDescent="0.75">
      <c r="A1903" s="40">
        <v>1901</v>
      </c>
      <c r="B1903" s="27">
        <v>633.30767662794096</v>
      </c>
      <c r="C1903" s="27">
        <v>1361.486862805541</v>
      </c>
      <c r="D1903" s="27">
        <v>1969.0444760095852</v>
      </c>
      <c r="E1903" s="27">
        <v>3277.4901645881619</v>
      </c>
      <c r="F1903" s="27">
        <v>4946.0376691040583</v>
      </c>
      <c r="G1903" s="27">
        <v>7316.6322834391904</v>
      </c>
      <c r="H1903" s="27">
        <v>10193.442099121108</v>
      </c>
      <c r="I1903" s="27">
        <v>13862.330794797206</v>
      </c>
      <c r="J1903" s="27">
        <v>23505.13499926345</v>
      </c>
      <c r="K1903" s="27">
        <v>46907.25341237284</v>
      </c>
      <c r="L1903" s="27">
        <v>106197.25082645673</v>
      </c>
      <c r="M1903" s="27">
        <v>220169.4112645858</v>
      </c>
    </row>
    <row r="1904" spans="1:13" x14ac:dyDescent="0.75">
      <c r="A1904" s="40">
        <v>1902</v>
      </c>
      <c r="B1904" s="27">
        <v>389.1222360565007</v>
      </c>
      <c r="C1904" s="27">
        <v>761.85790248481499</v>
      </c>
      <c r="D1904" s="27">
        <v>1676.7056111796701</v>
      </c>
      <c r="E1904" s="27">
        <v>2484.1349440500053</v>
      </c>
      <c r="F1904" s="27">
        <v>4205.3100496660918</v>
      </c>
      <c r="G1904" s="27">
        <v>6314.5134771993908</v>
      </c>
      <c r="H1904" s="27">
        <v>9414.6105966761534</v>
      </c>
      <c r="I1904" s="27">
        <v>12765.291384890283</v>
      </c>
      <c r="J1904" s="27">
        <v>22424.212182848642</v>
      </c>
      <c r="K1904" s="27">
        <v>45585.252579645603</v>
      </c>
      <c r="L1904" s="27">
        <v>107548.22881551392</v>
      </c>
      <c r="M1904" s="27">
        <v>213569.23978021106</v>
      </c>
    </row>
    <row r="1905" spans="1:13" x14ac:dyDescent="0.75">
      <c r="A1905" s="40">
        <v>1903</v>
      </c>
      <c r="B1905" s="27">
        <v>811.20990695049113</v>
      </c>
      <c r="C1905" s="27">
        <v>1300.7472554181441</v>
      </c>
      <c r="D1905" s="27">
        <v>2545.7632716532389</v>
      </c>
      <c r="E1905" s="27">
        <v>3722.7845457821822</v>
      </c>
      <c r="F1905" s="27">
        <v>5755.0794985505636</v>
      </c>
      <c r="G1905" s="27">
        <v>8374.5296197579009</v>
      </c>
      <c r="H1905" s="27">
        <v>11124.889141640218</v>
      </c>
      <c r="I1905" s="27">
        <v>15924.249430195545</v>
      </c>
      <c r="J1905" s="27">
        <v>24199.576269206795</v>
      </c>
      <c r="K1905" s="27">
        <v>46248.921931685414</v>
      </c>
      <c r="L1905" s="27">
        <v>107541.27579276489</v>
      </c>
      <c r="M1905" s="27">
        <v>227549.02666360539</v>
      </c>
    </row>
    <row r="1906" spans="1:13" x14ac:dyDescent="0.75">
      <c r="A1906" s="40">
        <v>1904</v>
      </c>
      <c r="B1906" s="27">
        <v>552.0442430080584</v>
      </c>
      <c r="C1906" s="27">
        <v>888.40300966970972</v>
      </c>
      <c r="D1906" s="27">
        <v>1684.1666057278198</v>
      </c>
      <c r="E1906" s="27">
        <v>2752.2863977897796</v>
      </c>
      <c r="F1906" s="27">
        <v>4660.8306964517687</v>
      </c>
      <c r="G1906" s="27">
        <v>6275.1717588069441</v>
      </c>
      <c r="H1906" s="27">
        <v>9287.5833756467764</v>
      </c>
      <c r="I1906" s="27">
        <v>12932.109771048898</v>
      </c>
      <c r="J1906" s="27">
        <v>22244.767733473127</v>
      </c>
      <c r="K1906" s="27">
        <v>46170.274977824534</v>
      </c>
      <c r="L1906" s="27">
        <v>114672.51900084002</v>
      </c>
      <c r="M1906" s="27">
        <v>222120.15757028744</v>
      </c>
    </row>
    <row r="1907" spans="1:13" x14ac:dyDescent="0.75">
      <c r="A1907" s="40">
        <v>1905</v>
      </c>
      <c r="B1907" s="27">
        <v>675.65335291727388</v>
      </c>
      <c r="C1907" s="27">
        <v>1485.8258964372508</v>
      </c>
      <c r="D1907" s="27">
        <v>2503.6135957886581</v>
      </c>
      <c r="E1907" s="27">
        <v>3632.2853766564658</v>
      </c>
      <c r="F1907" s="27">
        <v>5376.8758418400103</v>
      </c>
      <c r="G1907" s="27">
        <v>7846.3570418440504</v>
      </c>
      <c r="H1907" s="27">
        <v>10563.143998343745</v>
      </c>
      <c r="I1907" s="27">
        <v>14057.382762059569</v>
      </c>
      <c r="J1907" s="27">
        <v>24075.971526577923</v>
      </c>
      <c r="K1907" s="27">
        <v>49585.790512419801</v>
      </c>
      <c r="L1907" s="27">
        <v>111263.05530164254</v>
      </c>
      <c r="M1907" s="27">
        <v>231065.95520652729</v>
      </c>
    </row>
    <row r="1908" spans="1:13" x14ac:dyDescent="0.75">
      <c r="A1908" s="40">
        <v>1906</v>
      </c>
      <c r="B1908" s="27">
        <v>864.13103334142943</v>
      </c>
      <c r="C1908" s="27">
        <v>1540.3640371917281</v>
      </c>
      <c r="D1908" s="27">
        <v>2274.7392673190188</v>
      </c>
      <c r="E1908" s="27">
        <v>3386.7114849511854</v>
      </c>
      <c r="F1908" s="27">
        <v>5186.1285201490246</v>
      </c>
      <c r="G1908" s="27">
        <v>7692.5921397286002</v>
      </c>
      <c r="H1908" s="27">
        <v>10711.957905136398</v>
      </c>
      <c r="I1908" s="27">
        <v>14489.985897272651</v>
      </c>
      <c r="J1908" s="27">
        <v>23166.09618613933</v>
      </c>
      <c r="K1908" s="27">
        <v>47618.578339533793</v>
      </c>
      <c r="L1908" s="27">
        <v>114453.24859059925</v>
      </c>
      <c r="M1908" s="27">
        <v>231384.53340136242</v>
      </c>
    </row>
    <row r="1909" spans="1:13" x14ac:dyDescent="0.75">
      <c r="A1909" s="40">
        <v>1907</v>
      </c>
      <c r="B1909" s="27">
        <v>1398.9335404300509</v>
      </c>
      <c r="C1909" s="27">
        <v>2057.3303897063452</v>
      </c>
      <c r="D1909" s="27">
        <v>3112.8715194727847</v>
      </c>
      <c r="E1909" s="27">
        <v>4357.5431178099388</v>
      </c>
      <c r="F1909" s="27">
        <v>6390.921054450504</v>
      </c>
      <c r="G1909" s="27">
        <v>9395.3218346164795</v>
      </c>
      <c r="H1909" s="27">
        <v>11681.54661504658</v>
      </c>
      <c r="I1909" s="27">
        <v>14863.534243642207</v>
      </c>
      <c r="J1909" s="27">
        <v>24222.835480305192</v>
      </c>
      <c r="K1909" s="27">
        <v>48059.497066666809</v>
      </c>
      <c r="L1909" s="27">
        <v>113144.46841282828</v>
      </c>
      <c r="M1909" s="27">
        <v>238684.80327497516</v>
      </c>
    </row>
    <row r="1910" spans="1:13" x14ac:dyDescent="0.75">
      <c r="A1910" s="40">
        <v>1908</v>
      </c>
      <c r="B1910" s="27">
        <v>516.07221746377763</v>
      </c>
      <c r="C1910" s="27">
        <v>1075.3432137735217</v>
      </c>
      <c r="D1910" s="27">
        <v>2000.9236213337426</v>
      </c>
      <c r="E1910" s="27">
        <v>3076.9051249118493</v>
      </c>
      <c r="F1910" s="27">
        <v>4996.7370201212034</v>
      </c>
      <c r="G1910" s="27">
        <v>7727.3761235623097</v>
      </c>
      <c r="H1910" s="27">
        <v>10643.346407678662</v>
      </c>
      <c r="I1910" s="27">
        <v>14578.094594482274</v>
      </c>
      <c r="J1910" s="27">
        <v>23143.855093809136</v>
      </c>
      <c r="K1910" s="27">
        <v>46935.779876418121</v>
      </c>
      <c r="L1910" s="27">
        <v>112720.94769781308</v>
      </c>
      <c r="M1910" s="27">
        <v>227415.38099136768</v>
      </c>
    </row>
    <row r="1911" spans="1:13" x14ac:dyDescent="0.75">
      <c r="A1911" s="40">
        <v>1909</v>
      </c>
      <c r="B1911" s="27">
        <v>662.85572761131334</v>
      </c>
      <c r="C1911" s="27">
        <v>1360.4493307321682</v>
      </c>
      <c r="D1911" s="27">
        <v>1984.5553181140567</v>
      </c>
      <c r="E1911" s="27">
        <v>3165.7245337275963</v>
      </c>
      <c r="F1911" s="27">
        <v>4865.4762409463001</v>
      </c>
      <c r="G1911" s="27">
        <v>7338.0714106372034</v>
      </c>
      <c r="H1911" s="27">
        <v>10362.548308556667</v>
      </c>
      <c r="I1911" s="27">
        <v>13916.133482893376</v>
      </c>
      <c r="J1911" s="27">
        <v>24184.181401271184</v>
      </c>
      <c r="K1911" s="27">
        <v>45299.882506438706</v>
      </c>
      <c r="L1911" s="27">
        <v>108368.28896220707</v>
      </c>
      <c r="M1911" s="27">
        <v>221508.16722313565</v>
      </c>
    </row>
    <row r="1912" spans="1:13" x14ac:dyDescent="0.75">
      <c r="A1912" s="40">
        <v>1910</v>
      </c>
      <c r="B1912" s="27">
        <v>1348.016907463083</v>
      </c>
      <c r="C1912" s="27">
        <v>1673.3838321270159</v>
      </c>
      <c r="D1912" s="27">
        <v>2551.7566999192786</v>
      </c>
      <c r="E1912" s="27">
        <v>3801.2691314732365</v>
      </c>
      <c r="F1912" s="27">
        <v>5376.1204957959999</v>
      </c>
      <c r="G1912" s="27">
        <v>7883.0406357292377</v>
      </c>
      <c r="H1912" s="27">
        <v>11373.724565310345</v>
      </c>
      <c r="I1912" s="27">
        <v>15151.119591989409</v>
      </c>
      <c r="J1912" s="27">
        <v>23647.591598424347</v>
      </c>
      <c r="K1912" s="27">
        <v>47182.515211203165</v>
      </c>
      <c r="L1912" s="27">
        <v>112027.76956163527</v>
      </c>
      <c r="M1912" s="27">
        <v>232016.3082310704</v>
      </c>
    </row>
    <row r="1913" spans="1:13" x14ac:dyDescent="0.75">
      <c r="A1913" s="40">
        <v>1911</v>
      </c>
      <c r="B1913" s="27">
        <v>1069.8256351384771</v>
      </c>
      <c r="C1913" s="27">
        <v>1592.7942307630583</v>
      </c>
      <c r="D1913" s="27">
        <v>2563.1792991956609</v>
      </c>
      <c r="E1913" s="27">
        <v>3648.2255500309984</v>
      </c>
      <c r="F1913" s="27">
        <v>5790.2032200778485</v>
      </c>
      <c r="G1913" s="27">
        <v>8121.9164033083362</v>
      </c>
      <c r="H1913" s="27">
        <v>10956.192673117883</v>
      </c>
      <c r="I1913" s="27">
        <v>14333.767445432735</v>
      </c>
      <c r="J1913" s="27">
        <v>24082.03708601417</v>
      </c>
      <c r="K1913" s="27">
        <v>45804.922021987164</v>
      </c>
      <c r="L1913" s="27">
        <v>113153.35992002196</v>
      </c>
      <c r="M1913" s="27">
        <v>231116.42348508828</v>
      </c>
    </row>
    <row r="1914" spans="1:13" x14ac:dyDescent="0.75">
      <c r="A1914" s="40">
        <v>1912</v>
      </c>
      <c r="B1914" s="27">
        <v>878.86004856463114</v>
      </c>
      <c r="C1914" s="27">
        <v>1404.6934699026606</v>
      </c>
      <c r="D1914" s="27">
        <v>2400.8742606305022</v>
      </c>
      <c r="E1914" s="27">
        <v>3665.3169341934845</v>
      </c>
      <c r="F1914" s="27">
        <v>5150.0867715768836</v>
      </c>
      <c r="G1914" s="27">
        <v>7888.4513068234955</v>
      </c>
      <c r="H1914" s="27">
        <v>10735.856482776202</v>
      </c>
      <c r="I1914" s="27">
        <v>14921.682277239102</v>
      </c>
      <c r="J1914" s="27">
        <v>24774.684211582033</v>
      </c>
      <c r="K1914" s="27">
        <v>47438.649588769651</v>
      </c>
      <c r="L1914" s="27">
        <v>115742.97993255524</v>
      </c>
      <c r="M1914" s="27">
        <v>235002.13528461388</v>
      </c>
    </row>
    <row r="1915" spans="1:13" x14ac:dyDescent="0.75">
      <c r="A1915" s="40">
        <v>1913</v>
      </c>
      <c r="B1915" s="27">
        <v>205.37638576370955</v>
      </c>
      <c r="C1915" s="27">
        <v>708.558804449116</v>
      </c>
      <c r="D1915" s="27">
        <v>1428.0254501722811</v>
      </c>
      <c r="E1915" s="27">
        <v>2934.6051016093115</v>
      </c>
      <c r="F1915" s="27">
        <v>4489.5458829254494</v>
      </c>
      <c r="G1915" s="27">
        <v>7691.0346848908812</v>
      </c>
      <c r="H1915" s="27">
        <v>9990.5262289648235</v>
      </c>
      <c r="I1915" s="27">
        <v>14563.400470709428</v>
      </c>
      <c r="J1915" s="27">
        <v>23079.726976594771</v>
      </c>
      <c r="K1915" s="27">
        <v>44400.588614804932</v>
      </c>
      <c r="L1915" s="27">
        <v>110446.31873819622</v>
      </c>
      <c r="M1915" s="27">
        <v>219937.70733908092</v>
      </c>
    </row>
    <row r="1916" spans="1:13" x14ac:dyDescent="0.75">
      <c r="A1916" s="40">
        <v>1914</v>
      </c>
      <c r="B1916" s="27">
        <v>1127.6457167522458</v>
      </c>
      <c r="C1916" s="27">
        <v>1685.4085174190404</v>
      </c>
      <c r="D1916" s="27">
        <v>2660.1083343113714</v>
      </c>
      <c r="E1916" s="27">
        <v>3793.9444310797844</v>
      </c>
      <c r="F1916" s="27">
        <v>5843.7140078007942</v>
      </c>
      <c r="G1916" s="27">
        <v>8236.4136980769399</v>
      </c>
      <c r="H1916" s="27">
        <v>10621.193208368844</v>
      </c>
      <c r="I1916" s="27">
        <v>15113.611450804863</v>
      </c>
      <c r="J1916" s="27">
        <v>23094.938662054745</v>
      </c>
      <c r="K1916" s="27">
        <v>46912.269111596281</v>
      </c>
      <c r="L1916" s="27">
        <v>108058.72369061827</v>
      </c>
      <c r="M1916" s="27">
        <v>227147.97082888318</v>
      </c>
    </row>
    <row r="1917" spans="1:13" x14ac:dyDescent="0.75">
      <c r="A1917" s="40">
        <v>1915</v>
      </c>
      <c r="B1917" s="27">
        <v>1175.8540234309767</v>
      </c>
      <c r="C1917" s="27">
        <v>1355.4011550791038</v>
      </c>
      <c r="D1917" s="27">
        <v>2080.1668110299215</v>
      </c>
      <c r="E1917" s="27">
        <v>3080.2054533442133</v>
      </c>
      <c r="F1917" s="27">
        <v>5295.1113241702842</v>
      </c>
      <c r="G1917" s="27">
        <v>7791.4256837104913</v>
      </c>
      <c r="H1917" s="27">
        <v>10708.975831919117</v>
      </c>
      <c r="I1917" s="27">
        <v>14543.969799848608</v>
      </c>
      <c r="J1917" s="27">
        <v>23125.099898192682</v>
      </c>
      <c r="K1917" s="27">
        <v>46721.544482289144</v>
      </c>
      <c r="L1917" s="27">
        <v>110830.36242686032</v>
      </c>
      <c r="M1917" s="27">
        <v>226708.11688987486</v>
      </c>
    </row>
    <row r="1918" spans="1:13" x14ac:dyDescent="0.75">
      <c r="A1918" s="40">
        <v>1916</v>
      </c>
      <c r="B1918" s="27">
        <v>1141.767361523991</v>
      </c>
      <c r="C1918" s="27">
        <v>1512.7607051928062</v>
      </c>
      <c r="D1918" s="27">
        <v>2527.3684660931904</v>
      </c>
      <c r="E1918" s="27">
        <v>3475.5262810370914</v>
      </c>
      <c r="F1918" s="27">
        <v>5779.6450524379761</v>
      </c>
      <c r="G1918" s="27">
        <v>8229.1217929291015</v>
      </c>
      <c r="H1918" s="27">
        <v>10831.12832833211</v>
      </c>
      <c r="I1918" s="27">
        <v>14702.455140075064</v>
      </c>
      <c r="J1918" s="27">
        <v>24942.173439447011</v>
      </c>
      <c r="K1918" s="27">
        <v>48237.809791317326</v>
      </c>
      <c r="L1918" s="27">
        <v>112420.88561051028</v>
      </c>
      <c r="M1918" s="27">
        <v>233800.64196889594</v>
      </c>
    </row>
    <row r="1919" spans="1:13" x14ac:dyDescent="0.75">
      <c r="A1919" s="40">
        <v>1917</v>
      </c>
      <c r="B1919" s="27">
        <v>1093.1720542293187</v>
      </c>
      <c r="C1919" s="27">
        <v>1684.7714670205023</v>
      </c>
      <c r="D1919" s="27">
        <v>2318.6784583322733</v>
      </c>
      <c r="E1919" s="27">
        <v>3589.96313238937</v>
      </c>
      <c r="F1919" s="27">
        <v>5848.2926947787928</v>
      </c>
      <c r="G1919" s="27">
        <v>8407.5721260031278</v>
      </c>
      <c r="H1919" s="27">
        <v>11262.201060701453</v>
      </c>
      <c r="I1919" s="27">
        <v>15376.842466645874</v>
      </c>
      <c r="J1919" s="27">
        <v>23187.036282615707</v>
      </c>
      <c r="K1919" s="27">
        <v>48265.821088945828</v>
      </c>
      <c r="L1919" s="27">
        <v>110967.00030140414</v>
      </c>
      <c r="M1919" s="27">
        <v>232001.3511330664</v>
      </c>
    </row>
    <row r="1920" spans="1:13" x14ac:dyDescent="0.75">
      <c r="A1920" s="40">
        <v>1918</v>
      </c>
      <c r="B1920" s="27">
        <v>1106.5408267416351</v>
      </c>
      <c r="C1920" s="27">
        <v>1700.1339142708312</v>
      </c>
      <c r="D1920" s="27">
        <v>2518.449286373434</v>
      </c>
      <c r="E1920" s="27">
        <v>3402.8086527575069</v>
      </c>
      <c r="F1920" s="27">
        <v>5272.5532094202063</v>
      </c>
      <c r="G1920" s="27">
        <v>6956.6115756862273</v>
      </c>
      <c r="H1920" s="27">
        <v>9588.4848568091693</v>
      </c>
      <c r="I1920" s="27">
        <v>14108.516456249257</v>
      </c>
      <c r="J1920" s="27">
        <v>22818.352722888143</v>
      </c>
      <c r="K1920" s="27">
        <v>44733.761912215763</v>
      </c>
      <c r="L1920" s="27">
        <v>107926.88386545319</v>
      </c>
      <c r="M1920" s="27">
        <v>220133.09727886535</v>
      </c>
    </row>
    <row r="1921" spans="1:13" x14ac:dyDescent="0.75">
      <c r="A1921" s="40">
        <v>1919</v>
      </c>
      <c r="B1921" s="27">
        <v>1069.6524106547586</v>
      </c>
      <c r="C1921" s="27">
        <v>1463.3827680109389</v>
      </c>
      <c r="D1921" s="27">
        <v>2361.0360311343247</v>
      </c>
      <c r="E1921" s="27">
        <v>3688.6390797816857</v>
      </c>
      <c r="F1921" s="27">
        <v>5344.671419282342</v>
      </c>
      <c r="G1921" s="27">
        <v>7994.5370653356949</v>
      </c>
      <c r="H1921" s="27">
        <v>10901.075901453412</v>
      </c>
      <c r="I1921" s="27">
        <v>13922.285546612897</v>
      </c>
      <c r="J1921" s="27">
        <v>24040.898508562808</v>
      </c>
      <c r="K1921" s="27">
        <v>46942.806052835862</v>
      </c>
      <c r="L1921" s="27">
        <v>123737.67439296567</v>
      </c>
      <c r="M1921" s="27">
        <v>241466.65917663038</v>
      </c>
    </row>
    <row r="1922" spans="1:13" x14ac:dyDescent="0.75">
      <c r="A1922" s="40">
        <v>1920</v>
      </c>
      <c r="B1922" s="27">
        <v>1222.7907343154657</v>
      </c>
      <c r="C1922" s="27">
        <v>1634.9136633566959</v>
      </c>
      <c r="D1922" s="27">
        <v>2748.1386621663987</v>
      </c>
      <c r="E1922" s="27">
        <v>4327.2425520462275</v>
      </c>
      <c r="F1922" s="27">
        <v>6363.4002113365568</v>
      </c>
      <c r="G1922" s="27">
        <v>8796.3301349074754</v>
      </c>
      <c r="H1922" s="27">
        <v>11262.076710200636</v>
      </c>
      <c r="I1922" s="27">
        <v>15737.966487126541</v>
      </c>
      <c r="J1922" s="27">
        <v>25335.185674046268</v>
      </c>
      <c r="K1922" s="27">
        <v>49422.284667765955</v>
      </c>
      <c r="L1922" s="27">
        <v>109584.2649247096</v>
      </c>
      <c r="M1922" s="27">
        <v>236434.59442197782</v>
      </c>
    </row>
    <row r="1923" spans="1:13" x14ac:dyDescent="0.75">
      <c r="A1923" s="40">
        <v>1921</v>
      </c>
      <c r="B1923" s="27">
        <v>743.81916636470123</v>
      </c>
      <c r="C1923" s="27">
        <v>1124.1134096138267</v>
      </c>
      <c r="D1923" s="27">
        <v>2121.9344337010407</v>
      </c>
      <c r="E1923" s="27">
        <v>3503.923119730578</v>
      </c>
      <c r="F1923" s="27">
        <v>5359.9913887066359</v>
      </c>
      <c r="G1923" s="27">
        <v>7292.9959947890311</v>
      </c>
      <c r="H1923" s="27">
        <v>9659.6145713530859</v>
      </c>
      <c r="I1923" s="27">
        <v>14698.643779530161</v>
      </c>
      <c r="J1923" s="27">
        <v>23311.554787943605</v>
      </c>
      <c r="K1923" s="27">
        <v>45124.804309688305</v>
      </c>
      <c r="L1923" s="27">
        <v>113368.94539210651</v>
      </c>
      <c r="M1923" s="27">
        <v>226310.34035352748</v>
      </c>
    </row>
    <row r="1924" spans="1:13" x14ac:dyDescent="0.75">
      <c r="A1924" s="40">
        <v>1922</v>
      </c>
      <c r="B1924" s="27">
        <v>748.31759037608572</v>
      </c>
      <c r="C1924" s="27">
        <v>1308.1448477340891</v>
      </c>
      <c r="D1924" s="27">
        <v>2106.5873059551814</v>
      </c>
      <c r="E1924" s="27">
        <v>3122.7665657559264</v>
      </c>
      <c r="F1924" s="27">
        <v>5185.2824883302674</v>
      </c>
      <c r="G1924" s="27">
        <v>7469.2139722745051</v>
      </c>
      <c r="H1924" s="27">
        <v>10243.838642687246</v>
      </c>
      <c r="I1924" s="27">
        <v>13871.920905034538</v>
      </c>
      <c r="J1924" s="27">
        <v>21920.797059762117</v>
      </c>
      <c r="K1924" s="27">
        <v>46789.898784330086</v>
      </c>
      <c r="L1924" s="27">
        <v>119894.13380999332</v>
      </c>
      <c r="M1924" s="27">
        <v>232660.90197223338</v>
      </c>
    </row>
    <row r="1925" spans="1:13" x14ac:dyDescent="0.75">
      <c r="A1925" s="40">
        <v>1923</v>
      </c>
      <c r="B1925" s="27">
        <v>449.24357896391302</v>
      </c>
      <c r="C1925" s="27">
        <v>830.22866279314621</v>
      </c>
      <c r="D1925" s="27">
        <v>1352.6838238661876</v>
      </c>
      <c r="E1925" s="27">
        <v>2332.9408627809316</v>
      </c>
      <c r="F1925" s="27">
        <v>4150.2829192789504</v>
      </c>
      <c r="G1925" s="27">
        <v>6544.2137103271089</v>
      </c>
      <c r="H1925" s="27">
        <v>9283.9621939704521</v>
      </c>
      <c r="I1925" s="27">
        <v>13800.285117412262</v>
      </c>
      <c r="J1925" s="27">
        <v>21055.087041330044</v>
      </c>
      <c r="K1925" s="27">
        <v>42885.428433292807</v>
      </c>
      <c r="L1925" s="27">
        <v>110190.64642019618</v>
      </c>
      <c r="M1925" s="27">
        <v>212875.00276421197</v>
      </c>
    </row>
    <row r="1926" spans="1:13" x14ac:dyDescent="0.75">
      <c r="A1926" s="40">
        <v>1924</v>
      </c>
      <c r="B1926" s="27">
        <v>454.75034759355185</v>
      </c>
      <c r="C1926" s="27">
        <v>1006.4209858632821</v>
      </c>
      <c r="D1926" s="27">
        <v>1812.3439858272177</v>
      </c>
      <c r="E1926" s="27">
        <v>2917.5781031678634</v>
      </c>
      <c r="F1926" s="27">
        <v>4877.9910012664623</v>
      </c>
      <c r="G1926" s="27">
        <v>7509.0990165490366</v>
      </c>
      <c r="H1926" s="27">
        <v>9951.5457086600072</v>
      </c>
      <c r="I1926" s="27">
        <v>13714.759380353222</v>
      </c>
      <c r="J1926" s="27">
        <v>22156.464717205614</v>
      </c>
      <c r="K1926" s="27">
        <v>46471.8523716583</v>
      </c>
      <c r="L1926" s="27">
        <v>114813.84037771882</v>
      </c>
      <c r="M1926" s="27">
        <v>225686.64599586336</v>
      </c>
    </row>
    <row r="1927" spans="1:13" x14ac:dyDescent="0.75">
      <c r="A1927" s="40">
        <v>1925</v>
      </c>
      <c r="B1927" s="27">
        <v>792.75527970105759</v>
      </c>
      <c r="C1927" s="27">
        <v>1141.2763797449443</v>
      </c>
      <c r="D1927" s="27">
        <v>2170.0932359504513</v>
      </c>
      <c r="E1927" s="27">
        <v>3247.7006436078227</v>
      </c>
      <c r="F1927" s="27">
        <v>5325.604606494162</v>
      </c>
      <c r="G1927" s="27">
        <v>7895.2265251212229</v>
      </c>
      <c r="H1927" s="27">
        <v>10070.227337360615</v>
      </c>
      <c r="I1927" s="27">
        <v>14609.278225521091</v>
      </c>
      <c r="J1927" s="27">
        <v>22334.474936794868</v>
      </c>
      <c r="K1927" s="27">
        <v>46336.890168362283</v>
      </c>
      <c r="L1927" s="27">
        <v>113263.17468528886</v>
      </c>
      <c r="M1927" s="27">
        <v>227186.70202394738</v>
      </c>
    </row>
    <row r="1928" spans="1:13" x14ac:dyDescent="0.75">
      <c r="A1928" s="40">
        <v>1926</v>
      </c>
      <c r="B1928" s="27">
        <v>1037.8174945635546</v>
      </c>
      <c r="C1928" s="27">
        <v>1416.5232890418119</v>
      </c>
      <c r="D1928" s="27">
        <v>2305.3603499612655</v>
      </c>
      <c r="E1928" s="27">
        <v>3454.2013567135727</v>
      </c>
      <c r="F1928" s="27">
        <v>5972.2889462834864</v>
      </c>
      <c r="G1928" s="27">
        <v>8580.9397163680987</v>
      </c>
      <c r="H1928" s="27">
        <v>10848.243453664865</v>
      </c>
      <c r="I1928" s="27">
        <v>14839.328222082171</v>
      </c>
      <c r="J1928" s="27">
        <v>23778.814351313311</v>
      </c>
      <c r="K1928" s="27">
        <v>47650.763224891372</v>
      </c>
      <c r="L1928" s="27">
        <v>104927.19393745318</v>
      </c>
      <c r="M1928" s="27">
        <v>224811.4743423367</v>
      </c>
    </row>
    <row r="1929" spans="1:13" x14ac:dyDescent="0.75">
      <c r="A1929" s="40">
        <v>1927</v>
      </c>
      <c r="B1929" s="27">
        <v>723.62500406293839</v>
      </c>
      <c r="C1929" s="27">
        <v>1193.4291879426601</v>
      </c>
      <c r="D1929" s="27">
        <v>1787.8231689365348</v>
      </c>
      <c r="E1929" s="27">
        <v>2957.6054245766427</v>
      </c>
      <c r="F1929" s="27">
        <v>4940.6820440230367</v>
      </c>
      <c r="G1929" s="27">
        <v>7118.8608226176293</v>
      </c>
      <c r="H1929" s="27">
        <v>10331.486254994379</v>
      </c>
      <c r="I1929" s="27">
        <v>14265.637610851176</v>
      </c>
      <c r="J1929" s="27">
        <v>21591.470515720168</v>
      </c>
      <c r="K1929" s="27">
        <v>45865.563680153762</v>
      </c>
      <c r="L1929" s="27">
        <v>107246.7175660763</v>
      </c>
      <c r="M1929" s="27">
        <v>218022.90127995523</v>
      </c>
    </row>
    <row r="1930" spans="1:13" x14ac:dyDescent="0.75">
      <c r="A1930" s="40">
        <v>1928</v>
      </c>
      <c r="B1930" s="27">
        <v>520.30047711935185</v>
      </c>
      <c r="C1930" s="27">
        <v>1103.0887301439652</v>
      </c>
      <c r="D1930" s="27">
        <v>2280.3386814871774</v>
      </c>
      <c r="E1930" s="27">
        <v>3340.3729436208669</v>
      </c>
      <c r="F1930" s="27">
        <v>5346.4919543499709</v>
      </c>
      <c r="G1930" s="27">
        <v>7849.5263119159499</v>
      </c>
      <c r="H1930" s="27">
        <v>9909.1916793474375</v>
      </c>
      <c r="I1930" s="27">
        <v>14059.750934780255</v>
      </c>
      <c r="J1930" s="27">
        <v>22373.341785717363</v>
      </c>
      <c r="K1930" s="27">
        <v>47227.610917470025</v>
      </c>
      <c r="L1930" s="27">
        <v>113664.22350144773</v>
      </c>
      <c r="M1930" s="27">
        <v>227674.23791740008</v>
      </c>
    </row>
    <row r="1931" spans="1:13" x14ac:dyDescent="0.75">
      <c r="A1931" s="40">
        <v>1929</v>
      </c>
      <c r="B1931" s="27">
        <v>1190.4987644306384</v>
      </c>
      <c r="C1931" s="27">
        <v>1617.8501197170262</v>
      </c>
      <c r="D1931" s="27">
        <v>2411.2271162928228</v>
      </c>
      <c r="E1931" s="27">
        <v>3428.8846101439849</v>
      </c>
      <c r="F1931" s="27">
        <v>5116.9700666301069</v>
      </c>
      <c r="G1931" s="27">
        <v>7767.8653426107194</v>
      </c>
      <c r="H1931" s="27">
        <v>10625.316973489549</v>
      </c>
      <c r="I1931" s="27">
        <v>14602.730285395548</v>
      </c>
      <c r="J1931" s="27">
        <v>22821.254638597005</v>
      </c>
      <c r="K1931" s="27">
        <v>46706.317922853486</v>
      </c>
      <c r="L1931" s="27">
        <v>111567.93165184368</v>
      </c>
      <c r="M1931" s="27">
        <v>227856.84749200457</v>
      </c>
    </row>
    <row r="1932" spans="1:13" x14ac:dyDescent="0.75">
      <c r="A1932" s="40">
        <v>1930</v>
      </c>
      <c r="B1932" s="27">
        <v>514.68979350167501</v>
      </c>
      <c r="C1932" s="27">
        <v>903.25768103639712</v>
      </c>
      <c r="D1932" s="27">
        <v>1658.0723505423084</v>
      </c>
      <c r="E1932" s="27">
        <v>2622.1676885294874</v>
      </c>
      <c r="F1932" s="27">
        <v>4636.6023233377346</v>
      </c>
      <c r="G1932" s="27">
        <v>7161.7743129294831</v>
      </c>
      <c r="H1932" s="27">
        <v>10034.067843516299</v>
      </c>
      <c r="I1932" s="27">
        <v>13762.628939277667</v>
      </c>
      <c r="J1932" s="27">
        <v>23519.555117688244</v>
      </c>
      <c r="K1932" s="27">
        <v>45435.337266879578</v>
      </c>
      <c r="L1932" s="27">
        <v>111918.6068161623</v>
      </c>
      <c r="M1932" s="27">
        <v>222166.76013340117</v>
      </c>
    </row>
    <row r="1933" spans="1:13" x14ac:dyDescent="0.75">
      <c r="A1933" s="40">
        <v>1931</v>
      </c>
      <c r="B1933" s="27">
        <v>1433.2193205765507</v>
      </c>
      <c r="C1933" s="27">
        <v>2324.0794930392294</v>
      </c>
      <c r="D1933" s="27">
        <v>3294.5868591662147</v>
      </c>
      <c r="E1933" s="27">
        <v>4509.1714389366825</v>
      </c>
      <c r="F1933" s="27">
        <v>6560.3930431307817</v>
      </c>
      <c r="G1933" s="27">
        <v>8999.1955265412398</v>
      </c>
      <c r="H1933" s="27">
        <v>11467.282401758537</v>
      </c>
      <c r="I1933" s="27">
        <v>15282.333295197168</v>
      </c>
      <c r="J1933" s="27">
        <v>25523.99086425225</v>
      </c>
      <c r="K1933" s="27">
        <v>51141.822717999778</v>
      </c>
      <c r="L1933" s="27">
        <v>112699.92747255712</v>
      </c>
      <c r="M1933" s="27">
        <v>243236.00243315555</v>
      </c>
    </row>
    <row r="1934" spans="1:13" x14ac:dyDescent="0.75">
      <c r="A1934" s="40">
        <v>1932</v>
      </c>
      <c r="B1934" s="27">
        <v>648.03157035069307</v>
      </c>
      <c r="C1934" s="27">
        <v>1063.4014148905117</v>
      </c>
      <c r="D1934" s="27">
        <v>1854.2864953911485</v>
      </c>
      <c r="E1934" s="27">
        <v>2947.3475430016115</v>
      </c>
      <c r="F1934" s="27">
        <v>4414.9163554076076</v>
      </c>
      <c r="G1934" s="27">
        <v>6753.6884510504897</v>
      </c>
      <c r="H1934" s="27">
        <v>9647.6507498312421</v>
      </c>
      <c r="I1934" s="27">
        <v>13344.348159853034</v>
      </c>
      <c r="J1934" s="27">
        <v>22255.556931324914</v>
      </c>
      <c r="K1934" s="27">
        <v>47640.097833627617</v>
      </c>
      <c r="L1934" s="27">
        <v>105539.26949657053</v>
      </c>
      <c r="M1934" s="27">
        <v>216108.5950012994</v>
      </c>
    </row>
    <row r="1935" spans="1:13" x14ac:dyDescent="0.75">
      <c r="A1935" s="40">
        <v>1933</v>
      </c>
      <c r="B1935" s="27">
        <v>496.88541801390238</v>
      </c>
      <c r="C1935" s="27">
        <v>860.51456604164559</v>
      </c>
      <c r="D1935" s="27">
        <v>1536.1656070636091</v>
      </c>
      <c r="E1935" s="27">
        <v>2818.8576055450685</v>
      </c>
      <c r="F1935" s="27">
        <v>4998.4662501338462</v>
      </c>
      <c r="G1935" s="27">
        <v>6664.1666757073253</v>
      </c>
      <c r="H1935" s="27">
        <v>9691.4865057613788</v>
      </c>
      <c r="I1935" s="27">
        <v>13712.722348117793</v>
      </c>
      <c r="J1935" s="27">
        <v>23017.892181733099</v>
      </c>
      <c r="K1935" s="27">
        <v>46064.944766485278</v>
      </c>
      <c r="L1935" s="27">
        <v>116071.88281911486</v>
      </c>
      <c r="M1935" s="27">
        <v>225933.98474371783</v>
      </c>
    </row>
    <row r="1936" spans="1:13" x14ac:dyDescent="0.75">
      <c r="A1936" s="40">
        <v>1934</v>
      </c>
      <c r="B1936" s="27">
        <v>194.92670602380531</v>
      </c>
      <c r="C1936" s="27">
        <v>593.5172982592776</v>
      </c>
      <c r="D1936" s="27">
        <v>1357.8925696353981</v>
      </c>
      <c r="E1936" s="27">
        <v>2421.284899702805</v>
      </c>
      <c r="F1936" s="27">
        <v>4172.7939153665939</v>
      </c>
      <c r="G1936" s="27">
        <v>6679.5256500605901</v>
      </c>
      <c r="H1936" s="27">
        <v>9375.3101613149047</v>
      </c>
      <c r="I1936" s="27">
        <v>13081.449710411951</v>
      </c>
      <c r="J1936" s="27">
        <v>21004.963754864235</v>
      </c>
      <c r="K1936" s="27">
        <v>45451.773010266988</v>
      </c>
      <c r="L1936" s="27">
        <v>113124.20418269309</v>
      </c>
      <c r="M1936" s="27">
        <v>217457.64185859964</v>
      </c>
    </row>
    <row r="1937" spans="1:13" x14ac:dyDescent="0.75">
      <c r="A1937" s="40">
        <v>1935</v>
      </c>
      <c r="B1937" s="27">
        <v>402.29479011005606</v>
      </c>
      <c r="C1937" s="27">
        <v>799.1197546836338</v>
      </c>
      <c r="D1937" s="27">
        <v>1750.3615826923051</v>
      </c>
      <c r="E1937" s="27">
        <v>2928.2467511496943</v>
      </c>
      <c r="F1937" s="27">
        <v>4636.9019097722776</v>
      </c>
      <c r="G1937" s="27">
        <v>7173.2871098025644</v>
      </c>
      <c r="H1937" s="27">
        <v>10031.561370538926</v>
      </c>
      <c r="I1937" s="27">
        <v>13645.453453947979</v>
      </c>
      <c r="J1937" s="27">
        <v>22520.99592305407</v>
      </c>
      <c r="K1937" s="27">
        <v>47066.469810202878</v>
      </c>
      <c r="L1937" s="27">
        <v>118164.11653572414</v>
      </c>
      <c r="M1937" s="27">
        <v>229118.80899167852</v>
      </c>
    </row>
    <row r="1938" spans="1:13" x14ac:dyDescent="0.75">
      <c r="A1938" s="40">
        <v>1936</v>
      </c>
      <c r="B1938" s="27">
        <v>762.66644641700259</v>
      </c>
      <c r="C1938" s="27">
        <v>1400.7664710963581</v>
      </c>
      <c r="D1938" s="27">
        <v>2223.4315495677874</v>
      </c>
      <c r="E1938" s="27">
        <v>3454.5552328188933</v>
      </c>
      <c r="F1938" s="27">
        <v>5200.5775114970456</v>
      </c>
      <c r="G1938" s="27">
        <v>7572.7535696292471</v>
      </c>
      <c r="H1938" s="27">
        <v>10207.290089641698</v>
      </c>
      <c r="I1938" s="27">
        <v>14570.154149069422</v>
      </c>
      <c r="J1938" s="27">
        <v>23187.623182264593</v>
      </c>
      <c r="K1938" s="27">
        <v>48638.044218274968</v>
      </c>
      <c r="L1938" s="27">
        <v>120822.44615351903</v>
      </c>
      <c r="M1938" s="27">
        <v>238040.30857379606</v>
      </c>
    </row>
    <row r="1939" spans="1:13" x14ac:dyDescent="0.75">
      <c r="A1939" s="40">
        <v>1937</v>
      </c>
      <c r="B1939" s="27">
        <v>747.50656706847076</v>
      </c>
      <c r="C1939" s="27">
        <v>1024.13912965903</v>
      </c>
      <c r="D1939" s="27">
        <v>1937.2586866269121</v>
      </c>
      <c r="E1939" s="27">
        <v>3159.3831922105164</v>
      </c>
      <c r="F1939" s="27">
        <v>4565.4447751213738</v>
      </c>
      <c r="G1939" s="27">
        <v>6666.6136566950881</v>
      </c>
      <c r="H1939" s="27">
        <v>9511.2201921491796</v>
      </c>
      <c r="I1939" s="27">
        <v>13638.886715294691</v>
      </c>
      <c r="J1939" s="27">
        <v>22979.663989774737</v>
      </c>
      <c r="K1939" s="27">
        <v>43440.500949313078</v>
      </c>
      <c r="L1939" s="27">
        <v>106004.53833424872</v>
      </c>
      <c r="M1939" s="27">
        <v>213675.15618816181</v>
      </c>
    </row>
    <row r="1940" spans="1:13" x14ac:dyDescent="0.75">
      <c r="A1940" s="40">
        <v>1938</v>
      </c>
      <c r="B1940" s="27">
        <v>1204.7130089443235</v>
      </c>
      <c r="C1940" s="27">
        <v>1837.6105623207841</v>
      </c>
      <c r="D1940" s="27">
        <v>2553.9315351263067</v>
      </c>
      <c r="E1940" s="27">
        <v>3777.3629211798398</v>
      </c>
      <c r="F1940" s="27">
        <v>5805.8008366955037</v>
      </c>
      <c r="G1940" s="27">
        <v>7973.8469617095252</v>
      </c>
      <c r="H1940" s="27">
        <v>10635.65780815162</v>
      </c>
      <c r="I1940" s="27">
        <v>14860.731325410728</v>
      </c>
      <c r="J1940" s="27">
        <v>24106.775278927293</v>
      </c>
      <c r="K1940" s="27">
        <v>49894.04668074855</v>
      </c>
      <c r="L1940" s="27">
        <v>108352.20666093095</v>
      </c>
      <c r="M1940" s="27">
        <v>231002.68358014541</v>
      </c>
    </row>
    <row r="1941" spans="1:13" x14ac:dyDescent="0.75">
      <c r="A1941" s="40">
        <v>1939</v>
      </c>
      <c r="B1941" s="27">
        <v>914.75542050809599</v>
      </c>
      <c r="C1941" s="27">
        <v>1262.1924727342703</v>
      </c>
      <c r="D1941" s="27">
        <v>2644.5533648947894</v>
      </c>
      <c r="E1941" s="27">
        <v>3991.1944862967212</v>
      </c>
      <c r="F1941" s="27">
        <v>5864.6956393081346</v>
      </c>
      <c r="G1941" s="27">
        <v>8353.1847819402756</v>
      </c>
      <c r="H1941" s="27">
        <v>10566.256006439187</v>
      </c>
      <c r="I1941" s="27">
        <v>15631.666799403305</v>
      </c>
      <c r="J1941" s="27">
        <v>24547.670927524843</v>
      </c>
      <c r="K1941" s="27">
        <v>46286.152003250783</v>
      </c>
      <c r="L1941" s="27">
        <v>111053.18783371826</v>
      </c>
      <c r="M1941" s="27">
        <v>231115.50973601866</v>
      </c>
    </row>
    <row r="1942" spans="1:13" x14ac:dyDescent="0.75">
      <c r="A1942" s="40">
        <v>1940</v>
      </c>
      <c r="B1942" s="27">
        <v>788.49594811938005</v>
      </c>
      <c r="C1942" s="27">
        <v>1565.8787014467089</v>
      </c>
      <c r="D1942" s="27">
        <v>2572.8288679144171</v>
      </c>
      <c r="E1942" s="27">
        <v>3637.4539900536474</v>
      </c>
      <c r="F1942" s="27">
        <v>5592.9313871033373</v>
      </c>
      <c r="G1942" s="27">
        <v>7741.433924177778</v>
      </c>
      <c r="H1942" s="27">
        <v>10594.082344589333</v>
      </c>
      <c r="I1942" s="27">
        <v>15229.102365496321</v>
      </c>
      <c r="J1942" s="27">
        <v>23412.079033952396</v>
      </c>
      <c r="K1942" s="27">
        <v>47713.464649813715</v>
      </c>
      <c r="L1942" s="27">
        <v>110930.51606472749</v>
      </c>
      <c r="M1942" s="27">
        <v>229778.26727739454</v>
      </c>
    </row>
    <row r="1943" spans="1:13" x14ac:dyDescent="0.75">
      <c r="A1943" s="40">
        <v>1941</v>
      </c>
      <c r="B1943" s="27">
        <v>821.87690053561528</v>
      </c>
      <c r="C1943" s="27">
        <v>1246.9446654371131</v>
      </c>
      <c r="D1943" s="27">
        <v>2290.3964126323408</v>
      </c>
      <c r="E1943" s="27">
        <v>3107.5721858854668</v>
      </c>
      <c r="F1943" s="27">
        <v>5077.5410464908637</v>
      </c>
      <c r="G1943" s="27">
        <v>7418.3939160072769</v>
      </c>
      <c r="H1943" s="27">
        <v>9385.4152530224528</v>
      </c>
      <c r="I1943" s="27">
        <v>13903.650942470151</v>
      </c>
      <c r="J1943" s="27">
        <v>22963.360962023595</v>
      </c>
      <c r="K1943" s="27">
        <v>46981.94205356887</v>
      </c>
      <c r="L1943" s="27">
        <v>112237.65646641835</v>
      </c>
      <c r="M1943" s="27">
        <v>225434.7508044921</v>
      </c>
    </row>
    <row r="1944" spans="1:13" x14ac:dyDescent="0.75">
      <c r="A1944" s="40">
        <v>1942</v>
      </c>
      <c r="B1944" s="27">
        <v>875.70444788559689</v>
      </c>
      <c r="C1944" s="27">
        <v>1390.8621303729742</v>
      </c>
      <c r="D1944" s="27">
        <v>2098.7303924605803</v>
      </c>
      <c r="E1944" s="27">
        <v>3283.8056001664663</v>
      </c>
      <c r="F1944" s="27">
        <v>4915.4087890371011</v>
      </c>
      <c r="G1944" s="27">
        <v>7137.3091775565408</v>
      </c>
      <c r="H1944" s="27">
        <v>10080.308855143754</v>
      </c>
      <c r="I1944" s="27">
        <v>14055.247848069339</v>
      </c>
      <c r="J1944" s="27">
        <v>23533.382921500975</v>
      </c>
      <c r="K1944" s="27">
        <v>49106.060786474787</v>
      </c>
      <c r="L1944" s="27">
        <v>109924.03037921188</v>
      </c>
      <c r="M1944" s="27">
        <v>226400.85132787999</v>
      </c>
    </row>
    <row r="1945" spans="1:13" x14ac:dyDescent="0.75">
      <c r="A1945" s="40">
        <v>1943</v>
      </c>
      <c r="B1945" s="27">
        <v>813.05221470925608</v>
      </c>
      <c r="C1945" s="27">
        <v>1719.9212455334346</v>
      </c>
      <c r="D1945" s="27">
        <v>2390.6129279274028</v>
      </c>
      <c r="E1945" s="27">
        <v>3330.1001214024582</v>
      </c>
      <c r="F1945" s="27">
        <v>5642.7671892015496</v>
      </c>
      <c r="G1945" s="27">
        <v>7732.5283215586969</v>
      </c>
      <c r="H1945" s="27">
        <v>10028.187036955933</v>
      </c>
      <c r="I1945" s="27">
        <v>14962.612438267388</v>
      </c>
      <c r="J1945" s="27">
        <v>24874.770955052649</v>
      </c>
      <c r="K1945" s="27">
        <v>47737.453377799087</v>
      </c>
      <c r="L1945" s="27">
        <v>109425.70277020449</v>
      </c>
      <c r="M1945" s="27">
        <v>228657.70859861234</v>
      </c>
    </row>
    <row r="1946" spans="1:13" x14ac:dyDescent="0.75">
      <c r="A1946" s="40">
        <v>1944</v>
      </c>
      <c r="B1946" s="27">
        <v>1218.2785424217582</v>
      </c>
      <c r="C1946" s="27">
        <v>1680.033134120793</v>
      </c>
      <c r="D1946" s="27">
        <v>2693.4669771466288</v>
      </c>
      <c r="E1946" s="27">
        <v>3789.4051376500574</v>
      </c>
      <c r="F1946" s="27">
        <v>6062.6052879006893</v>
      </c>
      <c r="G1946" s="27">
        <v>8547.9678459943098</v>
      </c>
      <c r="H1946" s="27">
        <v>11168.073209477297</v>
      </c>
      <c r="I1946" s="27">
        <v>15167.746360184436</v>
      </c>
      <c r="J1946" s="27">
        <v>23537.982204555432</v>
      </c>
      <c r="K1946" s="27">
        <v>48446.731391065434</v>
      </c>
      <c r="L1946" s="27">
        <v>113021.79692862817</v>
      </c>
      <c r="M1946" s="27">
        <v>235334.08701914502</v>
      </c>
    </row>
    <row r="1947" spans="1:13" x14ac:dyDescent="0.75">
      <c r="A1947" s="40">
        <v>1945</v>
      </c>
      <c r="B1947" s="27">
        <v>836.53022276192496</v>
      </c>
      <c r="C1947" s="27">
        <v>1145.5830554816639</v>
      </c>
      <c r="D1947" s="27">
        <v>2118.2827566460182</v>
      </c>
      <c r="E1947" s="27">
        <v>2889.237418914563</v>
      </c>
      <c r="F1947" s="27">
        <v>5123.5006168127002</v>
      </c>
      <c r="G1947" s="27">
        <v>6950.3263826920011</v>
      </c>
      <c r="H1947" s="27">
        <v>9307.9216921021143</v>
      </c>
      <c r="I1947" s="27">
        <v>13319.666997697132</v>
      </c>
      <c r="J1947" s="27">
        <v>22393.648913977493</v>
      </c>
      <c r="K1947" s="27">
        <v>46477.732885284349</v>
      </c>
      <c r="L1947" s="27">
        <v>110961.15971994157</v>
      </c>
      <c r="M1947" s="27">
        <v>221523.59066231153</v>
      </c>
    </row>
    <row r="1948" spans="1:13" x14ac:dyDescent="0.75">
      <c r="A1948" s="40">
        <v>1946</v>
      </c>
      <c r="B1948" s="27">
        <v>1098.7947931405797</v>
      </c>
      <c r="C1948" s="27">
        <v>1845.6437863443862</v>
      </c>
      <c r="D1948" s="27">
        <v>2580.0916955702123</v>
      </c>
      <c r="E1948" s="27">
        <v>3877.5594935650879</v>
      </c>
      <c r="F1948" s="27">
        <v>5853.3337143970421</v>
      </c>
      <c r="G1948" s="27">
        <v>8572.4782352623879</v>
      </c>
      <c r="H1948" s="27">
        <v>10460.783665620038</v>
      </c>
      <c r="I1948" s="27">
        <v>15335.973618414486</v>
      </c>
      <c r="J1948" s="27">
        <v>24126.279671370576</v>
      </c>
      <c r="K1948" s="27">
        <v>45011.072413873713</v>
      </c>
      <c r="L1948" s="27">
        <v>116167.11388237795</v>
      </c>
      <c r="M1948" s="27">
        <v>234929.12496993644</v>
      </c>
    </row>
    <row r="1949" spans="1:13" x14ac:dyDescent="0.75">
      <c r="A1949" s="40">
        <v>1947</v>
      </c>
      <c r="B1949" s="27">
        <v>602.80794617929496</v>
      </c>
      <c r="C1949" s="27">
        <v>1132.7968934090895</v>
      </c>
      <c r="D1949" s="27">
        <v>1959.2240870424721</v>
      </c>
      <c r="E1949" s="27">
        <v>3243.1504799019604</v>
      </c>
      <c r="F1949" s="27">
        <v>5161.8137889159552</v>
      </c>
      <c r="G1949" s="27">
        <v>7646.2136131040461</v>
      </c>
      <c r="H1949" s="27">
        <v>10089.26649864309</v>
      </c>
      <c r="I1949" s="27">
        <v>13452.404941044821</v>
      </c>
      <c r="J1949" s="27">
        <v>22176.074301878791</v>
      </c>
      <c r="K1949" s="27">
        <v>46161.483693477028</v>
      </c>
      <c r="L1949" s="27">
        <v>104794.94325416646</v>
      </c>
      <c r="M1949" s="27">
        <v>216420.17949776299</v>
      </c>
    </row>
    <row r="1950" spans="1:13" x14ac:dyDescent="0.75">
      <c r="A1950" s="40">
        <v>1948</v>
      </c>
      <c r="B1950" s="27">
        <v>292.97696038913273</v>
      </c>
      <c r="C1950" s="27">
        <v>741.57038745937461</v>
      </c>
      <c r="D1950" s="27">
        <v>1875.2538090793678</v>
      </c>
      <c r="E1950" s="27">
        <v>2945.644365276079</v>
      </c>
      <c r="F1950" s="27">
        <v>5018.8949181405769</v>
      </c>
      <c r="G1950" s="27">
        <v>7315.8136173925595</v>
      </c>
      <c r="H1950" s="27">
        <v>9846.3397264020023</v>
      </c>
      <c r="I1950" s="27">
        <v>13998.230678219043</v>
      </c>
      <c r="J1950" s="27">
        <v>23079.884834502998</v>
      </c>
      <c r="K1950" s="27">
        <v>48126.128540174017</v>
      </c>
      <c r="L1950" s="27">
        <v>113234.73302258813</v>
      </c>
      <c r="M1950" s="27">
        <v>226475.47085962328</v>
      </c>
    </row>
    <row r="1951" spans="1:13" x14ac:dyDescent="0.75">
      <c r="A1951" s="40">
        <v>1949</v>
      </c>
      <c r="B1951" s="27">
        <v>405.67898849010817</v>
      </c>
      <c r="C1951" s="27">
        <v>1081.2249457355938</v>
      </c>
      <c r="D1951" s="27">
        <v>1775.2627614724479</v>
      </c>
      <c r="E1951" s="27">
        <v>2908.362654010416</v>
      </c>
      <c r="F1951" s="27">
        <v>4871.8596995955158</v>
      </c>
      <c r="G1951" s="27">
        <v>7645.6332372892939</v>
      </c>
      <c r="H1951" s="27">
        <v>9936.0591428074549</v>
      </c>
      <c r="I1951" s="27">
        <v>14521.919725564847</v>
      </c>
      <c r="J1951" s="27">
        <v>24609.886228286356</v>
      </c>
      <c r="K1951" s="27">
        <v>48313.04666810995</v>
      </c>
      <c r="L1951" s="27">
        <v>120908.12586155909</v>
      </c>
      <c r="M1951" s="27">
        <v>236977.05991292108</v>
      </c>
    </row>
    <row r="1952" spans="1:13" x14ac:dyDescent="0.75">
      <c r="A1952" s="40">
        <v>1950</v>
      </c>
      <c r="B1952" s="27">
        <v>450.04197829816258</v>
      </c>
      <c r="C1952" s="27">
        <v>962.22706210339675</v>
      </c>
      <c r="D1952" s="27">
        <v>1695.0987412743561</v>
      </c>
      <c r="E1952" s="27">
        <v>2921.9599770567147</v>
      </c>
      <c r="F1952" s="27">
        <v>5086.943985486665</v>
      </c>
      <c r="G1952" s="27">
        <v>7808.9388649884495</v>
      </c>
      <c r="H1952" s="27">
        <v>10170.148472567074</v>
      </c>
      <c r="I1952" s="27">
        <v>14347.573522250328</v>
      </c>
      <c r="J1952" s="27">
        <v>22821.655689656676</v>
      </c>
      <c r="K1952" s="27">
        <v>48896.987950211435</v>
      </c>
      <c r="L1952" s="27">
        <v>106995.59156150246</v>
      </c>
      <c r="M1952" s="27">
        <v>222157.16780539573</v>
      </c>
    </row>
    <row r="1953" spans="1:13" x14ac:dyDescent="0.75">
      <c r="A1953" s="40">
        <v>1951</v>
      </c>
      <c r="B1953" s="27">
        <v>1114.3904510969442</v>
      </c>
      <c r="C1953" s="27">
        <v>1554.2266732921416</v>
      </c>
      <c r="D1953" s="27">
        <v>2504.4447226291959</v>
      </c>
      <c r="E1953" s="27">
        <v>3762.919433274903</v>
      </c>
      <c r="F1953" s="27">
        <v>5693.9298422375141</v>
      </c>
      <c r="G1953" s="27">
        <v>8007.9289900980657</v>
      </c>
      <c r="H1953" s="27">
        <v>10585.614885871415</v>
      </c>
      <c r="I1953" s="27">
        <v>14163.436119258593</v>
      </c>
      <c r="J1953" s="27">
        <v>23756.392681480414</v>
      </c>
      <c r="K1953" s="27">
        <v>44803.757926214807</v>
      </c>
      <c r="L1953" s="27">
        <v>118576.54903999457</v>
      </c>
      <c r="M1953" s="27">
        <v>234523.59076544858</v>
      </c>
    </row>
    <row r="1954" spans="1:13" x14ac:dyDescent="0.75">
      <c r="A1954" s="40">
        <v>1952</v>
      </c>
      <c r="B1954" s="27">
        <v>686.18750252427708</v>
      </c>
      <c r="C1954" s="27">
        <v>1487.4320979179756</v>
      </c>
      <c r="D1954" s="27">
        <v>2613.191394340407</v>
      </c>
      <c r="E1954" s="27">
        <v>3588.7330648493953</v>
      </c>
      <c r="F1954" s="27">
        <v>5751.3388877674588</v>
      </c>
      <c r="G1954" s="27">
        <v>8093.1134101075586</v>
      </c>
      <c r="H1954" s="27">
        <v>10556.06301552715</v>
      </c>
      <c r="I1954" s="27">
        <v>14806.319007419763</v>
      </c>
      <c r="J1954" s="27">
        <v>22373.750260931498</v>
      </c>
      <c r="K1954" s="27">
        <v>48194.980618056885</v>
      </c>
      <c r="L1954" s="27">
        <v>109162.389455717</v>
      </c>
      <c r="M1954" s="27">
        <v>227313.49871515937</v>
      </c>
    </row>
    <row r="1955" spans="1:13" x14ac:dyDescent="0.75">
      <c r="A1955" s="40">
        <v>1953</v>
      </c>
      <c r="B1955" s="27">
        <v>1066.3327806092711</v>
      </c>
      <c r="C1955" s="27">
        <v>1637.6698338494753</v>
      </c>
      <c r="D1955" s="27">
        <v>2642.2148198316572</v>
      </c>
      <c r="E1955" s="27">
        <v>3429.6110376509896</v>
      </c>
      <c r="F1955" s="27">
        <v>5516.672224470909</v>
      </c>
      <c r="G1955" s="27">
        <v>7502.3505172992591</v>
      </c>
      <c r="H1955" s="27">
        <v>10260.82302988111</v>
      </c>
      <c r="I1955" s="27">
        <v>14348.99367159477</v>
      </c>
      <c r="J1955" s="27">
        <v>23004.544053119564</v>
      </c>
      <c r="K1955" s="27">
        <v>48310.102069515677</v>
      </c>
      <c r="L1955" s="27">
        <v>109232.3598907999</v>
      </c>
      <c r="M1955" s="27">
        <v>226951.67392862256</v>
      </c>
    </row>
    <row r="1956" spans="1:13" x14ac:dyDescent="0.75">
      <c r="A1956" s="40">
        <v>1954</v>
      </c>
      <c r="B1956" s="27">
        <v>578.46149938303279</v>
      </c>
      <c r="C1956" s="27">
        <v>823.79095549145131</v>
      </c>
      <c r="D1956" s="27">
        <v>1754.7298915317078</v>
      </c>
      <c r="E1956" s="27">
        <v>2656.5755747884978</v>
      </c>
      <c r="F1956" s="27">
        <v>4298.4483263866277</v>
      </c>
      <c r="G1956" s="27">
        <v>7144.6308272610477</v>
      </c>
      <c r="H1956" s="27">
        <v>9503.5193030196097</v>
      </c>
      <c r="I1956" s="27">
        <v>13390.98147545477</v>
      </c>
      <c r="J1956" s="27">
        <v>21654.979071760463</v>
      </c>
      <c r="K1956" s="27">
        <v>46276.160035301626</v>
      </c>
      <c r="L1956" s="27">
        <v>113378.49935621509</v>
      </c>
      <c r="M1956" s="27">
        <v>221460.77631659393</v>
      </c>
    </row>
    <row r="1957" spans="1:13" x14ac:dyDescent="0.75">
      <c r="A1957" s="40">
        <v>1955</v>
      </c>
      <c r="B1957" s="27">
        <v>785.65732420039421</v>
      </c>
      <c r="C1957" s="27">
        <v>1252.5938373041718</v>
      </c>
      <c r="D1957" s="27">
        <v>2380.2492950660235</v>
      </c>
      <c r="E1957" s="27">
        <v>3337.8324568364187</v>
      </c>
      <c r="F1957" s="27">
        <v>5496.5088637613517</v>
      </c>
      <c r="G1957" s="27">
        <v>7666.7910397703527</v>
      </c>
      <c r="H1957" s="27">
        <v>9997.7563603720337</v>
      </c>
      <c r="I1957" s="27">
        <v>13830.764575540888</v>
      </c>
      <c r="J1957" s="27">
        <v>23552.505478311461</v>
      </c>
      <c r="K1957" s="27">
        <v>46185.874647624441</v>
      </c>
      <c r="L1957" s="27">
        <v>121997.31211920032</v>
      </c>
      <c r="M1957" s="27">
        <v>236483.84599798784</v>
      </c>
    </row>
    <row r="1958" spans="1:13" x14ac:dyDescent="0.75">
      <c r="A1958" s="40">
        <v>1956</v>
      </c>
      <c r="B1958" s="27">
        <v>969.30449061621039</v>
      </c>
      <c r="C1958" s="27">
        <v>1286.4460578836588</v>
      </c>
      <c r="D1958" s="27">
        <v>1938.0281177956931</v>
      </c>
      <c r="E1958" s="27">
        <v>2985.077157165113</v>
      </c>
      <c r="F1958" s="27">
        <v>4759.2802475879726</v>
      </c>
      <c r="G1958" s="27">
        <v>6549.2321268964151</v>
      </c>
      <c r="H1958" s="27">
        <v>9261.9564563246968</v>
      </c>
      <c r="I1958" s="27">
        <v>13199.286741588585</v>
      </c>
      <c r="J1958" s="27">
        <v>21654.623177902235</v>
      </c>
      <c r="K1958" s="27">
        <v>46374.806386346492</v>
      </c>
      <c r="L1958" s="27">
        <v>104606.93819332551</v>
      </c>
      <c r="M1958" s="27">
        <v>213584.97915343259</v>
      </c>
    </row>
    <row r="1959" spans="1:13" x14ac:dyDescent="0.75">
      <c r="A1959" s="40">
        <v>1957</v>
      </c>
      <c r="B1959" s="27">
        <v>757.16730053232459</v>
      </c>
      <c r="C1959" s="27">
        <v>887.66159500677895</v>
      </c>
      <c r="D1959" s="27">
        <v>1854.1087694801245</v>
      </c>
      <c r="E1959" s="27">
        <v>3113.7941676002083</v>
      </c>
      <c r="F1959" s="27">
        <v>4798.2870815774659</v>
      </c>
      <c r="G1959" s="27">
        <v>7425.7590047106496</v>
      </c>
      <c r="H1959" s="27">
        <v>10020.677086495212</v>
      </c>
      <c r="I1959" s="27">
        <v>14085.190778583914</v>
      </c>
      <c r="J1959" s="27">
        <v>23819.790557820903</v>
      </c>
      <c r="K1959" s="27">
        <v>46006.641529022614</v>
      </c>
      <c r="L1959" s="27">
        <v>116085.15714552178</v>
      </c>
      <c r="M1959" s="27">
        <v>228854.23501635197</v>
      </c>
    </row>
    <row r="1960" spans="1:13" x14ac:dyDescent="0.75">
      <c r="A1960" s="40">
        <v>1958</v>
      </c>
      <c r="B1960" s="27">
        <v>870.12344679690432</v>
      </c>
      <c r="C1960" s="27">
        <v>1197.0086044993513</v>
      </c>
      <c r="D1960" s="27">
        <v>1920.4005346429622</v>
      </c>
      <c r="E1960" s="27">
        <v>2848.603670159966</v>
      </c>
      <c r="F1960" s="27">
        <v>4480.0504521901021</v>
      </c>
      <c r="G1960" s="27">
        <v>6842.9833626949694</v>
      </c>
      <c r="H1960" s="27">
        <v>9495.9904954683443</v>
      </c>
      <c r="I1960" s="27">
        <v>13515.377525520627</v>
      </c>
      <c r="J1960" s="27">
        <v>23084.659024981782</v>
      </c>
      <c r="K1960" s="27">
        <v>47064.7788112915</v>
      </c>
      <c r="L1960" s="27">
        <v>113218.42859373515</v>
      </c>
      <c r="M1960" s="27">
        <v>224538.40452198166</v>
      </c>
    </row>
    <row r="1961" spans="1:13" x14ac:dyDescent="0.75">
      <c r="A1961" s="40">
        <v>1959</v>
      </c>
      <c r="B1961" s="27">
        <v>471.57040423677245</v>
      </c>
      <c r="C1961" s="27">
        <v>894.62738275823358</v>
      </c>
      <c r="D1961" s="27">
        <v>1701.8835090583598</v>
      </c>
      <c r="E1961" s="27">
        <v>2486.8375520405825</v>
      </c>
      <c r="F1961" s="27">
        <v>4169.7375129091379</v>
      </c>
      <c r="G1961" s="27">
        <v>5967.4452344076417</v>
      </c>
      <c r="H1961" s="27">
        <v>8938.7554466810107</v>
      </c>
      <c r="I1961" s="27">
        <v>12791.455490779277</v>
      </c>
      <c r="J1961" s="27">
        <v>22670.395570903333</v>
      </c>
      <c r="K1961" s="27">
        <v>45257.645870991517</v>
      </c>
      <c r="L1961" s="27">
        <v>112822.04316254015</v>
      </c>
      <c r="M1961" s="27">
        <v>218172.39713730602</v>
      </c>
    </row>
    <row r="1962" spans="1:13" x14ac:dyDescent="0.75">
      <c r="A1962" s="40">
        <v>1960</v>
      </c>
      <c r="B1962" s="27">
        <v>909.12164908619889</v>
      </c>
      <c r="C1962" s="27">
        <v>1757.6132882640086</v>
      </c>
      <c r="D1962" s="27">
        <v>2856.5173926632124</v>
      </c>
      <c r="E1962" s="27">
        <v>3707.1863562196813</v>
      </c>
      <c r="F1962" s="27">
        <v>5654.7984077637957</v>
      </c>
      <c r="G1962" s="27">
        <v>7987.7688377021987</v>
      </c>
      <c r="H1962" s="27">
        <v>10877.567773607472</v>
      </c>
      <c r="I1962" s="27">
        <v>14966.417417688834</v>
      </c>
      <c r="J1962" s="27">
        <v>25604.860076422512</v>
      </c>
      <c r="K1962" s="27">
        <v>46552.992939622913</v>
      </c>
      <c r="L1962" s="27">
        <v>115073.94183636706</v>
      </c>
      <c r="M1962" s="27">
        <v>235948.78597540787</v>
      </c>
    </row>
    <row r="1963" spans="1:13" x14ac:dyDescent="0.75">
      <c r="A1963" s="40">
        <v>1961</v>
      </c>
      <c r="B1963" s="27">
        <v>652.47798372272518</v>
      </c>
      <c r="C1963" s="27">
        <v>1218.0760007844656</v>
      </c>
      <c r="D1963" s="27">
        <v>2268.9262141767103</v>
      </c>
      <c r="E1963" s="27">
        <v>3155.4009137224202</v>
      </c>
      <c r="F1963" s="27">
        <v>4989.7745588742837</v>
      </c>
      <c r="G1963" s="27">
        <v>7683.2263777884364</v>
      </c>
      <c r="H1963" s="27">
        <v>9668.2190799857199</v>
      </c>
      <c r="I1963" s="27">
        <v>13147.805682111852</v>
      </c>
      <c r="J1963" s="27">
        <v>21988.674000730374</v>
      </c>
      <c r="K1963" s="27">
        <v>45887.552434106125</v>
      </c>
      <c r="L1963" s="27">
        <v>112858.74683773913</v>
      </c>
      <c r="M1963" s="27">
        <v>223518.88008374226</v>
      </c>
    </row>
    <row r="1964" spans="1:13" x14ac:dyDescent="0.75">
      <c r="A1964" s="40">
        <v>1962</v>
      </c>
      <c r="B1964" s="27">
        <v>842.35373329896538</v>
      </c>
      <c r="C1964" s="27">
        <v>1675.7263985962345</v>
      </c>
      <c r="D1964" s="27">
        <v>2467.6037690334342</v>
      </c>
      <c r="E1964" s="27">
        <v>3434.08707544973</v>
      </c>
      <c r="F1964" s="27">
        <v>5170.1456075536407</v>
      </c>
      <c r="G1964" s="27">
        <v>7375.1010654777929</v>
      </c>
      <c r="H1964" s="27">
        <v>9818.9685514262237</v>
      </c>
      <c r="I1964" s="27">
        <v>14181.884805640715</v>
      </c>
      <c r="J1964" s="27">
        <v>22005.786112720074</v>
      </c>
      <c r="K1964" s="27">
        <v>47209.449474386594</v>
      </c>
      <c r="L1964" s="27">
        <v>112374.13901051838</v>
      </c>
      <c r="M1964" s="27">
        <v>226555.2456041018</v>
      </c>
    </row>
    <row r="1965" spans="1:13" x14ac:dyDescent="0.75">
      <c r="A1965" s="40">
        <v>1963</v>
      </c>
      <c r="B1965" s="27">
        <v>749.92515269522846</v>
      </c>
      <c r="C1965" s="27">
        <v>1602.9955447630928</v>
      </c>
      <c r="D1965" s="27">
        <v>2287.2378399398003</v>
      </c>
      <c r="E1965" s="27">
        <v>3251.7715147082199</v>
      </c>
      <c r="F1965" s="27">
        <v>5286.4558767069248</v>
      </c>
      <c r="G1965" s="27">
        <v>7621.0436316945706</v>
      </c>
      <c r="H1965" s="27">
        <v>9943.5400682654872</v>
      </c>
      <c r="I1965" s="27">
        <v>14785.980253913571</v>
      </c>
      <c r="J1965" s="27">
        <v>23466.495923708368</v>
      </c>
      <c r="K1965" s="27">
        <v>46922.470721830701</v>
      </c>
      <c r="L1965" s="27">
        <v>118996.89447381538</v>
      </c>
      <c r="M1965" s="27">
        <v>234914.81100204133</v>
      </c>
    </row>
    <row r="1966" spans="1:13" x14ac:dyDescent="0.75">
      <c r="A1966" s="40">
        <v>1964</v>
      </c>
      <c r="B1966" s="27">
        <v>756.91893730273296</v>
      </c>
      <c r="C1966" s="27">
        <v>1370.6728896672284</v>
      </c>
      <c r="D1966" s="27">
        <v>2325.6615291219787</v>
      </c>
      <c r="E1966" s="27">
        <v>3411.4938332202291</v>
      </c>
      <c r="F1966" s="27">
        <v>5200.5294405160821</v>
      </c>
      <c r="G1966" s="27">
        <v>7992.2803414427617</v>
      </c>
      <c r="H1966" s="27">
        <v>10820.976303045434</v>
      </c>
      <c r="I1966" s="27">
        <v>14444.210419107898</v>
      </c>
      <c r="J1966" s="27">
        <v>23437.919763943151</v>
      </c>
      <c r="K1966" s="27">
        <v>44308.867385996884</v>
      </c>
      <c r="L1966" s="27">
        <v>114376.81772244984</v>
      </c>
      <c r="M1966" s="27">
        <v>228446.3485658142</v>
      </c>
    </row>
    <row r="1967" spans="1:13" x14ac:dyDescent="0.75">
      <c r="A1967" s="40">
        <v>1965</v>
      </c>
      <c r="B1967" s="27">
        <v>1134.3217351650528</v>
      </c>
      <c r="C1967" s="27">
        <v>1367.1459432861157</v>
      </c>
      <c r="D1967" s="27">
        <v>2411.2163821600552</v>
      </c>
      <c r="E1967" s="27">
        <v>3561.7357307134371</v>
      </c>
      <c r="F1967" s="27">
        <v>5202.0449482607219</v>
      </c>
      <c r="G1967" s="27">
        <v>7734.2494165822282</v>
      </c>
      <c r="H1967" s="27">
        <v>10947.498417930648</v>
      </c>
      <c r="I1967" s="27">
        <v>15036.443838693711</v>
      </c>
      <c r="J1967" s="27">
        <v>23880.893929229584</v>
      </c>
      <c r="K1967" s="27">
        <v>45752.921660913882</v>
      </c>
      <c r="L1967" s="27">
        <v>114543.01743209029</v>
      </c>
      <c r="M1967" s="27">
        <v>231571.48943502572</v>
      </c>
    </row>
    <row r="1968" spans="1:13" x14ac:dyDescent="0.75">
      <c r="A1968" s="40">
        <v>1966</v>
      </c>
      <c r="B1968" s="27">
        <v>657.13463232084177</v>
      </c>
      <c r="C1968" s="27">
        <v>866.47071247000713</v>
      </c>
      <c r="D1968" s="27">
        <v>1852.0909731251741</v>
      </c>
      <c r="E1968" s="27">
        <v>3061.3738992258732</v>
      </c>
      <c r="F1968" s="27">
        <v>4875.1984999638371</v>
      </c>
      <c r="G1968" s="27">
        <v>7598.2294035630475</v>
      </c>
      <c r="H1968" s="27">
        <v>10636.022475279606</v>
      </c>
      <c r="I1968" s="27">
        <v>14496.256499224342</v>
      </c>
      <c r="J1968" s="27">
        <v>22798.140256168816</v>
      </c>
      <c r="K1968" s="27">
        <v>45998.378434146201</v>
      </c>
      <c r="L1968" s="27">
        <v>115589.54112061468</v>
      </c>
      <c r="M1968" s="27">
        <v>228428.83690610243</v>
      </c>
    </row>
    <row r="1969" spans="1:13" x14ac:dyDescent="0.75">
      <c r="A1969" s="40">
        <v>1967</v>
      </c>
      <c r="B1969" s="27">
        <v>814.15299078804674</v>
      </c>
      <c r="C1969" s="27">
        <v>1059.1185869489709</v>
      </c>
      <c r="D1969" s="27">
        <v>2130.11032309031</v>
      </c>
      <c r="E1969" s="27">
        <v>3383.5090043400123</v>
      </c>
      <c r="F1969" s="27">
        <v>5403.2808558988618</v>
      </c>
      <c r="G1969" s="27">
        <v>7369.5530456193083</v>
      </c>
      <c r="H1969" s="27">
        <v>9720.9923629949189</v>
      </c>
      <c r="I1969" s="27">
        <v>13988.034281257598</v>
      </c>
      <c r="J1969" s="27">
        <v>22555.502716533214</v>
      </c>
      <c r="K1969" s="27">
        <v>43737.330383456283</v>
      </c>
      <c r="L1969" s="27">
        <v>109864.32865301173</v>
      </c>
      <c r="M1969" s="27">
        <v>220025.91320393927</v>
      </c>
    </row>
    <row r="1970" spans="1:13" x14ac:dyDescent="0.75">
      <c r="A1970" s="40">
        <v>1968</v>
      </c>
      <c r="B1970" s="27">
        <v>836.10686234437162</v>
      </c>
      <c r="C1970" s="27">
        <v>1429.0370680684282</v>
      </c>
      <c r="D1970" s="27">
        <v>2437.5102893400035</v>
      </c>
      <c r="E1970" s="27">
        <v>3680.5606700035423</v>
      </c>
      <c r="F1970" s="27">
        <v>5643.291335638176</v>
      </c>
      <c r="G1970" s="27">
        <v>7729.1347864781856</v>
      </c>
      <c r="H1970" s="27">
        <v>10651.571444297006</v>
      </c>
      <c r="I1970" s="27">
        <v>13244.692574072091</v>
      </c>
      <c r="J1970" s="27">
        <v>22878.336722082153</v>
      </c>
      <c r="K1970" s="27">
        <v>46412.332243988698</v>
      </c>
      <c r="L1970" s="27">
        <v>117343.70224649644</v>
      </c>
      <c r="M1970" s="27">
        <v>232286.27624280908</v>
      </c>
    </row>
    <row r="1971" spans="1:13" x14ac:dyDescent="0.75">
      <c r="A1971" s="40">
        <v>1969</v>
      </c>
      <c r="B1971" s="27">
        <v>422.93086682635476</v>
      </c>
      <c r="C1971" s="27">
        <v>913.80378414817096</v>
      </c>
      <c r="D1971" s="27">
        <v>1704.3245570218423</v>
      </c>
      <c r="E1971" s="27">
        <v>2745.7661995093804</v>
      </c>
      <c r="F1971" s="27">
        <v>4682.9345945875393</v>
      </c>
      <c r="G1971" s="27">
        <v>7180.5873852704826</v>
      </c>
      <c r="H1971" s="27">
        <v>9206.9938392383774</v>
      </c>
      <c r="I1971" s="27">
        <v>13309.399382480231</v>
      </c>
      <c r="J1971" s="27">
        <v>22403.630057678631</v>
      </c>
      <c r="K1971" s="27">
        <v>46772.924431895066</v>
      </c>
      <c r="L1971" s="27">
        <v>113113.62609696508</v>
      </c>
      <c r="M1971" s="27">
        <v>222456.92119562114</v>
      </c>
    </row>
    <row r="1972" spans="1:13" x14ac:dyDescent="0.75">
      <c r="A1972" s="40">
        <v>1970</v>
      </c>
      <c r="B1972" s="27">
        <v>675.15238438430242</v>
      </c>
      <c r="C1972" s="27">
        <v>1179.4336913290026</v>
      </c>
      <c r="D1972" s="27">
        <v>1938.3783013839129</v>
      </c>
      <c r="E1972" s="27">
        <v>2882.9156805790117</v>
      </c>
      <c r="F1972" s="27">
        <v>4932.9684052240336</v>
      </c>
      <c r="G1972" s="27">
        <v>6633.0622476581193</v>
      </c>
      <c r="H1972" s="27">
        <v>9874.8983668003639</v>
      </c>
      <c r="I1972" s="27">
        <v>13419.329152659018</v>
      </c>
      <c r="J1972" s="27">
        <v>21808.870408044764</v>
      </c>
      <c r="K1972" s="27">
        <v>45497.511248519499</v>
      </c>
      <c r="L1972" s="27">
        <v>108734.09113490311</v>
      </c>
      <c r="M1972" s="27">
        <v>217576.61102148512</v>
      </c>
    </row>
    <row r="1973" spans="1:13" x14ac:dyDescent="0.75">
      <c r="A1973" s="40">
        <v>1971</v>
      </c>
      <c r="B1973" s="27">
        <v>718.52110829333833</v>
      </c>
      <c r="C1973" s="27">
        <v>1374.0131415371434</v>
      </c>
      <c r="D1973" s="27">
        <v>2622.2805715729919</v>
      </c>
      <c r="E1973" s="27">
        <v>3644.7279846509191</v>
      </c>
      <c r="F1973" s="27">
        <v>5644.9566613361967</v>
      </c>
      <c r="G1973" s="27">
        <v>7797.1342487812217</v>
      </c>
      <c r="H1973" s="27">
        <v>10536.980841461045</v>
      </c>
      <c r="I1973" s="27">
        <v>14829.132676526991</v>
      </c>
      <c r="J1973" s="27">
        <v>23712.638907686807</v>
      </c>
      <c r="K1973" s="27">
        <v>45504.860348219445</v>
      </c>
      <c r="L1973" s="27">
        <v>113297.8738734755</v>
      </c>
      <c r="M1973" s="27">
        <v>229683.12036354159</v>
      </c>
    </row>
    <row r="1974" spans="1:13" x14ac:dyDescent="0.75">
      <c r="A1974" s="40">
        <v>1972</v>
      </c>
      <c r="B1974" s="27">
        <v>1095.9236727509997</v>
      </c>
      <c r="C1974" s="27">
        <v>1685.7656884231983</v>
      </c>
      <c r="D1974" s="27">
        <v>2727.3200839827477</v>
      </c>
      <c r="E1974" s="27">
        <v>3923.3157144895958</v>
      </c>
      <c r="F1974" s="27">
        <v>6192.6359522142448</v>
      </c>
      <c r="G1974" s="27">
        <v>8818.3040069420531</v>
      </c>
      <c r="H1974" s="27">
        <v>10967.03450781967</v>
      </c>
      <c r="I1974" s="27">
        <v>14948.780014442353</v>
      </c>
      <c r="J1974" s="27">
        <v>24408.987254171254</v>
      </c>
      <c r="K1974" s="27">
        <v>47777.87313181645</v>
      </c>
      <c r="L1974" s="27">
        <v>118142.82436459305</v>
      </c>
      <c r="M1974" s="27">
        <v>240688.76439164561</v>
      </c>
    </row>
    <row r="1975" spans="1:13" x14ac:dyDescent="0.75">
      <c r="A1975" s="40">
        <v>1973</v>
      </c>
      <c r="B1975" s="27">
        <v>530.15059103409294</v>
      </c>
      <c r="C1975" s="27">
        <v>789.37804168113507</v>
      </c>
      <c r="D1975" s="27">
        <v>1593.4594308653177</v>
      </c>
      <c r="E1975" s="27">
        <v>2527.5159388324537</v>
      </c>
      <c r="F1975" s="27">
        <v>4232.2156882840209</v>
      </c>
      <c r="G1975" s="27">
        <v>7063.1023569846293</v>
      </c>
      <c r="H1975" s="27">
        <v>9658.1158878503193</v>
      </c>
      <c r="I1975" s="27">
        <v>13478.631501239972</v>
      </c>
      <c r="J1975" s="27">
        <v>21943.523562629765</v>
      </c>
      <c r="K1975" s="27">
        <v>47374.504844983661</v>
      </c>
      <c r="L1975" s="27">
        <v>105390.16340155235</v>
      </c>
      <c r="M1975" s="27">
        <v>214580.76124593773</v>
      </c>
    </row>
    <row r="1976" spans="1:13" x14ac:dyDescent="0.75">
      <c r="A1976" s="40">
        <v>1974</v>
      </c>
      <c r="B1976" s="27">
        <v>507.22879675317381</v>
      </c>
      <c r="C1976" s="27">
        <v>1122.3260145510285</v>
      </c>
      <c r="D1976" s="27">
        <v>1861.155619294208</v>
      </c>
      <c r="E1976" s="27">
        <v>3185.8238811546908</v>
      </c>
      <c r="F1976" s="27">
        <v>5140.3341256874555</v>
      </c>
      <c r="G1976" s="27">
        <v>7192.4045627220767</v>
      </c>
      <c r="H1976" s="27">
        <v>10824.775627448456</v>
      </c>
      <c r="I1976" s="27">
        <v>14250.139992309909</v>
      </c>
      <c r="J1976" s="27">
        <v>23383.066695024929</v>
      </c>
      <c r="K1976" s="27">
        <v>46892.706089492596</v>
      </c>
      <c r="L1976" s="27">
        <v>110829.91856572125</v>
      </c>
      <c r="M1976" s="27">
        <v>225189.87997015979</v>
      </c>
    </row>
    <row r="1977" spans="1:13" x14ac:dyDescent="0.75">
      <c r="A1977" s="40">
        <v>1975</v>
      </c>
      <c r="B1977" s="27">
        <v>744.54162136132072</v>
      </c>
      <c r="C1977" s="27">
        <v>1483.3757882902573</v>
      </c>
      <c r="D1977" s="27">
        <v>2304.8162665305281</v>
      </c>
      <c r="E1977" s="27">
        <v>3354.0404803474812</v>
      </c>
      <c r="F1977" s="27">
        <v>5352.3223591153219</v>
      </c>
      <c r="G1977" s="27">
        <v>7845.5795974858047</v>
      </c>
      <c r="H1977" s="27">
        <v>10621.621094353628</v>
      </c>
      <c r="I1977" s="27">
        <v>14188.325095333799</v>
      </c>
      <c r="J1977" s="27">
        <v>23834.491787222083</v>
      </c>
      <c r="K1977" s="27">
        <v>45868.964162280376</v>
      </c>
      <c r="L1977" s="27">
        <v>101350.02181938686</v>
      </c>
      <c r="M1977" s="27">
        <v>216948.10007170745</v>
      </c>
    </row>
    <row r="1978" spans="1:13" x14ac:dyDescent="0.75">
      <c r="A1978" s="40">
        <v>1976</v>
      </c>
      <c r="B1978" s="27">
        <v>620.78729848477815</v>
      </c>
      <c r="C1978" s="27">
        <v>1138.0761563648412</v>
      </c>
      <c r="D1978" s="27">
        <v>1857.396998270895</v>
      </c>
      <c r="E1978" s="27">
        <v>2905.2455922573718</v>
      </c>
      <c r="F1978" s="27">
        <v>4671.0637611238926</v>
      </c>
      <c r="G1978" s="27">
        <v>7071.824498114991</v>
      </c>
      <c r="H1978" s="27">
        <v>9991.336387913354</v>
      </c>
      <c r="I1978" s="27">
        <v>13367.356050674629</v>
      </c>
      <c r="J1978" s="27">
        <v>22465.581529972202</v>
      </c>
      <c r="K1978" s="27">
        <v>45137.8897104809</v>
      </c>
      <c r="L1978" s="27">
        <v>107542.40169708119</v>
      </c>
      <c r="M1978" s="27">
        <v>216768.95968073903</v>
      </c>
    </row>
    <row r="1979" spans="1:13" x14ac:dyDescent="0.75">
      <c r="A1979" s="40">
        <v>1977</v>
      </c>
      <c r="B1979" s="27">
        <v>667.80990531035059</v>
      </c>
      <c r="C1979" s="27">
        <v>1277.4932174120768</v>
      </c>
      <c r="D1979" s="27">
        <v>1915.4988851824746</v>
      </c>
      <c r="E1979" s="27">
        <v>2938.9734985554387</v>
      </c>
      <c r="F1979" s="27">
        <v>4557.1364120639046</v>
      </c>
      <c r="G1979" s="27">
        <v>7073.9653827168513</v>
      </c>
      <c r="H1979" s="27">
        <v>9479.2842857338837</v>
      </c>
      <c r="I1979" s="27">
        <v>13578.448731157958</v>
      </c>
      <c r="J1979" s="27">
        <v>22668.89786320756</v>
      </c>
      <c r="K1979" s="27">
        <v>44794.75772231436</v>
      </c>
      <c r="L1979" s="27">
        <v>102489.15866260594</v>
      </c>
      <c r="M1979" s="27">
        <v>211441.4245662608</v>
      </c>
    </row>
    <row r="1980" spans="1:13" x14ac:dyDescent="0.75">
      <c r="A1980" s="40">
        <v>1978</v>
      </c>
      <c r="B1980" s="27">
        <v>747.05826848847209</v>
      </c>
      <c r="C1980" s="27">
        <v>1309.7179453816934</v>
      </c>
      <c r="D1980" s="27">
        <v>2332.0830284080876</v>
      </c>
      <c r="E1980" s="27">
        <v>3498.6486882898607</v>
      </c>
      <c r="F1980" s="27">
        <v>5420.3841842289257</v>
      </c>
      <c r="G1980" s="27">
        <v>7976.2659583313216</v>
      </c>
      <c r="H1980" s="27">
        <v>10360.805634033823</v>
      </c>
      <c r="I1980" s="27">
        <v>14595.855684770868</v>
      </c>
      <c r="J1980" s="27">
        <v>23545.912386694807</v>
      </c>
      <c r="K1980" s="27">
        <v>45498.51092903738</v>
      </c>
      <c r="L1980" s="27">
        <v>108527.72985350399</v>
      </c>
      <c r="M1980" s="27">
        <v>223812.97256116924</v>
      </c>
    </row>
    <row r="1981" spans="1:13" x14ac:dyDescent="0.75">
      <c r="A1981" s="40">
        <v>1979</v>
      </c>
      <c r="B1981" s="27">
        <v>269.06973144205404</v>
      </c>
      <c r="C1981" s="27">
        <v>660.56841614938457</v>
      </c>
      <c r="D1981" s="27">
        <v>1926.8372082684509</v>
      </c>
      <c r="E1981" s="27">
        <v>3032.4035821431025</v>
      </c>
      <c r="F1981" s="27">
        <v>5088.8792758369236</v>
      </c>
      <c r="G1981" s="27">
        <v>7298.2280904673389</v>
      </c>
      <c r="H1981" s="27">
        <v>10350.96652283892</v>
      </c>
      <c r="I1981" s="27">
        <v>13589.226816375347</v>
      </c>
      <c r="J1981" s="27">
        <v>22880.036806221207</v>
      </c>
      <c r="K1981" s="27">
        <v>46067.798749137335</v>
      </c>
      <c r="L1981" s="27">
        <v>107719.74313350699</v>
      </c>
      <c r="M1981" s="27">
        <v>218883.75833238705</v>
      </c>
    </row>
    <row r="1982" spans="1:13" x14ac:dyDescent="0.75">
      <c r="A1982" s="40">
        <v>1980</v>
      </c>
      <c r="B1982" s="27">
        <v>1079.929477427213</v>
      </c>
      <c r="C1982" s="27">
        <v>1483.2925273378787</v>
      </c>
      <c r="D1982" s="27">
        <v>2479.0775065952184</v>
      </c>
      <c r="E1982" s="27">
        <v>3571.3729337361438</v>
      </c>
      <c r="F1982" s="27">
        <v>5203.7153822363471</v>
      </c>
      <c r="G1982" s="27">
        <v>7521.2945361133898</v>
      </c>
      <c r="H1982" s="27">
        <v>10503.850589876383</v>
      </c>
      <c r="I1982" s="27">
        <v>13687.312356645722</v>
      </c>
      <c r="J1982" s="27">
        <v>23165.25883025334</v>
      </c>
      <c r="K1982" s="27">
        <v>45924.830839145521</v>
      </c>
      <c r="L1982" s="27">
        <v>121516.3089997529</v>
      </c>
      <c r="M1982" s="27">
        <v>236136.24397912004</v>
      </c>
    </row>
    <row r="1983" spans="1:13" x14ac:dyDescent="0.75">
      <c r="A1983" s="40">
        <v>1981</v>
      </c>
      <c r="B1983" s="27">
        <v>467.71362879774824</v>
      </c>
      <c r="C1983" s="27">
        <v>892.55250720054028</v>
      </c>
      <c r="D1983" s="27">
        <v>1847.8612518646987</v>
      </c>
      <c r="E1983" s="27">
        <v>2967.8841875277285</v>
      </c>
      <c r="F1983" s="27">
        <v>4899.7985289351782</v>
      </c>
      <c r="G1983" s="27">
        <v>7428.2971442108101</v>
      </c>
      <c r="H1983" s="27">
        <v>9695.3525471848698</v>
      </c>
      <c r="I1983" s="27">
        <v>14179.396328227318</v>
      </c>
      <c r="J1983" s="27">
        <v>23688.962913629628</v>
      </c>
      <c r="K1983" s="27">
        <v>46756.718968578294</v>
      </c>
      <c r="L1983" s="27">
        <v>113787.82827216129</v>
      </c>
      <c r="M1983" s="27">
        <v>226612.36627831811</v>
      </c>
    </row>
    <row r="1984" spans="1:13" x14ac:dyDescent="0.75">
      <c r="A1984" s="40">
        <v>1982</v>
      </c>
      <c r="B1984" s="27">
        <v>701.99143558874493</v>
      </c>
      <c r="C1984" s="27">
        <v>1081.2590539049852</v>
      </c>
      <c r="D1984" s="27">
        <v>2182.4502995923976</v>
      </c>
      <c r="E1984" s="27">
        <v>3227.989362954424</v>
      </c>
      <c r="F1984" s="27">
        <v>5076.2114771625493</v>
      </c>
      <c r="G1984" s="27">
        <v>7541.5373002456035</v>
      </c>
      <c r="H1984" s="27">
        <v>10689.511108230654</v>
      </c>
      <c r="I1984" s="27">
        <v>14924.881751964072</v>
      </c>
      <c r="J1984" s="27">
        <v>24455.115486477385</v>
      </c>
      <c r="K1984" s="27">
        <v>48520.61746082794</v>
      </c>
      <c r="L1984" s="27">
        <v>116899.61048146871</v>
      </c>
      <c r="M1984" s="27">
        <v>235301.17521841748</v>
      </c>
    </row>
    <row r="1985" spans="1:13" x14ac:dyDescent="0.75">
      <c r="A1985" s="40">
        <v>1983</v>
      </c>
      <c r="B1985" s="27">
        <v>466.09916315655573</v>
      </c>
      <c r="C1985" s="27">
        <v>639.76647393082385</v>
      </c>
      <c r="D1985" s="27">
        <v>1592.9826245479926</v>
      </c>
      <c r="E1985" s="27">
        <v>2460.8043765831244</v>
      </c>
      <c r="F1985" s="27">
        <v>4326.7425786463864</v>
      </c>
      <c r="G1985" s="27">
        <v>7125.632597309188</v>
      </c>
      <c r="H1985" s="27">
        <v>9978.2958774652361</v>
      </c>
      <c r="I1985" s="27">
        <v>14505.495219558172</v>
      </c>
      <c r="J1985" s="27">
        <v>22606.519016300866</v>
      </c>
      <c r="K1985" s="27">
        <v>45801.473899265198</v>
      </c>
      <c r="L1985" s="27">
        <v>116270.48153576329</v>
      </c>
      <c r="M1985" s="27">
        <v>225774.29336252683</v>
      </c>
    </row>
    <row r="1986" spans="1:13" x14ac:dyDescent="0.75">
      <c r="A1986" s="40">
        <v>1984</v>
      </c>
      <c r="B1986" s="27">
        <v>538.37501133316255</v>
      </c>
      <c r="C1986" s="27">
        <v>782.22092555703421</v>
      </c>
      <c r="D1986" s="27">
        <v>1321.0957979629165</v>
      </c>
      <c r="E1986" s="27">
        <v>2425.9233022530098</v>
      </c>
      <c r="F1986" s="27">
        <v>4314.063823324017</v>
      </c>
      <c r="G1986" s="27">
        <v>6233.888892826566</v>
      </c>
      <c r="H1986" s="27">
        <v>9300.8888277434307</v>
      </c>
      <c r="I1986" s="27">
        <v>13206.88480681408</v>
      </c>
      <c r="J1986" s="27">
        <v>21246.10681696696</v>
      </c>
      <c r="K1986" s="27">
        <v>47104.737517915026</v>
      </c>
      <c r="L1986" s="27">
        <v>114387.11079080147</v>
      </c>
      <c r="M1986" s="27">
        <v>220861.29651349765</v>
      </c>
    </row>
    <row r="1987" spans="1:13" x14ac:dyDescent="0.75">
      <c r="A1987" s="40">
        <v>1985</v>
      </c>
      <c r="B1987" s="27">
        <v>545.56007651740219</v>
      </c>
      <c r="C1987" s="27">
        <v>1044.1571532019152</v>
      </c>
      <c r="D1987" s="27">
        <v>1810.0506682298437</v>
      </c>
      <c r="E1987" s="27">
        <v>2778.323528080844</v>
      </c>
      <c r="F1987" s="27">
        <v>4729.0102322550956</v>
      </c>
      <c r="G1987" s="27">
        <v>6812.1224030875892</v>
      </c>
      <c r="H1987" s="27">
        <v>8980.459106181559</v>
      </c>
      <c r="I1987" s="27">
        <v>12382.758850821803</v>
      </c>
      <c r="J1987" s="27">
        <v>22553.746227529889</v>
      </c>
      <c r="K1987" s="27">
        <v>45452.110780990595</v>
      </c>
      <c r="L1987" s="27">
        <v>114725.46307981492</v>
      </c>
      <c r="M1987" s="27">
        <v>221813.76210671145</v>
      </c>
    </row>
    <row r="1988" spans="1:13" x14ac:dyDescent="0.75">
      <c r="A1988" s="40">
        <v>1986</v>
      </c>
      <c r="B1988" s="27">
        <v>1128.679247690161</v>
      </c>
      <c r="C1988" s="27">
        <v>1680.6750144032994</v>
      </c>
      <c r="D1988" s="27">
        <v>2486.7498940226942</v>
      </c>
      <c r="E1988" s="27">
        <v>3510.3263195785112</v>
      </c>
      <c r="F1988" s="27">
        <v>5481.594810359602</v>
      </c>
      <c r="G1988" s="27">
        <v>7982.1656573276559</v>
      </c>
      <c r="H1988" s="27">
        <v>10728.903842963948</v>
      </c>
      <c r="I1988" s="27">
        <v>14542.594989284553</v>
      </c>
      <c r="J1988" s="27">
        <v>23366.698437572602</v>
      </c>
      <c r="K1988" s="27">
        <v>48230.93408963726</v>
      </c>
      <c r="L1988" s="27">
        <v>107118.24871922526</v>
      </c>
      <c r="M1988" s="27">
        <v>226257.57102206553</v>
      </c>
    </row>
    <row r="1989" spans="1:13" x14ac:dyDescent="0.75">
      <c r="A1989" s="40">
        <v>1987</v>
      </c>
      <c r="B1989" s="27">
        <v>1061.0911525639822</v>
      </c>
      <c r="C1989" s="27">
        <v>1757.0399378388247</v>
      </c>
      <c r="D1989" s="27">
        <v>2573.0035083034891</v>
      </c>
      <c r="E1989" s="27">
        <v>3629.145706708674</v>
      </c>
      <c r="F1989" s="27">
        <v>5462.3521882844507</v>
      </c>
      <c r="G1989" s="27">
        <v>8068.9859798830876</v>
      </c>
      <c r="H1989" s="27">
        <v>10223.070823822287</v>
      </c>
      <c r="I1989" s="27">
        <v>14280.216911713258</v>
      </c>
      <c r="J1989" s="27">
        <v>23242.982752007083</v>
      </c>
      <c r="K1989" s="27">
        <v>44704.978931969526</v>
      </c>
      <c r="L1989" s="27">
        <v>106816.91511092626</v>
      </c>
      <c r="M1989" s="27">
        <v>221819.78300402092</v>
      </c>
    </row>
    <row r="1990" spans="1:13" x14ac:dyDescent="0.75">
      <c r="A1990" s="40">
        <v>1988</v>
      </c>
      <c r="B1990" s="27">
        <v>469.70942899274814</v>
      </c>
      <c r="C1990" s="27">
        <v>1147.0868711952498</v>
      </c>
      <c r="D1990" s="27">
        <v>1868.8315976593294</v>
      </c>
      <c r="E1990" s="27">
        <v>2940.3072287744872</v>
      </c>
      <c r="F1990" s="27">
        <v>4350.3578460730496</v>
      </c>
      <c r="G1990" s="27">
        <v>6313.8256349066505</v>
      </c>
      <c r="H1990" s="27">
        <v>8556.8453076237492</v>
      </c>
      <c r="I1990" s="27">
        <v>12589.553441918935</v>
      </c>
      <c r="J1990" s="27">
        <v>20887.411576820654</v>
      </c>
      <c r="K1990" s="27">
        <v>45557.387850698826</v>
      </c>
      <c r="L1990" s="27">
        <v>114265.10450500972</v>
      </c>
      <c r="M1990" s="27">
        <v>218946.4212896734</v>
      </c>
    </row>
    <row r="1991" spans="1:13" x14ac:dyDescent="0.75">
      <c r="A1991" s="40">
        <v>1989</v>
      </c>
      <c r="B1991" s="27">
        <v>1241.3837752874388</v>
      </c>
      <c r="C1991" s="27">
        <v>1572.6323070259677</v>
      </c>
      <c r="D1991" s="27">
        <v>2455.4275979749509</v>
      </c>
      <c r="E1991" s="27">
        <v>3569.9949964051921</v>
      </c>
      <c r="F1991" s="27">
        <v>5707.2891103800939</v>
      </c>
      <c r="G1991" s="27">
        <v>8074.2607445367321</v>
      </c>
      <c r="H1991" s="27">
        <v>10683.30643235505</v>
      </c>
      <c r="I1991" s="27">
        <v>14217.221327650564</v>
      </c>
      <c r="J1991" s="27">
        <v>24358.66939709484</v>
      </c>
      <c r="K1991" s="27">
        <v>48602.144888526906</v>
      </c>
      <c r="L1991" s="27">
        <v>112669.06103854781</v>
      </c>
      <c r="M1991" s="27">
        <v>233151.39161578554</v>
      </c>
    </row>
    <row r="1992" spans="1:13" x14ac:dyDescent="0.75">
      <c r="A1992" s="40">
        <v>1990</v>
      </c>
      <c r="B1992" s="27">
        <v>1067.9380373985914</v>
      </c>
      <c r="C1992" s="27">
        <v>1440.6328798211907</v>
      </c>
      <c r="D1992" s="27">
        <v>2386.2749459414481</v>
      </c>
      <c r="E1992" s="27">
        <v>3708.521271835285</v>
      </c>
      <c r="F1992" s="27">
        <v>6015.9586850888591</v>
      </c>
      <c r="G1992" s="27">
        <v>8533.1649506182002</v>
      </c>
      <c r="H1992" s="27">
        <v>11599.142836376181</v>
      </c>
      <c r="I1992" s="27">
        <v>15671.982870707623</v>
      </c>
      <c r="J1992" s="27">
        <v>24031.28852208954</v>
      </c>
      <c r="K1992" s="27">
        <v>49083.456798755331</v>
      </c>
      <c r="L1992" s="27">
        <v>111721.90102751336</v>
      </c>
      <c r="M1992" s="27">
        <v>235260.26282614563</v>
      </c>
    </row>
    <row r="1993" spans="1:13" x14ac:dyDescent="0.75">
      <c r="A1993" s="40">
        <v>1991</v>
      </c>
      <c r="B1993" s="27">
        <v>845.23214969463879</v>
      </c>
      <c r="C1993" s="27">
        <v>1273.50775431894</v>
      </c>
      <c r="D1993" s="27">
        <v>2154.0182327198418</v>
      </c>
      <c r="E1993" s="27">
        <v>3021.1233127295855</v>
      </c>
      <c r="F1993" s="27">
        <v>4889.4355384197843</v>
      </c>
      <c r="G1993" s="27">
        <v>6683.4759430061677</v>
      </c>
      <c r="H1993" s="27">
        <v>9438.6832906499476</v>
      </c>
      <c r="I1993" s="27">
        <v>13598.718993455535</v>
      </c>
      <c r="J1993" s="27">
        <v>21727.177582522461</v>
      </c>
      <c r="K1993" s="27">
        <v>45568.822477384791</v>
      </c>
      <c r="L1993" s="27">
        <v>104798.63033417345</v>
      </c>
      <c r="M1993" s="27">
        <v>213998.82560907514</v>
      </c>
    </row>
    <row r="1994" spans="1:13" x14ac:dyDescent="0.75">
      <c r="A1994" s="40">
        <v>1992</v>
      </c>
      <c r="B1994" s="27">
        <v>790.74899116402958</v>
      </c>
      <c r="C1994" s="27">
        <v>1362.5918794232421</v>
      </c>
      <c r="D1994" s="27">
        <v>2111.9070057293138</v>
      </c>
      <c r="E1994" s="27">
        <v>3290.802975549479</v>
      </c>
      <c r="F1994" s="27">
        <v>5088.4179222572566</v>
      </c>
      <c r="G1994" s="27">
        <v>7643.7851072213089</v>
      </c>
      <c r="H1994" s="27">
        <v>10647.833251547301</v>
      </c>
      <c r="I1994" s="27">
        <v>15140.994931062509</v>
      </c>
      <c r="J1994" s="27">
        <v>23024.746202292867</v>
      </c>
      <c r="K1994" s="27">
        <v>45113.920686296959</v>
      </c>
      <c r="L1994" s="27">
        <v>111657.23267087771</v>
      </c>
      <c r="M1994" s="27">
        <v>225872.98162342198</v>
      </c>
    </row>
    <row r="1995" spans="1:13" x14ac:dyDescent="0.75">
      <c r="A1995" s="40">
        <v>1993</v>
      </c>
      <c r="B1995" s="27">
        <v>662.72431525359571</v>
      </c>
      <c r="C1995" s="27">
        <v>1196.427767547415</v>
      </c>
      <c r="D1995" s="27">
        <v>1799.4301976336137</v>
      </c>
      <c r="E1995" s="27">
        <v>3205.4391744595632</v>
      </c>
      <c r="F1995" s="27">
        <v>5203.9355150972551</v>
      </c>
      <c r="G1995" s="27">
        <v>7486.3486278658092</v>
      </c>
      <c r="H1995" s="27">
        <v>9448.9710675238166</v>
      </c>
      <c r="I1995" s="27">
        <v>13269.437235410544</v>
      </c>
      <c r="J1995" s="27">
        <v>22483.145770671297</v>
      </c>
      <c r="K1995" s="27">
        <v>46546.672134508495</v>
      </c>
      <c r="L1995" s="27">
        <v>113238.87557234193</v>
      </c>
      <c r="M1995" s="27">
        <v>224541.40737831334</v>
      </c>
    </row>
    <row r="1996" spans="1:13" x14ac:dyDescent="0.75">
      <c r="A1996" s="40">
        <v>1994</v>
      </c>
      <c r="B1996" s="27">
        <v>1070.8002849405311</v>
      </c>
      <c r="C1996" s="27">
        <v>1659.2991731000948</v>
      </c>
      <c r="D1996" s="27">
        <v>2412.9000891530159</v>
      </c>
      <c r="E1996" s="27">
        <v>3784.2029808210063</v>
      </c>
      <c r="F1996" s="27">
        <v>5820.0370652749843</v>
      </c>
      <c r="G1996" s="27">
        <v>8139.7023707973422</v>
      </c>
      <c r="H1996" s="27">
        <v>10640.070939115365</v>
      </c>
      <c r="I1996" s="27">
        <v>14470.470193638263</v>
      </c>
      <c r="J1996" s="27">
        <v>23237.339732700479</v>
      </c>
      <c r="K1996" s="27">
        <v>48642.571674899693</v>
      </c>
      <c r="L1996" s="27">
        <v>108541.42109247058</v>
      </c>
      <c r="M1996" s="27">
        <v>228418.81559691136</v>
      </c>
    </row>
    <row r="1997" spans="1:13" x14ac:dyDescent="0.75">
      <c r="A1997" s="40">
        <v>1995</v>
      </c>
      <c r="B1997" s="27">
        <v>1055.3514755005162</v>
      </c>
      <c r="C1997" s="27">
        <v>1193.4104189147038</v>
      </c>
      <c r="D1997" s="27">
        <v>2036.142869341289</v>
      </c>
      <c r="E1997" s="27">
        <v>3285.7279694289318</v>
      </c>
      <c r="F1997" s="27">
        <v>5256.5795728951343</v>
      </c>
      <c r="G1997" s="27">
        <v>7929.6874580570729</v>
      </c>
      <c r="H1997" s="27">
        <v>9605.5233941702754</v>
      </c>
      <c r="I1997" s="27">
        <v>13379.555726907609</v>
      </c>
      <c r="J1997" s="27">
        <v>21720.502598292122</v>
      </c>
      <c r="K1997" s="27">
        <v>46050.710422631601</v>
      </c>
      <c r="L1997" s="27">
        <v>120608.63458859806</v>
      </c>
      <c r="M1997" s="27">
        <v>232121.8264947373</v>
      </c>
    </row>
    <row r="1998" spans="1:13" x14ac:dyDescent="0.75">
      <c r="A1998" s="40">
        <v>1996</v>
      </c>
      <c r="B1998" s="27">
        <v>842.29878019806347</v>
      </c>
      <c r="C1998" s="27">
        <v>1407.9391724230518</v>
      </c>
      <c r="D1998" s="27">
        <v>2230.7692975388782</v>
      </c>
      <c r="E1998" s="27">
        <v>3212.5649857211829</v>
      </c>
      <c r="F1998" s="27">
        <v>5529.7362867548945</v>
      </c>
      <c r="G1998" s="27">
        <v>8000.4775717940065</v>
      </c>
      <c r="H1998" s="27">
        <v>10815.786599462619</v>
      </c>
      <c r="I1998" s="27">
        <v>14543.624236857941</v>
      </c>
      <c r="J1998" s="27">
        <v>22678.909040393701</v>
      </c>
      <c r="K1998" s="27">
        <v>46921.365620564262</v>
      </c>
      <c r="L1998" s="27">
        <v>116685.50177537421</v>
      </c>
      <c r="M1998" s="27">
        <v>232868.97336708283</v>
      </c>
    </row>
    <row r="1999" spans="1:13" x14ac:dyDescent="0.75">
      <c r="A1999" s="40">
        <v>1997</v>
      </c>
      <c r="B1999" s="27">
        <v>1131.8068015308527</v>
      </c>
      <c r="C1999" s="27">
        <v>1670.1800746353692</v>
      </c>
      <c r="D1999" s="27">
        <v>2865.1914744523383</v>
      </c>
      <c r="E1999" s="27">
        <v>3852.2066798075248</v>
      </c>
      <c r="F1999" s="27">
        <v>6090.1468360018043</v>
      </c>
      <c r="G1999" s="27">
        <v>8669.6867026812688</v>
      </c>
      <c r="H1999" s="27">
        <v>11419.66585901918</v>
      </c>
      <c r="I1999" s="27">
        <v>16569.113295490373</v>
      </c>
      <c r="J1999" s="27">
        <v>24266.67062355153</v>
      </c>
      <c r="K1999" s="27">
        <v>46988.772765821923</v>
      </c>
      <c r="L1999" s="27">
        <v>114319.91205666415</v>
      </c>
      <c r="M1999" s="27">
        <v>237843.3531696563</v>
      </c>
    </row>
    <row r="2000" spans="1:13" x14ac:dyDescent="0.75">
      <c r="A2000" s="40">
        <v>1998</v>
      </c>
      <c r="B2000" s="27">
        <v>778.37791649627616</v>
      </c>
      <c r="C2000" s="27">
        <v>1093.2149557021767</v>
      </c>
      <c r="D2000" s="27">
        <v>2060.5352092346002</v>
      </c>
      <c r="E2000" s="27">
        <v>3247.9131598599197</v>
      </c>
      <c r="F2000" s="27">
        <v>5387.0368084603688</v>
      </c>
      <c r="G2000" s="27">
        <v>7611.1728044569609</v>
      </c>
      <c r="H2000" s="27">
        <v>10337.289159803244</v>
      </c>
      <c r="I2000" s="27">
        <v>13802.346464074304</v>
      </c>
      <c r="J2000" s="27">
        <v>22351.699147547159</v>
      </c>
      <c r="K2000" s="27">
        <v>46875.884307407541</v>
      </c>
      <c r="L2000" s="27">
        <v>101911.95410741278</v>
      </c>
      <c r="M2000" s="27">
        <v>215457.42404045531</v>
      </c>
    </row>
    <row r="2001" spans="1:13" x14ac:dyDescent="0.75">
      <c r="A2001" s="40">
        <v>1999</v>
      </c>
      <c r="B2001" s="27">
        <v>1194.1807774498739</v>
      </c>
      <c r="C2001" s="27">
        <v>1807.9978878551337</v>
      </c>
      <c r="D2001" s="27">
        <v>2534.9527819042851</v>
      </c>
      <c r="E2001" s="27">
        <v>3790.8571044199343</v>
      </c>
      <c r="F2001" s="27">
        <v>5738.174772588507</v>
      </c>
      <c r="G2001" s="27">
        <v>8171.6332883093564</v>
      </c>
      <c r="H2001" s="27">
        <v>10781.979866701193</v>
      </c>
      <c r="I2001" s="27">
        <v>15128.842178268766</v>
      </c>
      <c r="J2001" s="27">
        <v>23328.210239794105</v>
      </c>
      <c r="K2001" s="27">
        <v>47232.213110259472</v>
      </c>
      <c r="L2001" s="27">
        <v>107219.37152326803</v>
      </c>
      <c r="M2001" s="27">
        <v>226928.41353081865</v>
      </c>
    </row>
    <row r="2002" spans="1:13" x14ac:dyDescent="0.75">
      <c r="A2002" s="40">
        <v>2000</v>
      </c>
      <c r="B2002" s="27">
        <v>1641.7822216965869</v>
      </c>
      <c r="C2002" s="27">
        <v>2174.7253622292337</v>
      </c>
      <c r="D2002" s="27">
        <v>3547.2502882269619</v>
      </c>
      <c r="E2002" s="27">
        <v>4843.9686655123369</v>
      </c>
      <c r="F2002" s="27">
        <v>6898.3616040768684</v>
      </c>
      <c r="G2002" s="27">
        <v>9607.78825679273</v>
      </c>
      <c r="H2002" s="27">
        <v>11676.882529700262</v>
      </c>
      <c r="I2002" s="27">
        <v>15737.686549342397</v>
      </c>
      <c r="J2002" s="27">
        <v>23694.99322338507</v>
      </c>
      <c r="K2002" s="27">
        <v>50116.689453907777</v>
      </c>
      <c r="L2002" s="27">
        <v>104949.6638116104</v>
      </c>
      <c r="M2002" s="27">
        <v>234889.79196648061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tabColor theme="7" tint="0.79998168889431442"/>
  </sheetPr>
  <dimension ref="A1:S690"/>
  <sheetViews>
    <sheetView zoomScale="70" zoomScaleNormal="70" workbookViewId="0">
      <selection activeCell="B3" sqref="B3"/>
    </sheetView>
  </sheetViews>
  <sheetFormatPr defaultRowHeight="14.75" x14ac:dyDescent="0.75"/>
  <cols>
    <col min="1" max="1" width="17.453125" style="3" bestFit="1" customWidth="1"/>
    <col min="2" max="2" width="17.6328125" style="3" bestFit="1" customWidth="1"/>
    <col min="3" max="3" width="15.08984375" style="27" bestFit="1" customWidth="1"/>
    <col min="4" max="5" width="15.08984375" style="43" bestFit="1" customWidth="1"/>
    <col min="6" max="8" width="15.08984375" style="3" bestFit="1" customWidth="1"/>
    <col min="9" max="9" width="16.08984375" style="3" bestFit="1" customWidth="1"/>
    <col min="10" max="10" width="16.08984375" style="3" customWidth="1"/>
    <col min="11" max="11" width="16.08984375" style="3" bestFit="1" customWidth="1"/>
    <col min="12" max="12" width="17.6328125" style="3" bestFit="1" customWidth="1"/>
    <col min="13" max="13" width="18.6328125" style="3" bestFit="1" customWidth="1"/>
    <col min="14" max="16384" width="8.7265625" style="3"/>
  </cols>
  <sheetData>
    <row r="1" spans="1:19" ht="19" customHeight="1" x14ac:dyDescent="0.75">
      <c r="C1" s="3"/>
      <c r="D1" s="3"/>
      <c r="E1" s="3"/>
    </row>
    <row r="2" spans="1:19" ht="29" customHeight="1" x14ac:dyDescent="0.75">
      <c r="B2" s="38" t="s">
        <v>51</v>
      </c>
      <c r="C2" s="37">
        <v>1000</v>
      </c>
      <c r="D2" s="3"/>
      <c r="E2" s="3"/>
    </row>
    <row r="3" spans="1:19" ht="14.5" customHeight="1" x14ac:dyDescent="0.75">
      <c r="C3" s="3"/>
      <c r="D3" s="3"/>
      <c r="E3" s="3"/>
      <c r="S3" s="44" t="s">
        <v>32</v>
      </c>
    </row>
    <row r="4" spans="1:19" ht="14.5" customHeight="1" x14ac:dyDescent="0.75">
      <c r="A4" s="19"/>
      <c r="B4" s="20"/>
      <c r="C4" s="20"/>
      <c r="D4" s="20"/>
      <c r="E4" s="20"/>
      <c r="F4" s="20"/>
      <c r="G4" s="20"/>
      <c r="H4" s="46"/>
      <c r="I4" s="46"/>
      <c r="K4" s="46"/>
      <c r="L4" s="46"/>
      <c r="M4" s="46"/>
      <c r="S4" s="48" t="s">
        <v>36</v>
      </c>
    </row>
    <row r="5" spans="1:19" ht="14.5" customHeight="1" x14ac:dyDescent="0.75">
      <c r="A5" s="19"/>
      <c r="B5" s="5" t="s">
        <v>7</v>
      </c>
      <c r="C5" s="42" t="s">
        <v>3</v>
      </c>
      <c r="D5" s="36" t="s">
        <v>24</v>
      </c>
      <c r="E5" s="36" t="s">
        <v>25</v>
      </c>
      <c r="F5" s="36" t="s">
        <v>26</v>
      </c>
      <c r="G5" s="36" t="s">
        <v>4</v>
      </c>
      <c r="H5" s="49" t="s">
        <v>42</v>
      </c>
      <c r="I5" s="46"/>
      <c r="K5" s="46"/>
      <c r="L5" s="46"/>
      <c r="M5" s="46"/>
      <c r="S5" s="48" t="s">
        <v>34</v>
      </c>
    </row>
    <row r="6" spans="1:19" x14ac:dyDescent="0.75">
      <c r="A6" s="19"/>
      <c r="B6" s="7">
        <v>2009</v>
      </c>
      <c r="C6" s="32">
        <f ca="1">IFERROR(AVERAGE(OFFSET(anchorCell,0,MATCH(Results!B6,Simulation!$B$2:$M$2,0)-1,nSim,1)), 0)</f>
        <v>0</v>
      </c>
      <c r="D6" s="35">
        <f t="shared" ref="D6:D18" ca="1" si="0">SQRT(C6*Phi)</f>
        <v>0</v>
      </c>
      <c r="E6" s="30">
        <f ca="1">IFERROR(_xlfn.STDEV.S(OFFSET(anchorCell,0,MATCH(Results!B6,Simulation!$B$2:$M$2,0)-1,nSim,1))*SQRT(Psi), 0)</f>
        <v>0</v>
      </c>
      <c r="F6" s="31">
        <f ca="1">SQRT(SUMSQ(E6,D6))</f>
        <v>0</v>
      </c>
      <c r="G6" s="41">
        <f ca="1">IFERROR(F6/C6, 0)</f>
        <v>0</v>
      </c>
      <c r="H6" s="41">
        <f ca="1">IFERROR(SKEW(OFFSET(anchorCell,0,MATCH(Results!B6,Simulation!$B$2:$M$2,0)-1,nSim,1)), 0)</f>
        <v>0</v>
      </c>
      <c r="I6" s="46"/>
      <c r="K6" s="46"/>
      <c r="L6" s="46"/>
      <c r="M6" s="46"/>
      <c r="S6" s="48" t="s">
        <v>35</v>
      </c>
    </row>
    <row r="7" spans="1:19" x14ac:dyDescent="0.75">
      <c r="A7" s="19"/>
      <c r="B7" s="7">
        <v>2010</v>
      </c>
      <c r="C7" s="32">
        <f ca="1">IFERROR(AVERAGE(OFFSET(anchorCell,0,MATCH(Results!B7,Simulation!$B$2:$M$2,0)-1,nSim,1)), 0)</f>
        <v>833.04000574642987</v>
      </c>
      <c r="D7" s="35">
        <f t="shared" ca="1" si="0"/>
        <v>305.37836994550815</v>
      </c>
      <c r="E7" s="30">
        <f ca="1">IFERROR(_xlfn.STDEV.S(OFFSET(anchorCell,0,MATCH(Results!B7,Simulation!$B$2:$M$2,0)-1,nSim,1))*SQRT(Psi), 0)</f>
        <v>333.99168573458047</v>
      </c>
      <c r="F7" s="31">
        <f t="shared" ref="F7:F18" ca="1" si="1">SQRT(SUMSQ(E7,D7))</f>
        <v>452.55540541507446</v>
      </c>
      <c r="G7" s="41">
        <f t="shared" ref="G7:G18" ca="1" si="2">IFERROR(F7/C7, 0)</f>
        <v>0.54325770946567042</v>
      </c>
      <c r="H7" s="41">
        <f ca="1">IFERROR(SKEW(OFFSET(anchorCell,0,MATCH(Results!B7,Simulation!$B$2:$M$2,0)-1,nSim,1)), 0)</f>
        <v>9.9694649563206641E-3</v>
      </c>
      <c r="I7" s="46"/>
      <c r="K7" s="46"/>
      <c r="L7" s="46"/>
      <c r="M7" s="46"/>
      <c r="S7" s="47" t="s">
        <v>33</v>
      </c>
    </row>
    <row r="8" spans="1:19" x14ac:dyDescent="0.75">
      <c r="A8" s="19"/>
      <c r="B8" s="7">
        <v>2011</v>
      </c>
      <c r="C8" s="32">
        <f ca="1">IFERROR(AVERAGE(OFFSET(anchorCell,0,MATCH(Results!B8,Simulation!$B$2:$M$2,0)-1,nSim,1)), 0)</f>
        <v>1343.1738484707682</v>
      </c>
      <c r="D8" s="35">
        <f t="shared" ca="1" si="0"/>
        <v>387.7675450510136</v>
      </c>
      <c r="E8" s="30">
        <f ca="1">IFERROR(_xlfn.STDEV.S(OFFSET(anchorCell,0,MATCH(Results!B8,Simulation!$B$2:$M$2,0)-1,nSim,1))*SQRT(Psi), 0)</f>
        <v>414.93949368589233</v>
      </c>
      <c r="F8" s="31">
        <f t="shared" ca="1" si="1"/>
        <v>567.92468903472979</v>
      </c>
      <c r="G8" s="41">
        <f t="shared" ca="1" si="2"/>
        <v>0.42282292026555163</v>
      </c>
      <c r="H8" s="41">
        <f ca="1">IFERROR(SKEW(OFFSET(anchorCell,0,MATCH(Results!B8,Simulation!$B$2:$M$2,0)-1,nSim,1)), 0)</f>
        <v>-1.4879556610820192E-2</v>
      </c>
      <c r="I8" s="46"/>
      <c r="K8" s="46"/>
      <c r="L8" s="46"/>
      <c r="M8" s="46"/>
      <c r="S8" s="47" t="s">
        <v>37</v>
      </c>
    </row>
    <row r="9" spans="1:19" x14ac:dyDescent="0.75">
      <c r="A9" s="19"/>
      <c r="B9" s="7">
        <v>2012</v>
      </c>
      <c r="C9" s="32">
        <f ca="1">IFERROR(AVERAGE(OFFSET(anchorCell,0,MATCH(Results!B9,Simulation!$B$2:$M$2,0)-1,nSim,1)), 0)</f>
        <v>2231.2627541287193</v>
      </c>
      <c r="D9" s="35">
        <f t="shared" ca="1" si="0"/>
        <v>499.78210438844945</v>
      </c>
      <c r="E9" s="30">
        <f ca="1">IFERROR(_xlfn.STDEV.S(OFFSET(anchorCell,0,MATCH(Results!B9,Simulation!$B$2:$M$2,0)-1,nSim,1))*SQRT(Psi), 0)</f>
        <v>492.33834148757484</v>
      </c>
      <c r="F9" s="31">
        <f t="shared" ca="1" si="1"/>
        <v>701.55484059742821</v>
      </c>
      <c r="G9" s="41">
        <f t="shared" ca="1" si="2"/>
        <v>0.31442054025204969</v>
      </c>
      <c r="H9" s="41">
        <f ca="1">IFERROR(SKEW(OFFSET(anchorCell,0,MATCH(Results!B9,Simulation!$B$2:$M$2,0)-1,nSim,1)), 0)</f>
        <v>-3.4217529605268415E-2</v>
      </c>
      <c r="I9" s="46"/>
      <c r="K9" s="46"/>
      <c r="L9" s="46"/>
      <c r="M9" s="46"/>
    </row>
    <row r="10" spans="1:19" x14ac:dyDescent="0.75">
      <c r="A10" s="19"/>
      <c r="B10" s="7">
        <v>2013</v>
      </c>
      <c r="C10" s="32">
        <f ca="1">IFERROR(AVERAGE(OFFSET(anchorCell,0,MATCH(Results!B10,Simulation!$B$2:$M$2,0)-1,nSim,1)), 0)</f>
        <v>3359.5306043441738</v>
      </c>
      <c r="D10" s="35">
        <f t="shared" ca="1" si="0"/>
        <v>613.26000789673003</v>
      </c>
      <c r="E10" s="30">
        <f ca="1">IFERROR(_xlfn.STDEV.S(OFFSET(anchorCell,0,MATCH(Results!B10,Simulation!$B$2:$M$2,0)-1,nSim,1))*SQRT(Psi), 0)</f>
        <v>554.97578767754351</v>
      </c>
      <c r="F10" s="31">
        <f t="shared" ca="1" si="1"/>
        <v>827.09489310103186</v>
      </c>
      <c r="G10" s="41">
        <f t="shared" ca="1" si="2"/>
        <v>0.24619358788740431</v>
      </c>
      <c r="H10" s="41">
        <f ca="1">IFERROR(SKEW(OFFSET(anchorCell,0,MATCH(Results!B10,Simulation!$B$2:$M$2,0)-1,nSim,1)), 0)</f>
        <v>2.4513066723108219E-2</v>
      </c>
      <c r="I10" s="46"/>
      <c r="J10" s="46"/>
      <c r="K10" s="46"/>
      <c r="L10" s="46"/>
      <c r="M10" s="46"/>
    </row>
    <row r="11" spans="1:19" x14ac:dyDescent="0.75">
      <c r="A11" s="19"/>
      <c r="B11" s="7">
        <v>2014</v>
      </c>
      <c r="C11" s="32">
        <f ca="1">IFERROR(AVERAGE(OFFSET(anchorCell,0,MATCH(Results!B11,Simulation!$B$2:$M$2,0)-1,nSim,1)), 0)</f>
        <v>5277.9459382684845</v>
      </c>
      <c r="D11" s="35">
        <f t="shared" ca="1" si="0"/>
        <v>768.66624875275215</v>
      </c>
      <c r="E11" s="30">
        <f ca="1">IFERROR(_xlfn.STDEV.S(OFFSET(anchorCell,0,MATCH(Results!B11,Simulation!$B$2:$M$2,0)-1,nSim,1))*SQRT(Psi), 0)</f>
        <v>667.74029557689676</v>
      </c>
      <c r="F11" s="31">
        <f t="shared" ca="1" si="1"/>
        <v>1018.1968887738508</v>
      </c>
      <c r="G11" s="41">
        <f t="shared" ca="1" si="2"/>
        <v>0.19291536910055709</v>
      </c>
      <c r="H11" s="41">
        <f ca="1">IFERROR(SKEW(OFFSET(anchorCell,0,MATCH(Results!B11,Simulation!$B$2:$M$2,0)-1,nSim,1)), 0)</f>
        <v>8.1991016399339103E-2</v>
      </c>
      <c r="I11" s="46"/>
      <c r="J11" s="46"/>
      <c r="K11" s="46"/>
      <c r="L11" s="46"/>
      <c r="M11" s="46"/>
    </row>
    <row r="12" spans="1:19" x14ac:dyDescent="0.75">
      <c r="A12" s="19"/>
      <c r="B12" s="7">
        <v>2015</v>
      </c>
      <c r="C12" s="32">
        <f ca="1">IFERROR(AVERAGE(OFFSET(anchorCell,0,MATCH(Results!B12,Simulation!$B$2:$M$2,0)-1,nSim,1)), 0)</f>
        <v>7628.6026612446076</v>
      </c>
      <c r="D12" s="35">
        <f t="shared" ca="1" si="0"/>
        <v>924.11887541973294</v>
      </c>
      <c r="E12" s="30">
        <f ca="1">IFERROR(_xlfn.STDEV.S(OFFSET(anchorCell,0,MATCH(Results!B12,Simulation!$B$2:$M$2,0)-1,nSim,1))*SQRT(Psi), 0)</f>
        <v>746.66382677377555</v>
      </c>
      <c r="F12" s="31">
        <f t="shared" ca="1" si="1"/>
        <v>1188.0667347078995</v>
      </c>
      <c r="G12" s="41">
        <f t="shared" ca="1" si="2"/>
        <v>0.15573844745428991</v>
      </c>
      <c r="H12" s="41">
        <f ca="1">IFERROR(SKEW(OFFSET(anchorCell,0,MATCH(Results!B12,Simulation!$B$2:$M$2,0)-1,nSim,1)), 0)</f>
        <v>3.6540657189465704E-2</v>
      </c>
      <c r="I12" s="46"/>
      <c r="J12" s="46"/>
      <c r="K12" s="46"/>
      <c r="L12" s="46"/>
      <c r="M12" s="46"/>
    </row>
    <row r="13" spans="1:19" x14ac:dyDescent="0.75">
      <c r="A13" s="19"/>
      <c r="B13" s="7">
        <v>2016</v>
      </c>
      <c r="C13" s="32">
        <f ca="1">IFERROR(AVERAGE(OFFSET(anchorCell,0,MATCH(Results!B13,Simulation!$B$2:$M$2,0)-1,nSim,1)), 0)</f>
        <v>10254.75720509886</v>
      </c>
      <c r="D13" s="35">
        <f t="shared" ca="1" si="0"/>
        <v>1071.4404409466474</v>
      </c>
      <c r="E13" s="30">
        <f ca="1">IFERROR(_xlfn.STDEV.S(OFFSET(anchorCell,0,MATCH(Results!B13,Simulation!$B$2:$M$2,0)-1,nSim,1))*SQRT(Psi), 0)</f>
        <v>779.84127790109824</v>
      </c>
      <c r="F13" s="31">
        <f t="shared" ca="1" si="1"/>
        <v>1325.1932075038583</v>
      </c>
      <c r="G13" s="41">
        <f t="shared" ca="1" si="2"/>
        <v>0.12922716559734315</v>
      </c>
      <c r="H13" s="41">
        <f ca="1">IFERROR(SKEW(OFFSET(anchorCell,0,MATCH(Results!B13,Simulation!$B$2:$M$2,0)-1,nSim,1)), 0)</f>
        <v>4.5559203674005871E-2</v>
      </c>
      <c r="I13" s="46"/>
      <c r="J13" s="46"/>
      <c r="K13" s="46"/>
      <c r="L13" s="46"/>
      <c r="M13" s="46"/>
    </row>
    <row r="14" spans="1:19" x14ac:dyDescent="0.75">
      <c r="A14" s="19"/>
      <c r="B14" s="7">
        <v>2017</v>
      </c>
      <c r="C14" s="32">
        <f ca="1">IFERROR(AVERAGE(OFFSET(anchorCell,0,MATCH(Results!B14,Simulation!$B$2:$M$2,0)-1,nSim,1)), 0)</f>
        <v>14338.808317775825</v>
      </c>
      <c r="D14" s="35">
        <f t="shared" ca="1" si="0"/>
        <v>1266.9569929668528</v>
      </c>
      <c r="E14" s="30">
        <f ca="1">IFERROR(_xlfn.STDEV.S(OFFSET(anchorCell,0,MATCH(Results!B14,Simulation!$B$2:$M$2,0)-1,nSim,1))*SQRT(Psi), 0)</f>
        <v>895.78815691166642</v>
      </c>
      <c r="F14" s="31">
        <f t="shared" ca="1" si="1"/>
        <v>1551.6495880484131</v>
      </c>
      <c r="G14" s="41">
        <f t="shared" ca="1" si="2"/>
        <v>0.10821328758017028</v>
      </c>
      <c r="H14" s="41">
        <f ca="1">IFERROR(SKEW(OFFSET(anchorCell,0,MATCH(Results!B14,Simulation!$B$2:$M$2,0)-1,nSim,1)), 0)</f>
        <v>2.9864263302820208E-2</v>
      </c>
      <c r="I14" s="46"/>
      <c r="J14" s="46"/>
      <c r="K14" s="46"/>
      <c r="L14" s="46"/>
      <c r="M14" s="46"/>
    </row>
    <row r="15" spans="1:19" x14ac:dyDescent="0.75">
      <c r="A15" s="19"/>
      <c r="B15" s="7">
        <v>2018</v>
      </c>
      <c r="C15" s="32">
        <f ca="1">IFERROR(AVERAGE(OFFSET(anchorCell,0,MATCH(Results!B15,Simulation!$B$2:$M$2,0)-1,nSim,1)), 0)</f>
        <v>23173.50226827693</v>
      </c>
      <c r="D15" s="35">
        <f t="shared" ca="1" si="0"/>
        <v>1610.6500142237051</v>
      </c>
      <c r="E15" s="30">
        <f ca="1">IFERROR(_xlfn.STDEV.S(OFFSET(anchorCell,0,MATCH(Results!B15,Simulation!$B$2:$M$2,0)-1,nSim,1))*SQRT(Psi), 0)</f>
        <v>1130.8331121913154</v>
      </c>
      <c r="F15" s="31">
        <f t="shared" ca="1" si="1"/>
        <v>1967.9880578771604</v>
      </c>
      <c r="G15" s="41">
        <f t="shared" ca="1" si="2"/>
        <v>8.4924066940507845E-2</v>
      </c>
      <c r="H15" s="41">
        <f ca="1">IFERROR(SKEW(OFFSET(anchorCell,0,MATCH(Results!B15,Simulation!$B$2:$M$2,0)-1,nSim,1)), 0)</f>
        <v>4.3551104439172681E-3</v>
      </c>
      <c r="I15" s="46"/>
      <c r="J15" s="46"/>
      <c r="K15" s="46"/>
      <c r="L15" s="46"/>
      <c r="M15" s="46"/>
    </row>
    <row r="16" spans="1:19" x14ac:dyDescent="0.75">
      <c r="A16" s="19"/>
      <c r="B16" s="7">
        <v>2019</v>
      </c>
      <c r="C16" s="32">
        <f ca="1">IFERROR(AVERAGE(OFFSET(anchorCell,0,MATCH(Results!B16,Simulation!$B$2:$M$2,0)-1,nSim,1)), 0)</f>
        <v>46643.413284237511</v>
      </c>
      <c r="D16" s="35">
        <f t="shared" ca="1" si="0"/>
        <v>2285.0752441130076</v>
      </c>
      <c r="E16" s="30">
        <f ca="1">IFERROR(_xlfn.STDEV.S(OFFSET(anchorCell,0,MATCH(Results!B16,Simulation!$B$2:$M$2,0)-1,nSim,1))*SQRT(Psi), 0)</f>
        <v>1954.3783475588966</v>
      </c>
      <c r="F16" s="31">
        <f t="shared" ca="1" si="1"/>
        <v>3006.8527726952584</v>
      </c>
      <c r="G16" s="41">
        <f t="shared" ca="1" si="2"/>
        <v>6.446468131249268E-2</v>
      </c>
      <c r="H16" s="41">
        <f ca="1">IFERROR(SKEW(OFFSET(anchorCell,0,MATCH(Results!B16,Simulation!$B$2:$M$2,0)-1,nSim,1)), 0)</f>
        <v>6.3042621984973554E-2</v>
      </c>
      <c r="I16" s="46"/>
      <c r="J16" s="46"/>
      <c r="K16" s="46"/>
      <c r="L16" s="46"/>
      <c r="M16" s="46"/>
    </row>
    <row r="17" spans="1:13" x14ac:dyDescent="0.75">
      <c r="A17" s="19"/>
      <c r="B17" s="7">
        <v>2020</v>
      </c>
      <c r="C17" s="32">
        <f ca="1">IFERROR(AVERAGE(OFFSET(anchorCell,0,MATCH(Results!B17,Simulation!$B$2:$M$2,0)-1,nSim,1)), 0)</f>
        <v>111900.89438083867</v>
      </c>
      <c r="D17" s="35">
        <f t="shared" ca="1" si="0"/>
        <v>3539.338679107238</v>
      </c>
      <c r="E17" s="30">
        <f ca="1">IFERROR(_xlfn.STDEV.S(OFFSET(anchorCell,0,MATCH(Results!B17,Simulation!$B$2:$M$2,0)-1,nSim,1))*SQRT(Psi), 0)</f>
        <v>5506.8633750990621</v>
      </c>
      <c r="F17" s="31">
        <f t="shared" ca="1" si="1"/>
        <v>6546.1792304696337</v>
      </c>
      <c r="G17" s="41">
        <f t="shared" ca="1" si="2"/>
        <v>5.8499793649464948E-2</v>
      </c>
      <c r="H17" s="41">
        <f ca="1">IFERROR(SKEW(OFFSET(anchorCell,0,MATCH(Results!B17,Simulation!$B$2:$M$2,0)-1,nSim,1)), 0)</f>
        <v>4.2726574006087419E-2</v>
      </c>
      <c r="I17" s="46"/>
      <c r="J17" s="46"/>
      <c r="K17" s="46"/>
      <c r="L17" s="46"/>
      <c r="M17" s="46"/>
    </row>
    <row r="18" spans="1:13" x14ac:dyDescent="0.75">
      <c r="A18" s="19"/>
      <c r="B18" s="39" t="s">
        <v>28</v>
      </c>
      <c r="C18" s="32">
        <f ca="1">IFERROR(AVERAGE(OFFSET(anchorCell,0,MATCH(Results!B18,Simulation!$B$2:$M$2,0)-1,nSim,1)), 0)</f>
        <v>226984.93126843136</v>
      </c>
      <c r="D18" s="35">
        <f t="shared" ca="1" si="0"/>
        <v>5040.8509569696353</v>
      </c>
      <c r="E18" s="30">
        <f ca="1">IFERROR(_xlfn.STDEV.S(OFFSET(anchorCell,0,MATCH(Results!B18,Simulation!$B$2:$M$2,0)-1,nSim,1))*SQRT(Psi), 0)</f>
        <v>9034.7741377322127</v>
      </c>
      <c r="F18" s="31">
        <f t="shared" ca="1" si="1"/>
        <v>10345.884306825421</v>
      </c>
      <c r="G18" s="41">
        <f t="shared" ca="1" si="2"/>
        <v>4.5579608518551501E-2</v>
      </c>
      <c r="H18" s="41">
        <f ca="1">IFERROR(SKEW(OFFSET(anchorCell,0,MATCH(Results!B18,Simulation!$B$2:$M$2,0)-1,nSim,1)), 0)</f>
        <v>-5.2941777243536638E-2</v>
      </c>
      <c r="I18" s="46"/>
      <c r="J18" s="46"/>
      <c r="K18" s="46"/>
      <c r="L18" s="46"/>
      <c r="M18" s="46"/>
    </row>
    <row r="19" spans="1:13" x14ac:dyDescent="0.75">
      <c r="A19" s="19"/>
      <c r="B19" s="20"/>
      <c r="C19" s="20"/>
      <c r="D19" s="20"/>
      <c r="E19" s="20"/>
      <c r="F19" s="20"/>
      <c r="G19" s="20"/>
      <c r="H19" s="46"/>
      <c r="I19" s="46"/>
      <c r="J19" s="46"/>
      <c r="K19" s="46"/>
      <c r="L19" s="46"/>
      <c r="M19" s="46"/>
    </row>
    <row r="20" spans="1:13" x14ac:dyDescent="0.75">
      <c r="B20" s="3" t="s">
        <v>45</v>
      </c>
      <c r="C20" s="51">
        <v>226875.46248175722</v>
      </c>
      <c r="D20" s="3"/>
      <c r="E20" s="3"/>
    </row>
    <row r="21" spans="1:13" x14ac:dyDescent="0.75">
      <c r="C21" s="3"/>
      <c r="D21" s="3"/>
      <c r="E21" s="3"/>
    </row>
    <row r="22" spans="1:13" ht="30" customHeight="1" x14ac:dyDescent="0.75">
      <c r="B22"/>
      <c r="C22"/>
      <c r="D22"/>
      <c r="E22"/>
      <c r="F22"/>
    </row>
    <row r="23" spans="1:13" x14ac:dyDescent="0.75">
      <c r="B23"/>
      <c r="C23"/>
      <c r="D23"/>
      <c r="E23"/>
      <c r="F23"/>
    </row>
    <row r="24" spans="1:13" x14ac:dyDescent="0.75">
      <c r="B24"/>
      <c r="C24"/>
      <c r="D24"/>
      <c r="E24"/>
      <c r="F24"/>
    </row>
    <row r="25" spans="1:13" x14ac:dyDescent="0.75">
      <c r="B25"/>
      <c r="C25"/>
      <c r="D25"/>
      <c r="E25"/>
      <c r="F25"/>
    </row>
    <row r="26" spans="1:13" x14ac:dyDescent="0.75">
      <c r="B26"/>
      <c r="C26"/>
      <c r="D26"/>
      <c r="E26"/>
      <c r="F26"/>
    </row>
    <row r="27" spans="1:13" x14ac:dyDescent="0.75">
      <c r="B27"/>
      <c r="C27"/>
      <c r="D27"/>
      <c r="E27"/>
      <c r="F27"/>
    </row>
    <row r="28" spans="1:13" x14ac:dyDescent="0.75">
      <c r="B28"/>
      <c r="C28"/>
      <c r="D28"/>
      <c r="E28"/>
      <c r="F28"/>
    </row>
    <row r="29" spans="1:13" x14ac:dyDescent="0.75">
      <c r="B29"/>
      <c r="C29"/>
      <c r="D29"/>
      <c r="E29"/>
      <c r="F29"/>
    </row>
    <row r="30" spans="1:13" x14ac:dyDescent="0.75">
      <c r="B30"/>
      <c r="C30"/>
      <c r="D30"/>
      <c r="E30"/>
      <c r="F30"/>
    </row>
    <row r="31" spans="1:13" x14ac:dyDescent="0.75">
      <c r="B31"/>
      <c r="C31"/>
      <c r="D31"/>
      <c r="E31"/>
      <c r="F31"/>
    </row>
    <row r="32" spans="1:13" x14ac:dyDescent="0.75">
      <c r="B32"/>
      <c r="C32"/>
      <c r="D32"/>
      <c r="E32"/>
      <c r="F32"/>
    </row>
    <row r="33" spans="2:6" x14ac:dyDescent="0.75">
      <c r="B33"/>
      <c r="C33"/>
      <c r="D33"/>
      <c r="E33"/>
      <c r="F33"/>
    </row>
    <row r="34" spans="2:6" x14ac:dyDescent="0.75">
      <c r="B34"/>
      <c r="C34"/>
      <c r="D34"/>
      <c r="E34"/>
      <c r="F34"/>
    </row>
    <row r="35" spans="2:6" x14ac:dyDescent="0.75">
      <c r="B35"/>
      <c r="C35"/>
      <c r="D35"/>
      <c r="E35"/>
      <c r="F35"/>
    </row>
    <row r="36" spans="2:6" x14ac:dyDescent="0.75">
      <c r="B36"/>
      <c r="C36"/>
      <c r="D36"/>
      <c r="E36"/>
      <c r="F36"/>
    </row>
    <row r="37" spans="2:6" x14ac:dyDescent="0.75">
      <c r="B37"/>
      <c r="C37"/>
      <c r="D37"/>
      <c r="E37"/>
      <c r="F37"/>
    </row>
    <row r="38" spans="2:6" x14ac:dyDescent="0.75">
      <c r="B38"/>
      <c r="C38"/>
      <c r="D38"/>
      <c r="E38"/>
      <c r="F38"/>
    </row>
    <row r="39" spans="2:6" x14ac:dyDescent="0.75">
      <c r="B39"/>
      <c r="C39"/>
      <c r="D39"/>
      <c r="E39"/>
      <c r="F39"/>
    </row>
    <row r="40" spans="2:6" x14ac:dyDescent="0.75">
      <c r="B40"/>
      <c r="C40"/>
      <c r="D40"/>
      <c r="E40"/>
      <c r="F40"/>
    </row>
    <row r="41" spans="2:6" x14ac:dyDescent="0.75">
      <c r="B41"/>
      <c r="C41"/>
      <c r="D41"/>
      <c r="E41"/>
      <c r="F41"/>
    </row>
    <row r="42" spans="2:6" x14ac:dyDescent="0.75">
      <c r="B42"/>
      <c r="C42"/>
      <c r="D42"/>
      <c r="E42"/>
      <c r="F42"/>
    </row>
    <row r="43" spans="2:6" x14ac:dyDescent="0.75">
      <c r="B43"/>
      <c r="C43"/>
      <c r="D43"/>
      <c r="E43"/>
      <c r="F43"/>
    </row>
    <row r="44" spans="2:6" x14ac:dyDescent="0.75">
      <c r="B44"/>
      <c r="C44"/>
      <c r="D44"/>
      <c r="E44"/>
      <c r="F44"/>
    </row>
    <row r="45" spans="2:6" x14ac:dyDescent="0.75">
      <c r="B45"/>
      <c r="C45"/>
      <c r="D45"/>
      <c r="E45"/>
      <c r="F45"/>
    </row>
    <row r="46" spans="2:6" x14ac:dyDescent="0.75">
      <c r="B46"/>
      <c r="C46"/>
      <c r="D46"/>
      <c r="E46"/>
      <c r="F46"/>
    </row>
    <row r="47" spans="2:6" x14ac:dyDescent="0.75">
      <c r="B47"/>
      <c r="C47"/>
      <c r="D47"/>
      <c r="E47"/>
      <c r="F47"/>
    </row>
    <row r="48" spans="2:6" x14ac:dyDescent="0.75">
      <c r="B48"/>
      <c r="C48"/>
      <c r="D48"/>
      <c r="E48"/>
      <c r="F48"/>
    </row>
    <row r="49" spans="2:6" x14ac:dyDescent="0.75">
      <c r="B49"/>
      <c r="C49"/>
      <c r="D49"/>
      <c r="E49"/>
      <c r="F49"/>
    </row>
    <row r="50" spans="2:6" x14ac:dyDescent="0.75">
      <c r="B50"/>
      <c r="C50"/>
      <c r="D50"/>
      <c r="E50"/>
      <c r="F50"/>
    </row>
    <row r="51" spans="2:6" x14ac:dyDescent="0.75">
      <c r="B51"/>
      <c r="C51"/>
      <c r="D51"/>
      <c r="E51"/>
      <c r="F51"/>
    </row>
    <row r="52" spans="2:6" x14ac:dyDescent="0.75">
      <c r="B52"/>
      <c r="C52"/>
      <c r="D52"/>
      <c r="E52"/>
      <c r="F52"/>
    </row>
    <row r="53" spans="2:6" x14ac:dyDescent="0.75">
      <c r="B53"/>
      <c r="C53"/>
      <c r="D53"/>
      <c r="E53"/>
      <c r="F53"/>
    </row>
    <row r="54" spans="2:6" x14ac:dyDescent="0.75">
      <c r="B54"/>
      <c r="C54"/>
      <c r="D54"/>
      <c r="E54"/>
      <c r="F54"/>
    </row>
    <row r="55" spans="2:6" x14ac:dyDescent="0.75">
      <c r="B55"/>
      <c r="C55"/>
      <c r="D55"/>
      <c r="E55"/>
      <c r="F55"/>
    </row>
    <row r="56" spans="2:6" x14ac:dyDescent="0.75">
      <c r="B56"/>
      <c r="C56"/>
      <c r="D56"/>
      <c r="E56"/>
      <c r="F56"/>
    </row>
    <row r="57" spans="2:6" x14ac:dyDescent="0.75">
      <c r="D57" s="18"/>
      <c r="E57" s="18"/>
    </row>
    <row r="58" spans="2:6" x14ac:dyDescent="0.75">
      <c r="D58" s="18"/>
      <c r="E58" s="18"/>
    </row>
    <row r="59" spans="2:6" x14ac:dyDescent="0.75">
      <c r="D59" s="18"/>
      <c r="E59" s="18"/>
    </row>
    <row r="60" spans="2:6" x14ac:dyDescent="0.75">
      <c r="D60" s="18"/>
      <c r="E60" s="18"/>
    </row>
    <row r="61" spans="2:6" x14ac:dyDescent="0.75">
      <c r="D61" s="18"/>
      <c r="E61" s="18"/>
    </row>
    <row r="62" spans="2:6" x14ac:dyDescent="0.75">
      <c r="D62" s="18"/>
      <c r="E62" s="18"/>
    </row>
    <row r="63" spans="2:6" x14ac:dyDescent="0.75">
      <c r="D63" s="18"/>
      <c r="E63" s="18"/>
    </row>
    <row r="64" spans="2:6" x14ac:dyDescent="0.75">
      <c r="D64" s="18"/>
      <c r="E64" s="18"/>
    </row>
    <row r="65" spans="4:5" x14ac:dyDescent="0.75">
      <c r="D65" s="18"/>
      <c r="E65" s="18"/>
    </row>
    <row r="66" spans="4:5" x14ac:dyDescent="0.75">
      <c r="D66" s="18"/>
      <c r="E66" s="18"/>
    </row>
    <row r="67" spans="4:5" x14ac:dyDescent="0.75">
      <c r="D67" s="18"/>
      <c r="E67" s="18"/>
    </row>
    <row r="68" spans="4:5" x14ac:dyDescent="0.75">
      <c r="D68" s="18"/>
      <c r="E68" s="18"/>
    </row>
    <row r="69" spans="4:5" x14ac:dyDescent="0.75">
      <c r="D69" s="18"/>
      <c r="E69" s="18"/>
    </row>
    <row r="70" spans="4:5" x14ac:dyDescent="0.75">
      <c r="D70" s="18"/>
      <c r="E70" s="18"/>
    </row>
    <row r="71" spans="4:5" x14ac:dyDescent="0.75">
      <c r="D71" s="18"/>
      <c r="E71" s="18"/>
    </row>
    <row r="72" spans="4:5" x14ac:dyDescent="0.75">
      <c r="D72" s="18"/>
      <c r="E72" s="18"/>
    </row>
    <row r="73" spans="4:5" x14ac:dyDescent="0.75">
      <c r="D73" s="18"/>
      <c r="E73" s="18"/>
    </row>
    <row r="74" spans="4:5" x14ac:dyDescent="0.75">
      <c r="D74" s="18"/>
      <c r="E74" s="18"/>
    </row>
    <row r="75" spans="4:5" x14ac:dyDescent="0.75">
      <c r="D75" s="18"/>
      <c r="E75" s="18"/>
    </row>
    <row r="76" spans="4:5" x14ac:dyDescent="0.75">
      <c r="D76" s="18"/>
      <c r="E76" s="18"/>
    </row>
    <row r="77" spans="4:5" x14ac:dyDescent="0.75">
      <c r="D77" s="18"/>
      <c r="E77" s="18"/>
    </row>
    <row r="78" spans="4:5" x14ac:dyDescent="0.75">
      <c r="D78" s="18"/>
      <c r="E78" s="18"/>
    </row>
    <row r="79" spans="4:5" x14ac:dyDescent="0.75">
      <c r="D79" s="18"/>
      <c r="E79" s="18"/>
    </row>
    <row r="80" spans="4:5" x14ac:dyDescent="0.75">
      <c r="D80" s="18"/>
      <c r="E80" s="18"/>
    </row>
    <row r="81" spans="4:5" x14ac:dyDescent="0.75">
      <c r="D81" s="18"/>
      <c r="E81" s="18"/>
    </row>
    <row r="82" spans="4:5" x14ac:dyDescent="0.75">
      <c r="D82" s="18"/>
      <c r="E82" s="18"/>
    </row>
    <row r="83" spans="4:5" x14ac:dyDescent="0.75">
      <c r="D83" s="18"/>
      <c r="E83" s="18"/>
    </row>
    <row r="84" spans="4:5" x14ac:dyDescent="0.75">
      <c r="D84" s="18"/>
      <c r="E84" s="18"/>
    </row>
    <row r="85" spans="4:5" x14ac:dyDescent="0.75">
      <c r="D85" s="18"/>
      <c r="E85" s="18"/>
    </row>
    <row r="86" spans="4:5" x14ac:dyDescent="0.75">
      <c r="D86" s="18"/>
      <c r="E86" s="18"/>
    </row>
    <row r="87" spans="4:5" x14ac:dyDescent="0.75">
      <c r="D87" s="18"/>
      <c r="E87" s="18"/>
    </row>
    <row r="88" spans="4:5" x14ac:dyDescent="0.75">
      <c r="D88" s="18"/>
      <c r="E88" s="18"/>
    </row>
    <row r="89" spans="4:5" x14ac:dyDescent="0.75">
      <c r="D89" s="18"/>
      <c r="E89" s="18"/>
    </row>
    <row r="90" spans="4:5" x14ac:dyDescent="0.75">
      <c r="D90" s="18"/>
      <c r="E90" s="18"/>
    </row>
    <row r="91" spans="4:5" x14ac:dyDescent="0.75">
      <c r="D91" s="18"/>
      <c r="E91" s="18"/>
    </row>
    <row r="92" spans="4:5" x14ac:dyDescent="0.75">
      <c r="D92" s="18"/>
      <c r="E92" s="18"/>
    </row>
    <row r="93" spans="4:5" x14ac:dyDescent="0.75">
      <c r="D93" s="18"/>
      <c r="E93" s="18"/>
    </row>
    <row r="94" spans="4:5" x14ac:dyDescent="0.75">
      <c r="D94" s="18"/>
      <c r="E94" s="18"/>
    </row>
    <row r="95" spans="4:5" x14ac:dyDescent="0.75">
      <c r="D95" s="18"/>
      <c r="E95" s="18"/>
    </row>
    <row r="96" spans="4:5" x14ac:dyDescent="0.75">
      <c r="D96" s="18"/>
      <c r="E96" s="18"/>
    </row>
    <row r="97" spans="4:5" x14ac:dyDescent="0.75">
      <c r="D97" s="18"/>
      <c r="E97" s="18"/>
    </row>
    <row r="98" spans="4:5" x14ac:dyDescent="0.75">
      <c r="D98" s="18"/>
      <c r="E98" s="18"/>
    </row>
    <row r="99" spans="4:5" x14ac:dyDescent="0.75">
      <c r="D99" s="18"/>
      <c r="E99" s="18"/>
    </row>
    <row r="100" spans="4:5" x14ac:dyDescent="0.75">
      <c r="D100" s="18"/>
      <c r="E100" s="18"/>
    </row>
    <row r="101" spans="4:5" x14ac:dyDescent="0.75">
      <c r="D101" s="18"/>
      <c r="E101" s="18"/>
    </row>
    <row r="102" spans="4:5" x14ac:dyDescent="0.75">
      <c r="D102" s="18"/>
      <c r="E102" s="18"/>
    </row>
    <row r="103" spans="4:5" x14ac:dyDescent="0.75">
      <c r="D103" s="18"/>
      <c r="E103" s="18"/>
    </row>
    <row r="104" spans="4:5" x14ac:dyDescent="0.75">
      <c r="D104" s="18"/>
      <c r="E104" s="18"/>
    </row>
    <row r="105" spans="4:5" x14ac:dyDescent="0.75">
      <c r="D105" s="18"/>
      <c r="E105" s="18"/>
    </row>
    <row r="106" spans="4:5" x14ac:dyDescent="0.75">
      <c r="D106" s="18"/>
      <c r="E106" s="18"/>
    </row>
    <row r="107" spans="4:5" x14ac:dyDescent="0.75">
      <c r="D107" s="18"/>
      <c r="E107" s="18"/>
    </row>
    <row r="108" spans="4:5" x14ac:dyDescent="0.75">
      <c r="D108" s="18"/>
      <c r="E108" s="18"/>
    </row>
    <row r="109" spans="4:5" x14ac:dyDescent="0.75">
      <c r="D109" s="18"/>
      <c r="E109" s="18"/>
    </row>
    <row r="110" spans="4:5" x14ac:dyDescent="0.75">
      <c r="D110" s="18"/>
      <c r="E110" s="18"/>
    </row>
    <row r="111" spans="4:5" x14ac:dyDescent="0.75">
      <c r="D111" s="18"/>
      <c r="E111" s="18"/>
    </row>
    <row r="112" spans="4:5" x14ac:dyDescent="0.75">
      <c r="D112" s="18"/>
      <c r="E112" s="18"/>
    </row>
    <row r="113" spans="4:5" x14ac:dyDescent="0.75">
      <c r="D113" s="18"/>
      <c r="E113" s="18"/>
    </row>
    <row r="114" spans="4:5" x14ac:dyDescent="0.75">
      <c r="D114" s="18"/>
      <c r="E114" s="18"/>
    </row>
    <row r="115" spans="4:5" x14ac:dyDescent="0.75">
      <c r="D115" s="18"/>
      <c r="E115" s="18"/>
    </row>
    <row r="116" spans="4:5" x14ac:dyDescent="0.75">
      <c r="D116" s="18"/>
      <c r="E116" s="18"/>
    </row>
    <row r="117" spans="4:5" x14ac:dyDescent="0.75">
      <c r="D117" s="18"/>
      <c r="E117" s="18"/>
    </row>
    <row r="118" spans="4:5" x14ac:dyDescent="0.75">
      <c r="D118" s="18"/>
      <c r="E118" s="18"/>
    </row>
    <row r="119" spans="4:5" x14ac:dyDescent="0.75">
      <c r="D119" s="18"/>
      <c r="E119" s="18"/>
    </row>
    <row r="120" spans="4:5" x14ac:dyDescent="0.75">
      <c r="D120" s="18"/>
      <c r="E120" s="18"/>
    </row>
    <row r="121" spans="4:5" x14ac:dyDescent="0.75">
      <c r="D121" s="18"/>
      <c r="E121" s="18"/>
    </row>
    <row r="122" spans="4:5" x14ac:dyDescent="0.75">
      <c r="D122" s="18"/>
      <c r="E122" s="18"/>
    </row>
    <row r="123" spans="4:5" x14ac:dyDescent="0.75">
      <c r="D123" s="18"/>
      <c r="E123" s="18"/>
    </row>
    <row r="124" spans="4:5" x14ac:dyDescent="0.75">
      <c r="D124" s="18"/>
      <c r="E124" s="18"/>
    </row>
    <row r="125" spans="4:5" x14ac:dyDescent="0.75">
      <c r="D125" s="18"/>
      <c r="E125" s="18"/>
    </row>
    <row r="126" spans="4:5" x14ac:dyDescent="0.75">
      <c r="D126" s="18"/>
      <c r="E126" s="18"/>
    </row>
    <row r="127" spans="4:5" x14ac:dyDescent="0.75">
      <c r="D127" s="18"/>
      <c r="E127" s="18"/>
    </row>
    <row r="128" spans="4:5" x14ac:dyDescent="0.75">
      <c r="D128" s="18"/>
      <c r="E128" s="18"/>
    </row>
    <row r="129" spans="4:5" x14ac:dyDescent="0.75">
      <c r="D129" s="18"/>
      <c r="E129" s="18"/>
    </row>
    <row r="130" spans="4:5" x14ac:dyDescent="0.75">
      <c r="D130" s="18"/>
      <c r="E130" s="18"/>
    </row>
    <row r="131" spans="4:5" x14ac:dyDescent="0.75">
      <c r="D131" s="18"/>
      <c r="E131" s="18"/>
    </row>
    <row r="132" spans="4:5" x14ac:dyDescent="0.75">
      <c r="D132" s="18"/>
      <c r="E132" s="18"/>
    </row>
    <row r="133" spans="4:5" x14ac:dyDescent="0.75">
      <c r="D133" s="18"/>
      <c r="E133" s="18"/>
    </row>
    <row r="134" spans="4:5" x14ac:dyDescent="0.75">
      <c r="D134" s="18"/>
      <c r="E134" s="18"/>
    </row>
    <row r="135" spans="4:5" x14ac:dyDescent="0.75">
      <c r="D135" s="18"/>
      <c r="E135" s="18"/>
    </row>
    <row r="136" spans="4:5" x14ac:dyDescent="0.75">
      <c r="D136" s="18"/>
      <c r="E136" s="18"/>
    </row>
    <row r="137" spans="4:5" x14ac:dyDescent="0.75">
      <c r="D137" s="18"/>
      <c r="E137" s="18"/>
    </row>
    <row r="138" spans="4:5" x14ac:dyDescent="0.75">
      <c r="D138" s="18"/>
      <c r="E138" s="18"/>
    </row>
    <row r="139" spans="4:5" x14ac:dyDescent="0.75">
      <c r="D139" s="18"/>
      <c r="E139" s="18"/>
    </row>
    <row r="140" spans="4:5" x14ac:dyDescent="0.75">
      <c r="D140" s="18"/>
      <c r="E140" s="18"/>
    </row>
    <row r="141" spans="4:5" x14ac:dyDescent="0.75">
      <c r="D141" s="18"/>
      <c r="E141" s="18"/>
    </row>
    <row r="142" spans="4:5" x14ac:dyDescent="0.75">
      <c r="D142" s="18"/>
      <c r="E142" s="18"/>
    </row>
    <row r="143" spans="4:5" x14ac:dyDescent="0.75">
      <c r="D143" s="18"/>
      <c r="E143" s="18"/>
    </row>
    <row r="144" spans="4:5" x14ac:dyDescent="0.75">
      <c r="D144" s="18"/>
      <c r="E144" s="18"/>
    </row>
    <row r="145" spans="4:5" x14ac:dyDescent="0.75">
      <c r="D145" s="18"/>
      <c r="E145" s="18"/>
    </row>
    <row r="146" spans="4:5" x14ac:dyDescent="0.75">
      <c r="D146" s="18"/>
      <c r="E146" s="18"/>
    </row>
    <row r="147" spans="4:5" x14ac:dyDescent="0.75">
      <c r="D147" s="18"/>
      <c r="E147" s="18"/>
    </row>
    <row r="148" spans="4:5" x14ac:dyDescent="0.75">
      <c r="D148" s="18"/>
      <c r="E148" s="18"/>
    </row>
    <row r="149" spans="4:5" x14ac:dyDescent="0.75">
      <c r="D149" s="18"/>
      <c r="E149" s="18"/>
    </row>
    <row r="150" spans="4:5" x14ac:dyDescent="0.75">
      <c r="D150" s="18"/>
      <c r="E150" s="18"/>
    </row>
    <row r="151" spans="4:5" x14ac:dyDescent="0.75">
      <c r="D151" s="18"/>
      <c r="E151" s="18"/>
    </row>
    <row r="152" spans="4:5" x14ac:dyDescent="0.75">
      <c r="D152" s="18"/>
      <c r="E152" s="18"/>
    </row>
    <row r="153" spans="4:5" x14ac:dyDescent="0.75">
      <c r="D153" s="18"/>
      <c r="E153" s="18"/>
    </row>
    <row r="154" spans="4:5" x14ac:dyDescent="0.75">
      <c r="D154" s="18"/>
      <c r="E154" s="18"/>
    </row>
    <row r="155" spans="4:5" x14ac:dyDescent="0.75">
      <c r="D155" s="18"/>
      <c r="E155" s="18"/>
    </row>
    <row r="156" spans="4:5" x14ac:dyDescent="0.75">
      <c r="D156" s="18"/>
      <c r="E156" s="18"/>
    </row>
    <row r="157" spans="4:5" x14ac:dyDescent="0.75">
      <c r="D157" s="18"/>
      <c r="E157" s="18"/>
    </row>
    <row r="158" spans="4:5" x14ac:dyDescent="0.75">
      <c r="D158" s="18"/>
      <c r="E158" s="18"/>
    </row>
    <row r="159" spans="4:5" x14ac:dyDescent="0.75">
      <c r="D159" s="18"/>
      <c r="E159" s="18"/>
    </row>
    <row r="160" spans="4:5" x14ac:dyDescent="0.75">
      <c r="D160" s="18"/>
      <c r="E160" s="18"/>
    </row>
    <row r="161" spans="4:5" x14ac:dyDescent="0.75">
      <c r="D161" s="18"/>
      <c r="E161" s="18"/>
    </row>
    <row r="162" spans="4:5" x14ac:dyDescent="0.75">
      <c r="D162" s="18"/>
      <c r="E162" s="18"/>
    </row>
    <row r="163" spans="4:5" x14ac:dyDescent="0.75">
      <c r="D163" s="18"/>
      <c r="E163" s="18"/>
    </row>
    <row r="164" spans="4:5" x14ac:dyDescent="0.75">
      <c r="D164" s="18"/>
      <c r="E164" s="18"/>
    </row>
    <row r="165" spans="4:5" x14ac:dyDescent="0.75">
      <c r="D165" s="18"/>
      <c r="E165" s="18"/>
    </row>
    <row r="166" spans="4:5" x14ac:dyDescent="0.75">
      <c r="D166" s="18"/>
      <c r="E166" s="18"/>
    </row>
    <row r="167" spans="4:5" x14ac:dyDescent="0.75">
      <c r="D167" s="18"/>
      <c r="E167" s="18"/>
    </row>
    <row r="168" spans="4:5" x14ac:dyDescent="0.75">
      <c r="D168" s="18"/>
      <c r="E168" s="18"/>
    </row>
    <row r="169" spans="4:5" x14ac:dyDescent="0.75">
      <c r="D169" s="18"/>
      <c r="E169" s="18"/>
    </row>
    <row r="170" spans="4:5" x14ac:dyDescent="0.75">
      <c r="D170" s="18"/>
      <c r="E170" s="18"/>
    </row>
    <row r="171" spans="4:5" x14ac:dyDescent="0.75">
      <c r="D171" s="18"/>
      <c r="E171" s="18"/>
    </row>
    <row r="172" spans="4:5" x14ac:dyDescent="0.75">
      <c r="D172" s="18"/>
      <c r="E172" s="18"/>
    </row>
    <row r="173" spans="4:5" x14ac:dyDescent="0.75">
      <c r="D173" s="18"/>
      <c r="E173" s="18"/>
    </row>
    <row r="174" spans="4:5" x14ac:dyDescent="0.75">
      <c r="D174" s="18"/>
      <c r="E174" s="18"/>
    </row>
    <row r="175" spans="4:5" x14ac:dyDescent="0.75">
      <c r="D175" s="18"/>
      <c r="E175" s="18"/>
    </row>
    <row r="176" spans="4:5" x14ac:dyDescent="0.75">
      <c r="D176" s="18"/>
      <c r="E176" s="18"/>
    </row>
    <row r="177" spans="4:5" x14ac:dyDescent="0.75">
      <c r="D177" s="18"/>
      <c r="E177" s="18"/>
    </row>
    <row r="178" spans="4:5" x14ac:dyDescent="0.75">
      <c r="D178" s="18"/>
      <c r="E178" s="18"/>
    </row>
    <row r="179" spans="4:5" x14ac:dyDescent="0.75">
      <c r="D179" s="18"/>
      <c r="E179" s="18"/>
    </row>
    <row r="180" spans="4:5" x14ac:dyDescent="0.75">
      <c r="D180" s="18"/>
      <c r="E180" s="18"/>
    </row>
    <row r="181" spans="4:5" x14ac:dyDescent="0.75">
      <c r="D181" s="18"/>
      <c r="E181" s="18"/>
    </row>
    <row r="182" spans="4:5" x14ac:dyDescent="0.75">
      <c r="D182" s="18"/>
      <c r="E182" s="18"/>
    </row>
    <row r="183" spans="4:5" x14ac:dyDescent="0.75">
      <c r="D183" s="18"/>
      <c r="E183" s="18"/>
    </row>
    <row r="184" spans="4:5" x14ac:dyDescent="0.75">
      <c r="D184" s="18"/>
      <c r="E184" s="18"/>
    </row>
    <row r="185" spans="4:5" x14ac:dyDescent="0.75">
      <c r="D185" s="18"/>
      <c r="E185" s="18"/>
    </row>
    <row r="186" spans="4:5" x14ac:dyDescent="0.75">
      <c r="D186" s="18"/>
      <c r="E186" s="18"/>
    </row>
    <row r="187" spans="4:5" x14ac:dyDescent="0.75">
      <c r="D187" s="18"/>
      <c r="E187" s="18"/>
    </row>
    <row r="188" spans="4:5" x14ac:dyDescent="0.75">
      <c r="D188" s="18"/>
      <c r="E188" s="18"/>
    </row>
    <row r="189" spans="4:5" x14ac:dyDescent="0.75">
      <c r="D189" s="18"/>
      <c r="E189" s="18"/>
    </row>
    <row r="190" spans="4:5" x14ac:dyDescent="0.75">
      <c r="D190" s="18"/>
      <c r="E190" s="18"/>
    </row>
    <row r="191" spans="4:5" x14ac:dyDescent="0.75">
      <c r="D191" s="18"/>
      <c r="E191" s="18"/>
    </row>
    <row r="192" spans="4:5" x14ac:dyDescent="0.75">
      <c r="D192" s="18"/>
      <c r="E192" s="18"/>
    </row>
    <row r="193" spans="4:5" x14ac:dyDescent="0.75">
      <c r="D193" s="18"/>
      <c r="E193" s="18"/>
    </row>
    <row r="194" spans="4:5" x14ac:dyDescent="0.75">
      <c r="D194" s="18"/>
      <c r="E194" s="18"/>
    </row>
    <row r="195" spans="4:5" x14ac:dyDescent="0.75">
      <c r="D195" s="18"/>
      <c r="E195" s="18"/>
    </row>
    <row r="196" spans="4:5" x14ac:dyDescent="0.75">
      <c r="D196" s="18"/>
      <c r="E196" s="18"/>
    </row>
    <row r="197" spans="4:5" x14ac:dyDescent="0.75">
      <c r="D197" s="18"/>
      <c r="E197" s="18"/>
    </row>
    <row r="198" spans="4:5" x14ac:dyDescent="0.75">
      <c r="D198" s="18"/>
      <c r="E198" s="18"/>
    </row>
    <row r="199" spans="4:5" x14ac:dyDescent="0.75">
      <c r="D199" s="18"/>
      <c r="E199" s="18"/>
    </row>
    <row r="200" spans="4:5" x14ac:dyDescent="0.75">
      <c r="D200" s="18"/>
      <c r="E200" s="18"/>
    </row>
    <row r="201" spans="4:5" x14ac:dyDescent="0.75">
      <c r="D201" s="18"/>
      <c r="E201" s="18"/>
    </row>
    <row r="202" spans="4:5" x14ac:dyDescent="0.75">
      <c r="D202" s="18"/>
      <c r="E202" s="18"/>
    </row>
    <row r="203" spans="4:5" x14ac:dyDescent="0.75">
      <c r="D203" s="18"/>
      <c r="E203" s="18"/>
    </row>
    <row r="204" spans="4:5" x14ac:dyDescent="0.75">
      <c r="D204" s="18"/>
      <c r="E204" s="18"/>
    </row>
    <row r="205" spans="4:5" x14ac:dyDescent="0.75">
      <c r="D205" s="18"/>
      <c r="E205" s="18"/>
    </row>
    <row r="206" spans="4:5" x14ac:dyDescent="0.75">
      <c r="D206" s="18"/>
      <c r="E206" s="18"/>
    </row>
    <row r="207" spans="4:5" x14ac:dyDescent="0.75">
      <c r="D207" s="18"/>
      <c r="E207" s="18"/>
    </row>
    <row r="208" spans="4:5" x14ac:dyDescent="0.75">
      <c r="D208" s="18"/>
      <c r="E208" s="18"/>
    </row>
    <row r="209" spans="4:5" x14ac:dyDescent="0.75">
      <c r="D209" s="18"/>
      <c r="E209" s="18"/>
    </row>
    <row r="210" spans="4:5" x14ac:dyDescent="0.75">
      <c r="D210" s="18"/>
      <c r="E210" s="18"/>
    </row>
    <row r="211" spans="4:5" x14ac:dyDescent="0.75">
      <c r="D211" s="18"/>
      <c r="E211" s="18"/>
    </row>
    <row r="212" spans="4:5" x14ac:dyDescent="0.75">
      <c r="D212" s="18"/>
      <c r="E212" s="18"/>
    </row>
    <row r="213" spans="4:5" x14ac:dyDescent="0.75">
      <c r="D213" s="18"/>
      <c r="E213" s="18"/>
    </row>
    <row r="214" spans="4:5" x14ac:dyDescent="0.75">
      <c r="D214" s="18"/>
      <c r="E214" s="18"/>
    </row>
    <row r="215" spans="4:5" x14ac:dyDescent="0.75">
      <c r="D215" s="18"/>
      <c r="E215" s="18"/>
    </row>
    <row r="216" spans="4:5" x14ac:dyDescent="0.75">
      <c r="D216" s="18"/>
      <c r="E216" s="18"/>
    </row>
    <row r="217" spans="4:5" x14ac:dyDescent="0.75">
      <c r="D217" s="18"/>
      <c r="E217" s="18"/>
    </row>
    <row r="218" spans="4:5" x14ac:dyDescent="0.75">
      <c r="D218" s="18"/>
      <c r="E218" s="18"/>
    </row>
    <row r="219" spans="4:5" x14ac:dyDescent="0.75">
      <c r="D219" s="18"/>
      <c r="E219" s="18"/>
    </row>
    <row r="220" spans="4:5" x14ac:dyDescent="0.75">
      <c r="D220" s="18"/>
      <c r="E220" s="18"/>
    </row>
    <row r="221" spans="4:5" x14ac:dyDescent="0.75">
      <c r="D221" s="18"/>
      <c r="E221" s="18"/>
    </row>
    <row r="222" spans="4:5" x14ac:dyDescent="0.75">
      <c r="D222" s="18"/>
      <c r="E222" s="18"/>
    </row>
    <row r="223" spans="4:5" x14ac:dyDescent="0.75">
      <c r="D223" s="18"/>
      <c r="E223" s="18"/>
    </row>
    <row r="224" spans="4:5" x14ac:dyDescent="0.75">
      <c r="D224" s="18"/>
      <c r="E224" s="18"/>
    </row>
    <row r="225" spans="4:5" x14ac:dyDescent="0.75">
      <c r="D225" s="18"/>
      <c r="E225" s="18"/>
    </row>
    <row r="226" spans="4:5" x14ac:dyDescent="0.75">
      <c r="D226" s="18"/>
      <c r="E226" s="18"/>
    </row>
    <row r="227" spans="4:5" x14ac:dyDescent="0.75">
      <c r="D227" s="18"/>
      <c r="E227" s="18"/>
    </row>
    <row r="228" spans="4:5" x14ac:dyDescent="0.75">
      <c r="D228" s="18"/>
      <c r="E228" s="18"/>
    </row>
    <row r="229" spans="4:5" x14ac:dyDescent="0.75">
      <c r="D229" s="18"/>
      <c r="E229" s="18"/>
    </row>
    <row r="230" spans="4:5" x14ac:dyDescent="0.75">
      <c r="D230" s="18"/>
      <c r="E230" s="18"/>
    </row>
    <row r="231" spans="4:5" x14ac:dyDescent="0.75">
      <c r="D231" s="18"/>
      <c r="E231" s="18"/>
    </row>
    <row r="232" spans="4:5" x14ac:dyDescent="0.75">
      <c r="D232" s="18"/>
      <c r="E232" s="18"/>
    </row>
    <row r="233" spans="4:5" x14ac:dyDescent="0.75">
      <c r="D233" s="18"/>
      <c r="E233" s="18"/>
    </row>
    <row r="234" spans="4:5" x14ac:dyDescent="0.75">
      <c r="D234" s="18"/>
      <c r="E234" s="18"/>
    </row>
    <row r="235" spans="4:5" x14ac:dyDescent="0.75">
      <c r="D235" s="18"/>
      <c r="E235" s="18"/>
    </row>
    <row r="236" spans="4:5" x14ac:dyDescent="0.75">
      <c r="D236" s="18"/>
      <c r="E236" s="18"/>
    </row>
    <row r="237" spans="4:5" x14ac:dyDescent="0.75">
      <c r="D237" s="18"/>
      <c r="E237" s="18"/>
    </row>
    <row r="238" spans="4:5" x14ac:dyDescent="0.75">
      <c r="D238" s="18"/>
      <c r="E238" s="18"/>
    </row>
    <row r="239" spans="4:5" x14ac:dyDescent="0.75">
      <c r="D239" s="18"/>
      <c r="E239" s="18"/>
    </row>
    <row r="240" spans="4:5" x14ac:dyDescent="0.75">
      <c r="D240" s="18"/>
      <c r="E240" s="18"/>
    </row>
    <row r="241" spans="4:5" x14ac:dyDescent="0.75">
      <c r="D241" s="18"/>
      <c r="E241" s="18"/>
    </row>
    <row r="242" spans="4:5" x14ac:dyDescent="0.75">
      <c r="D242" s="18"/>
      <c r="E242" s="18"/>
    </row>
    <row r="243" spans="4:5" x14ac:dyDescent="0.75">
      <c r="D243" s="18"/>
      <c r="E243" s="18"/>
    </row>
    <row r="244" spans="4:5" x14ac:dyDescent="0.75">
      <c r="D244" s="18"/>
      <c r="E244" s="18"/>
    </row>
    <row r="245" spans="4:5" x14ac:dyDescent="0.75">
      <c r="D245" s="18"/>
      <c r="E245" s="18"/>
    </row>
    <row r="246" spans="4:5" x14ac:dyDescent="0.75">
      <c r="D246" s="18"/>
      <c r="E246" s="18"/>
    </row>
    <row r="247" spans="4:5" x14ac:dyDescent="0.75">
      <c r="D247" s="18"/>
      <c r="E247" s="18"/>
    </row>
    <row r="248" spans="4:5" x14ac:dyDescent="0.75">
      <c r="D248" s="18"/>
      <c r="E248" s="18"/>
    </row>
    <row r="249" spans="4:5" x14ac:dyDescent="0.75">
      <c r="D249" s="18"/>
      <c r="E249" s="18"/>
    </row>
    <row r="250" spans="4:5" x14ac:dyDescent="0.75">
      <c r="D250" s="18"/>
      <c r="E250" s="18"/>
    </row>
    <row r="251" spans="4:5" x14ac:dyDescent="0.75">
      <c r="D251" s="18"/>
      <c r="E251" s="18"/>
    </row>
    <row r="252" spans="4:5" x14ac:dyDescent="0.75">
      <c r="D252" s="18"/>
      <c r="E252" s="18"/>
    </row>
    <row r="253" spans="4:5" x14ac:dyDescent="0.75">
      <c r="D253" s="18"/>
      <c r="E253" s="18"/>
    </row>
    <row r="254" spans="4:5" x14ac:dyDescent="0.75">
      <c r="D254" s="18"/>
      <c r="E254" s="18"/>
    </row>
    <row r="255" spans="4:5" x14ac:dyDescent="0.75">
      <c r="D255" s="18"/>
      <c r="E255" s="18"/>
    </row>
    <row r="256" spans="4:5" x14ac:dyDescent="0.75">
      <c r="D256" s="18"/>
      <c r="E256" s="18"/>
    </row>
    <row r="257" spans="4:5" x14ac:dyDescent="0.75">
      <c r="D257" s="18"/>
      <c r="E257" s="18"/>
    </row>
    <row r="258" spans="4:5" x14ac:dyDescent="0.75">
      <c r="D258" s="18"/>
      <c r="E258" s="18"/>
    </row>
    <row r="259" spans="4:5" x14ac:dyDescent="0.75">
      <c r="D259" s="18"/>
      <c r="E259" s="18"/>
    </row>
    <row r="260" spans="4:5" x14ac:dyDescent="0.75">
      <c r="D260" s="18"/>
      <c r="E260" s="18"/>
    </row>
    <row r="261" spans="4:5" x14ac:dyDescent="0.75">
      <c r="D261" s="18"/>
      <c r="E261" s="18"/>
    </row>
    <row r="262" spans="4:5" x14ac:dyDescent="0.75">
      <c r="D262" s="18"/>
      <c r="E262" s="18"/>
    </row>
    <row r="263" spans="4:5" x14ac:dyDescent="0.75">
      <c r="D263" s="18"/>
      <c r="E263" s="18"/>
    </row>
    <row r="264" spans="4:5" x14ac:dyDescent="0.75">
      <c r="D264" s="18"/>
      <c r="E264" s="18"/>
    </row>
    <row r="265" spans="4:5" x14ac:dyDescent="0.75">
      <c r="D265" s="18"/>
      <c r="E265" s="18"/>
    </row>
    <row r="266" spans="4:5" x14ac:dyDescent="0.75">
      <c r="D266" s="18"/>
      <c r="E266" s="18"/>
    </row>
    <row r="267" spans="4:5" x14ac:dyDescent="0.75">
      <c r="D267" s="18"/>
      <c r="E267" s="18"/>
    </row>
    <row r="268" spans="4:5" x14ac:dyDescent="0.75">
      <c r="D268" s="18"/>
      <c r="E268" s="18"/>
    </row>
    <row r="269" spans="4:5" x14ac:dyDescent="0.75">
      <c r="D269" s="18"/>
      <c r="E269" s="18"/>
    </row>
    <row r="270" spans="4:5" x14ac:dyDescent="0.75">
      <c r="D270" s="18"/>
      <c r="E270" s="18"/>
    </row>
    <row r="271" spans="4:5" x14ac:dyDescent="0.75">
      <c r="D271" s="18"/>
      <c r="E271" s="18"/>
    </row>
    <row r="272" spans="4:5" x14ac:dyDescent="0.75">
      <c r="D272" s="18"/>
      <c r="E272" s="18"/>
    </row>
    <row r="273" spans="4:5" x14ac:dyDescent="0.75">
      <c r="D273" s="18"/>
      <c r="E273" s="18"/>
    </row>
    <row r="274" spans="4:5" x14ac:dyDescent="0.75">
      <c r="D274" s="18"/>
      <c r="E274" s="18"/>
    </row>
    <row r="275" spans="4:5" x14ac:dyDescent="0.75">
      <c r="D275" s="18"/>
      <c r="E275" s="18"/>
    </row>
    <row r="276" spans="4:5" x14ac:dyDescent="0.75">
      <c r="D276" s="18"/>
      <c r="E276" s="18"/>
    </row>
    <row r="277" spans="4:5" x14ac:dyDescent="0.75">
      <c r="D277" s="18"/>
      <c r="E277" s="18"/>
    </row>
    <row r="278" spans="4:5" x14ac:dyDescent="0.75">
      <c r="D278" s="18"/>
      <c r="E278" s="18"/>
    </row>
    <row r="279" spans="4:5" x14ac:dyDescent="0.75">
      <c r="D279" s="18"/>
      <c r="E279" s="18"/>
    </row>
    <row r="280" spans="4:5" x14ac:dyDescent="0.75">
      <c r="D280" s="18"/>
      <c r="E280" s="18"/>
    </row>
    <row r="281" spans="4:5" x14ac:dyDescent="0.75">
      <c r="D281" s="18"/>
      <c r="E281" s="18"/>
    </row>
    <row r="282" spans="4:5" x14ac:dyDescent="0.75">
      <c r="D282" s="18"/>
      <c r="E282" s="18"/>
    </row>
    <row r="283" spans="4:5" x14ac:dyDescent="0.75">
      <c r="D283" s="18"/>
      <c r="E283" s="18"/>
    </row>
    <row r="284" spans="4:5" x14ac:dyDescent="0.75">
      <c r="D284" s="18"/>
      <c r="E284" s="18"/>
    </row>
    <row r="285" spans="4:5" x14ac:dyDescent="0.75">
      <c r="D285" s="18"/>
      <c r="E285" s="18"/>
    </row>
    <row r="286" spans="4:5" x14ac:dyDescent="0.75">
      <c r="D286" s="18"/>
      <c r="E286" s="18"/>
    </row>
    <row r="287" spans="4:5" x14ac:dyDescent="0.75">
      <c r="D287" s="18"/>
      <c r="E287" s="18"/>
    </row>
    <row r="288" spans="4:5" x14ac:dyDescent="0.75">
      <c r="D288" s="18"/>
      <c r="E288" s="18"/>
    </row>
    <row r="289" spans="4:5" x14ac:dyDescent="0.75">
      <c r="D289" s="18"/>
      <c r="E289" s="18"/>
    </row>
    <row r="290" spans="4:5" x14ac:dyDescent="0.75">
      <c r="D290" s="18"/>
      <c r="E290" s="18"/>
    </row>
    <row r="291" spans="4:5" x14ac:dyDescent="0.75">
      <c r="D291" s="18"/>
      <c r="E291" s="18"/>
    </row>
    <row r="292" spans="4:5" x14ac:dyDescent="0.75">
      <c r="D292" s="18"/>
      <c r="E292" s="18"/>
    </row>
    <row r="293" spans="4:5" x14ac:dyDescent="0.75">
      <c r="D293" s="18"/>
      <c r="E293" s="18"/>
    </row>
    <row r="294" spans="4:5" x14ac:dyDescent="0.75">
      <c r="D294" s="18"/>
      <c r="E294" s="18"/>
    </row>
    <row r="295" spans="4:5" x14ac:dyDescent="0.75">
      <c r="D295" s="18"/>
      <c r="E295" s="18"/>
    </row>
    <row r="296" spans="4:5" x14ac:dyDescent="0.75">
      <c r="D296" s="18"/>
      <c r="E296" s="18"/>
    </row>
    <row r="297" spans="4:5" x14ac:dyDescent="0.75">
      <c r="D297" s="18"/>
      <c r="E297" s="18"/>
    </row>
    <row r="298" spans="4:5" x14ac:dyDescent="0.75">
      <c r="D298" s="18"/>
      <c r="E298" s="18"/>
    </row>
    <row r="299" spans="4:5" x14ac:dyDescent="0.75">
      <c r="D299" s="18"/>
      <c r="E299" s="18"/>
    </row>
    <row r="300" spans="4:5" x14ac:dyDescent="0.75">
      <c r="D300" s="18"/>
      <c r="E300" s="18"/>
    </row>
    <row r="301" spans="4:5" x14ac:dyDescent="0.75">
      <c r="D301" s="18"/>
      <c r="E301" s="18"/>
    </row>
    <row r="302" spans="4:5" x14ac:dyDescent="0.75">
      <c r="D302" s="18"/>
      <c r="E302" s="18"/>
    </row>
    <row r="303" spans="4:5" x14ac:dyDescent="0.75">
      <c r="D303" s="18"/>
      <c r="E303" s="18"/>
    </row>
    <row r="304" spans="4:5" x14ac:dyDescent="0.75">
      <c r="D304" s="18"/>
      <c r="E304" s="18"/>
    </row>
    <row r="305" spans="4:5" x14ac:dyDescent="0.75">
      <c r="D305" s="18"/>
      <c r="E305" s="18"/>
    </row>
    <row r="306" spans="4:5" x14ac:dyDescent="0.75">
      <c r="D306" s="18"/>
      <c r="E306" s="18"/>
    </row>
    <row r="307" spans="4:5" x14ac:dyDescent="0.75">
      <c r="D307" s="18"/>
      <c r="E307" s="18"/>
    </row>
    <row r="308" spans="4:5" x14ac:dyDescent="0.75">
      <c r="D308" s="18"/>
      <c r="E308" s="18"/>
    </row>
    <row r="309" spans="4:5" x14ac:dyDescent="0.75">
      <c r="D309" s="18"/>
      <c r="E309" s="18"/>
    </row>
    <row r="310" spans="4:5" x14ac:dyDescent="0.75">
      <c r="D310" s="18"/>
      <c r="E310" s="18"/>
    </row>
    <row r="311" spans="4:5" x14ac:dyDescent="0.75">
      <c r="D311" s="18"/>
      <c r="E311" s="18"/>
    </row>
    <row r="312" spans="4:5" x14ac:dyDescent="0.75">
      <c r="D312" s="18"/>
      <c r="E312" s="18"/>
    </row>
    <row r="313" spans="4:5" x14ac:dyDescent="0.75">
      <c r="D313" s="18"/>
      <c r="E313" s="18"/>
    </row>
    <row r="314" spans="4:5" x14ac:dyDescent="0.75">
      <c r="D314" s="18"/>
      <c r="E314" s="18"/>
    </row>
    <row r="315" spans="4:5" x14ac:dyDescent="0.75">
      <c r="D315" s="18"/>
      <c r="E315" s="18"/>
    </row>
    <row r="316" spans="4:5" x14ac:dyDescent="0.75">
      <c r="D316" s="18"/>
      <c r="E316" s="18"/>
    </row>
    <row r="317" spans="4:5" x14ac:dyDescent="0.75">
      <c r="D317" s="18"/>
      <c r="E317" s="18"/>
    </row>
    <row r="318" spans="4:5" x14ac:dyDescent="0.75">
      <c r="D318" s="18"/>
      <c r="E318" s="18"/>
    </row>
    <row r="319" spans="4:5" x14ac:dyDescent="0.75">
      <c r="D319" s="18"/>
      <c r="E319" s="18"/>
    </row>
    <row r="320" spans="4:5" x14ac:dyDescent="0.75">
      <c r="D320" s="18"/>
      <c r="E320" s="18"/>
    </row>
    <row r="321" spans="4:5" x14ac:dyDescent="0.75">
      <c r="D321" s="18"/>
      <c r="E321" s="18"/>
    </row>
    <row r="322" spans="4:5" x14ac:dyDescent="0.75">
      <c r="D322" s="18"/>
      <c r="E322" s="18"/>
    </row>
    <row r="323" spans="4:5" x14ac:dyDescent="0.75">
      <c r="D323" s="18"/>
      <c r="E323" s="18"/>
    </row>
    <row r="324" spans="4:5" x14ac:dyDescent="0.75">
      <c r="D324" s="18"/>
      <c r="E324" s="18"/>
    </row>
    <row r="325" spans="4:5" x14ac:dyDescent="0.75">
      <c r="D325" s="18"/>
      <c r="E325" s="18"/>
    </row>
    <row r="326" spans="4:5" x14ac:dyDescent="0.75">
      <c r="D326" s="18"/>
      <c r="E326" s="18"/>
    </row>
    <row r="327" spans="4:5" x14ac:dyDescent="0.75">
      <c r="D327" s="18"/>
      <c r="E327" s="18"/>
    </row>
    <row r="328" spans="4:5" x14ac:dyDescent="0.75">
      <c r="D328" s="18"/>
      <c r="E328" s="18"/>
    </row>
    <row r="329" spans="4:5" x14ac:dyDescent="0.75">
      <c r="D329" s="18"/>
      <c r="E329" s="18"/>
    </row>
    <row r="330" spans="4:5" x14ac:dyDescent="0.75">
      <c r="D330" s="18"/>
      <c r="E330" s="18"/>
    </row>
    <row r="331" spans="4:5" x14ac:dyDescent="0.75">
      <c r="D331" s="18"/>
      <c r="E331" s="18"/>
    </row>
    <row r="332" spans="4:5" x14ac:dyDescent="0.75">
      <c r="D332" s="18"/>
      <c r="E332" s="18"/>
    </row>
    <row r="333" spans="4:5" x14ac:dyDescent="0.75">
      <c r="D333" s="18"/>
      <c r="E333" s="18"/>
    </row>
    <row r="334" spans="4:5" x14ac:dyDescent="0.75">
      <c r="D334" s="18"/>
      <c r="E334" s="18"/>
    </row>
    <row r="335" spans="4:5" x14ac:dyDescent="0.75">
      <c r="D335" s="18"/>
      <c r="E335" s="18"/>
    </row>
    <row r="336" spans="4:5" x14ac:dyDescent="0.75">
      <c r="D336" s="18"/>
      <c r="E336" s="18"/>
    </row>
    <row r="337" spans="4:5" x14ac:dyDescent="0.75">
      <c r="D337" s="18"/>
      <c r="E337" s="18"/>
    </row>
    <row r="338" spans="4:5" x14ac:dyDescent="0.75">
      <c r="D338" s="18"/>
      <c r="E338" s="18"/>
    </row>
    <row r="339" spans="4:5" x14ac:dyDescent="0.75">
      <c r="D339" s="18"/>
      <c r="E339" s="18"/>
    </row>
    <row r="340" spans="4:5" x14ac:dyDescent="0.75">
      <c r="D340" s="18"/>
      <c r="E340" s="18"/>
    </row>
    <row r="341" spans="4:5" x14ac:dyDescent="0.75">
      <c r="D341" s="18"/>
      <c r="E341" s="18"/>
    </row>
    <row r="342" spans="4:5" x14ac:dyDescent="0.75">
      <c r="D342" s="18"/>
      <c r="E342" s="18"/>
    </row>
    <row r="343" spans="4:5" x14ac:dyDescent="0.75">
      <c r="D343" s="18"/>
      <c r="E343" s="18"/>
    </row>
    <row r="344" spans="4:5" x14ac:dyDescent="0.75">
      <c r="D344" s="18"/>
      <c r="E344" s="18"/>
    </row>
    <row r="345" spans="4:5" x14ac:dyDescent="0.75">
      <c r="D345" s="18"/>
      <c r="E345" s="18"/>
    </row>
    <row r="346" spans="4:5" x14ac:dyDescent="0.75">
      <c r="D346" s="18"/>
      <c r="E346" s="18"/>
    </row>
    <row r="347" spans="4:5" x14ac:dyDescent="0.75">
      <c r="D347" s="18"/>
      <c r="E347" s="18"/>
    </row>
    <row r="348" spans="4:5" x14ac:dyDescent="0.75">
      <c r="D348" s="18"/>
      <c r="E348" s="18"/>
    </row>
    <row r="349" spans="4:5" x14ac:dyDescent="0.75">
      <c r="D349" s="18"/>
      <c r="E349" s="18"/>
    </row>
    <row r="350" spans="4:5" x14ac:dyDescent="0.75">
      <c r="D350" s="18"/>
      <c r="E350" s="18"/>
    </row>
    <row r="351" spans="4:5" x14ac:dyDescent="0.75">
      <c r="D351" s="18"/>
      <c r="E351" s="18"/>
    </row>
    <row r="352" spans="4:5" x14ac:dyDescent="0.75">
      <c r="D352" s="18"/>
      <c r="E352" s="18"/>
    </row>
    <row r="353" spans="4:5" x14ac:dyDescent="0.75">
      <c r="D353" s="18"/>
      <c r="E353" s="18"/>
    </row>
    <row r="354" spans="4:5" x14ac:dyDescent="0.75">
      <c r="D354" s="18"/>
      <c r="E354" s="18"/>
    </row>
    <row r="355" spans="4:5" x14ac:dyDescent="0.75">
      <c r="D355" s="18"/>
      <c r="E355" s="18"/>
    </row>
    <row r="356" spans="4:5" x14ac:dyDescent="0.75">
      <c r="D356" s="18"/>
      <c r="E356" s="18"/>
    </row>
    <row r="357" spans="4:5" x14ac:dyDescent="0.75">
      <c r="D357" s="18"/>
      <c r="E357" s="18"/>
    </row>
    <row r="358" spans="4:5" x14ac:dyDescent="0.75">
      <c r="D358" s="18"/>
      <c r="E358" s="18"/>
    </row>
    <row r="359" spans="4:5" x14ac:dyDescent="0.75">
      <c r="D359" s="18"/>
      <c r="E359" s="18"/>
    </row>
    <row r="360" spans="4:5" x14ac:dyDescent="0.75">
      <c r="D360" s="18"/>
      <c r="E360" s="18"/>
    </row>
    <row r="361" spans="4:5" x14ac:dyDescent="0.75">
      <c r="D361" s="18"/>
      <c r="E361" s="18"/>
    </row>
    <row r="362" spans="4:5" x14ac:dyDescent="0.75">
      <c r="D362" s="18"/>
      <c r="E362" s="18"/>
    </row>
    <row r="363" spans="4:5" x14ac:dyDescent="0.75">
      <c r="D363" s="18"/>
      <c r="E363" s="18"/>
    </row>
    <row r="364" spans="4:5" x14ac:dyDescent="0.75">
      <c r="D364" s="18"/>
      <c r="E364" s="18"/>
    </row>
    <row r="365" spans="4:5" x14ac:dyDescent="0.75">
      <c r="D365" s="18"/>
      <c r="E365" s="18"/>
    </row>
    <row r="366" spans="4:5" x14ac:dyDescent="0.75">
      <c r="D366" s="18"/>
      <c r="E366" s="18"/>
    </row>
    <row r="367" spans="4:5" x14ac:dyDescent="0.75">
      <c r="D367" s="18"/>
      <c r="E367" s="18"/>
    </row>
    <row r="368" spans="4:5" x14ac:dyDescent="0.75">
      <c r="D368" s="18"/>
      <c r="E368" s="18"/>
    </row>
    <row r="369" spans="4:5" x14ac:dyDescent="0.75">
      <c r="D369" s="18"/>
      <c r="E369" s="18"/>
    </row>
    <row r="370" spans="4:5" x14ac:dyDescent="0.75">
      <c r="D370" s="18"/>
      <c r="E370" s="18"/>
    </row>
    <row r="371" spans="4:5" x14ac:dyDescent="0.75">
      <c r="D371" s="18"/>
      <c r="E371" s="18"/>
    </row>
    <row r="372" spans="4:5" x14ac:dyDescent="0.75">
      <c r="D372" s="18"/>
      <c r="E372" s="18"/>
    </row>
    <row r="373" spans="4:5" x14ac:dyDescent="0.75">
      <c r="D373" s="18"/>
      <c r="E373" s="18"/>
    </row>
    <row r="374" spans="4:5" x14ac:dyDescent="0.75">
      <c r="D374" s="18"/>
      <c r="E374" s="18"/>
    </row>
    <row r="375" spans="4:5" x14ac:dyDescent="0.75">
      <c r="D375" s="18"/>
      <c r="E375" s="18"/>
    </row>
    <row r="376" spans="4:5" x14ac:dyDescent="0.75">
      <c r="D376" s="18"/>
      <c r="E376" s="18"/>
    </row>
    <row r="377" spans="4:5" x14ac:dyDescent="0.75">
      <c r="D377" s="18"/>
      <c r="E377" s="18"/>
    </row>
    <row r="378" spans="4:5" x14ac:dyDescent="0.75">
      <c r="D378" s="18"/>
      <c r="E378" s="18"/>
    </row>
    <row r="379" spans="4:5" x14ac:dyDescent="0.75">
      <c r="D379" s="18"/>
      <c r="E379" s="18"/>
    </row>
    <row r="380" spans="4:5" x14ac:dyDescent="0.75">
      <c r="D380" s="18"/>
      <c r="E380" s="18"/>
    </row>
    <row r="381" spans="4:5" x14ac:dyDescent="0.75">
      <c r="D381" s="18"/>
      <c r="E381" s="18"/>
    </row>
    <row r="382" spans="4:5" x14ac:dyDescent="0.75">
      <c r="D382" s="18"/>
      <c r="E382" s="18"/>
    </row>
    <row r="383" spans="4:5" x14ac:dyDescent="0.75">
      <c r="D383" s="18"/>
      <c r="E383" s="18"/>
    </row>
    <row r="384" spans="4:5" x14ac:dyDescent="0.75">
      <c r="D384" s="18"/>
      <c r="E384" s="18"/>
    </row>
    <row r="385" spans="4:5" x14ac:dyDescent="0.75">
      <c r="D385" s="18"/>
      <c r="E385" s="18"/>
    </row>
    <row r="386" spans="4:5" x14ac:dyDescent="0.75">
      <c r="D386" s="18"/>
      <c r="E386" s="18"/>
    </row>
    <row r="387" spans="4:5" x14ac:dyDescent="0.75">
      <c r="D387" s="18"/>
      <c r="E387" s="18"/>
    </row>
    <row r="388" spans="4:5" x14ac:dyDescent="0.75">
      <c r="D388" s="18"/>
      <c r="E388" s="18"/>
    </row>
    <row r="389" spans="4:5" x14ac:dyDescent="0.75">
      <c r="D389" s="18"/>
      <c r="E389" s="18"/>
    </row>
    <row r="390" spans="4:5" x14ac:dyDescent="0.75">
      <c r="D390" s="18"/>
      <c r="E390" s="18"/>
    </row>
    <row r="391" spans="4:5" x14ac:dyDescent="0.75">
      <c r="D391" s="18"/>
      <c r="E391" s="18"/>
    </row>
    <row r="392" spans="4:5" x14ac:dyDescent="0.75">
      <c r="D392" s="18"/>
      <c r="E392" s="18"/>
    </row>
    <row r="393" spans="4:5" x14ac:dyDescent="0.75">
      <c r="D393" s="18"/>
      <c r="E393" s="18"/>
    </row>
    <row r="394" spans="4:5" x14ac:dyDescent="0.75">
      <c r="D394" s="18"/>
      <c r="E394" s="18"/>
    </row>
    <row r="395" spans="4:5" x14ac:dyDescent="0.75">
      <c r="D395" s="18"/>
      <c r="E395" s="18"/>
    </row>
    <row r="396" spans="4:5" x14ac:dyDescent="0.75">
      <c r="D396" s="18"/>
      <c r="E396" s="18"/>
    </row>
    <row r="397" spans="4:5" x14ac:dyDescent="0.75">
      <c r="D397" s="18"/>
      <c r="E397" s="18"/>
    </row>
    <row r="398" spans="4:5" x14ac:dyDescent="0.75">
      <c r="D398" s="18"/>
      <c r="E398" s="18"/>
    </row>
    <row r="399" spans="4:5" x14ac:dyDescent="0.75">
      <c r="D399" s="18"/>
      <c r="E399" s="18"/>
    </row>
    <row r="400" spans="4:5" x14ac:dyDescent="0.75">
      <c r="D400" s="18"/>
      <c r="E400" s="18"/>
    </row>
    <row r="401" spans="4:5" x14ac:dyDescent="0.75">
      <c r="D401" s="18"/>
      <c r="E401" s="18"/>
    </row>
    <row r="402" spans="4:5" x14ac:dyDescent="0.75">
      <c r="D402" s="18"/>
      <c r="E402" s="18"/>
    </row>
    <row r="403" spans="4:5" x14ac:dyDescent="0.75">
      <c r="D403" s="18"/>
      <c r="E403" s="18"/>
    </row>
    <row r="404" spans="4:5" x14ac:dyDescent="0.75">
      <c r="D404" s="18"/>
      <c r="E404" s="18"/>
    </row>
    <row r="405" spans="4:5" x14ac:dyDescent="0.75">
      <c r="D405" s="18"/>
      <c r="E405" s="18"/>
    </row>
    <row r="406" spans="4:5" x14ac:dyDescent="0.75">
      <c r="D406" s="18"/>
      <c r="E406" s="18"/>
    </row>
    <row r="407" spans="4:5" x14ac:dyDescent="0.75">
      <c r="D407" s="18"/>
      <c r="E407" s="18"/>
    </row>
    <row r="408" spans="4:5" x14ac:dyDescent="0.75">
      <c r="D408" s="18"/>
      <c r="E408" s="18"/>
    </row>
    <row r="409" spans="4:5" x14ac:dyDescent="0.75">
      <c r="D409" s="18"/>
      <c r="E409" s="18"/>
    </row>
    <row r="410" spans="4:5" x14ac:dyDescent="0.75">
      <c r="D410" s="18"/>
      <c r="E410" s="18"/>
    </row>
    <row r="411" spans="4:5" x14ac:dyDescent="0.75">
      <c r="D411" s="18"/>
      <c r="E411" s="18"/>
    </row>
    <row r="412" spans="4:5" x14ac:dyDescent="0.75">
      <c r="D412" s="18"/>
      <c r="E412" s="18"/>
    </row>
    <row r="413" spans="4:5" x14ac:dyDescent="0.75">
      <c r="D413" s="18"/>
      <c r="E413" s="18"/>
    </row>
    <row r="414" spans="4:5" x14ac:dyDescent="0.75">
      <c r="D414" s="18"/>
      <c r="E414" s="18"/>
    </row>
    <row r="415" spans="4:5" x14ac:dyDescent="0.75">
      <c r="D415" s="18"/>
      <c r="E415" s="18"/>
    </row>
    <row r="416" spans="4:5" x14ac:dyDescent="0.75">
      <c r="D416" s="18"/>
      <c r="E416" s="18"/>
    </row>
    <row r="417" spans="4:5" x14ac:dyDescent="0.75">
      <c r="D417" s="18"/>
      <c r="E417" s="18"/>
    </row>
    <row r="418" spans="4:5" x14ac:dyDescent="0.75">
      <c r="D418" s="18"/>
      <c r="E418" s="18"/>
    </row>
    <row r="419" spans="4:5" x14ac:dyDescent="0.75">
      <c r="D419" s="18"/>
      <c r="E419" s="18"/>
    </row>
    <row r="420" spans="4:5" x14ac:dyDescent="0.75">
      <c r="D420" s="18"/>
      <c r="E420" s="18"/>
    </row>
    <row r="421" spans="4:5" x14ac:dyDescent="0.75">
      <c r="D421" s="18"/>
      <c r="E421" s="18"/>
    </row>
    <row r="422" spans="4:5" x14ac:dyDescent="0.75">
      <c r="D422" s="18"/>
      <c r="E422" s="18"/>
    </row>
    <row r="423" spans="4:5" x14ac:dyDescent="0.75">
      <c r="D423" s="18"/>
      <c r="E423" s="18"/>
    </row>
    <row r="424" spans="4:5" x14ac:dyDescent="0.75">
      <c r="D424" s="18"/>
      <c r="E424" s="18"/>
    </row>
    <row r="425" spans="4:5" x14ac:dyDescent="0.75">
      <c r="D425" s="18"/>
      <c r="E425" s="18"/>
    </row>
    <row r="426" spans="4:5" x14ac:dyDescent="0.75">
      <c r="D426" s="18"/>
      <c r="E426" s="18"/>
    </row>
    <row r="427" spans="4:5" x14ac:dyDescent="0.75">
      <c r="D427" s="18"/>
      <c r="E427" s="18"/>
    </row>
    <row r="428" spans="4:5" x14ac:dyDescent="0.75">
      <c r="D428" s="18"/>
      <c r="E428" s="18"/>
    </row>
    <row r="429" spans="4:5" x14ac:dyDescent="0.75">
      <c r="D429" s="18"/>
      <c r="E429" s="18"/>
    </row>
    <row r="430" spans="4:5" x14ac:dyDescent="0.75">
      <c r="D430" s="18"/>
      <c r="E430" s="18"/>
    </row>
    <row r="431" spans="4:5" x14ac:dyDescent="0.75">
      <c r="D431" s="18"/>
      <c r="E431" s="18"/>
    </row>
    <row r="432" spans="4:5" x14ac:dyDescent="0.75">
      <c r="D432" s="18"/>
      <c r="E432" s="18"/>
    </row>
    <row r="433" spans="4:5" x14ac:dyDescent="0.75">
      <c r="D433" s="18"/>
      <c r="E433" s="18"/>
    </row>
    <row r="434" spans="4:5" x14ac:dyDescent="0.75">
      <c r="D434" s="18"/>
      <c r="E434" s="18"/>
    </row>
    <row r="435" spans="4:5" x14ac:dyDescent="0.75">
      <c r="D435" s="18"/>
      <c r="E435" s="18"/>
    </row>
    <row r="436" spans="4:5" x14ac:dyDescent="0.75">
      <c r="D436" s="18"/>
      <c r="E436" s="18"/>
    </row>
    <row r="437" spans="4:5" x14ac:dyDescent="0.75">
      <c r="D437" s="18"/>
      <c r="E437" s="18"/>
    </row>
    <row r="438" spans="4:5" x14ac:dyDescent="0.75">
      <c r="D438" s="18"/>
      <c r="E438" s="18"/>
    </row>
    <row r="439" spans="4:5" x14ac:dyDescent="0.75">
      <c r="D439" s="18"/>
      <c r="E439" s="18"/>
    </row>
    <row r="440" spans="4:5" x14ac:dyDescent="0.75">
      <c r="D440" s="18"/>
      <c r="E440" s="18"/>
    </row>
    <row r="441" spans="4:5" x14ac:dyDescent="0.75">
      <c r="D441" s="18"/>
      <c r="E441" s="18"/>
    </row>
    <row r="442" spans="4:5" x14ac:dyDescent="0.75">
      <c r="D442" s="18"/>
      <c r="E442" s="18"/>
    </row>
    <row r="443" spans="4:5" x14ac:dyDescent="0.75">
      <c r="D443" s="18"/>
      <c r="E443" s="18"/>
    </row>
    <row r="444" spans="4:5" x14ac:dyDescent="0.75">
      <c r="D444" s="18"/>
      <c r="E444" s="18"/>
    </row>
    <row r="445" spans="4:5" x14ac:dyDescent="0.75">
      <c r="D445" s="18"/>
      <c r="E445" s="18"/>
    </row>
    <row r="446" spans="4:5" x14ac:dyDescent="0.75">
      <c r="D446" s="18"/>
      <c r="E446" s="18"/>
    </row>
    <row r="447" spans="4:5" x14ac:dyDescent="0.75">
      <c r="D447" s="18"/>
      <c r="E447" s="18"/>
    </row>
    <row r="448" spans="4:5" x14ac:dyDescent="0.75">
      <c r="D448" s="18"/>
      <c r="E448" s="18"/>
    </row>
    <row r="449" spans="4:5" x14ac:dyDescent="0.75">
      <c r="D449" s="18"/>
      <c r="E449" s="18"/>
    </row>
    <row r="450" spans="4:5" x14ac:dyDescent="0.75">
      <c r="D450" s="18"/>
      <c r="E450" s="18"/>
    </row>
    <row r="451" spans="4:5" x14ac:dyDescent="0.75">
      <c r="D451" s="18"/>
      <c r="E451" s="18"/>
    </row>
    <row r="452" spans="4:5" x14ac:dyDescent="0.75">
      <c r="D452" s="18"/>
      <c r="E452" s="18"/>
    </row>
    <row r="453" spans="4:5" x14ac:dyDescent="0.75">
      <c r="D453" s="18"/>
      <c r="E453" s="18"/>
    </row>
    <row r="454" spans="4:5" x14ac:dyDescent="0.75">
      <c r="D454" s="18"/>
      <c r="E454" s="18"/>
    </row>
    <row r="455" spans="4:5" x14ac:dyDescent="0.75">
      <c r="D455" s="18"/>
      <c r="E455" s="18"/>
    </row>
    <row r="456" spans="4:5" x14ac:dyDescent="0.75">
      <c r="D456" s="18"/>
      <c r="E456" s="18"/>
    </row>
    <row r="457" spans="4:5" x14ac:dyDescent="0.75">
      <c r="D457" s="18"/>
      <c r="E457" s="18"/>
    </row>
    <row r="458" spans="4:5" x14ac:dyDescent="0.75">
      <c r="D458" s="18"/>
      <c r="E458" s="18"/>
    </row>
    <row r="459" spans="4:5" x14ac:dyDescent="0.75">
      <c r="D459" s="18"/>
      <c r="E459" s="18"/>
    </row>
    <row r="460" spans="4:5" x14ac:dyDescent="0.75">
      <c r="D460" s="18"/>
      <c r="E460" s="18"/>
    </row>
    <row r="461" spans="4:5" x14ac:dyDescent="0.75">
      <c r="D461" s="18"/>
      <c r="E461" s="18"/>
    </row>
    <row r="462" spans="4:5" x14ac:dyDescent="0.75">
      <c r="D462" s="18"/>
      <c r="E462" s="18"/>
    </row>
    <row r="463" spans="4:5" x14ac:dyDescent="0.75">
      <c r="D463" s="18"/>
      <c r="E463" s="18"/>
    </row>
    <row r="464" spans="4:5" x14ac:dyDescent="0.75">
      <c r="D464" s="18"/>
      <c r="E464" s="18"/>
    </row>
    <row r="465" spans="4:5" x14ac:dyDescent="0.75">
      <c r="D465" s="18"/>
      <c r="E465" s="18"/>
    </row>
    <row r="466" spans="4:5" x14ac:dyDescent="0.75">
      <c r="D466" s="18"/>
      <c r="E466" s="18"/>
    </row>
    <row r="467" spans="4:5" x14ac:dyDescent="0.75">
      <c r="D467" s="18"/>
      <c r="E467" s="18"/>
    </row>
    <row r="468" spans="4:5" x14ac:dyDescent="0.75">
      <c r="D468" s="18"/>
      <c r="E468" s="18"/>
    </row>
    <row r="469" spans="4:5" x14ac:dyDescent="0.75">
      <c r="D469" s="18"/>
      <c r="E469" s="18"/>
    </row>
    <row r="470" spans="4:5" x14ac:dyDescent="0.75">
      <c r="D470" s="18"/>
      <c r="E470" s="18"/>
    </row>
    <row r="471" spans="4:5" x14ac:dyDescent="0.75">
      <c r="D471" s="18"/>
      <c r="E471" s="18"/>
    </row>
    <row r="472" spans="4:5" x14ac:dyDescent="0.75">
      <c r="D472" s="18"/>
      <c r="E472" s="18"/>
    </row>
    <row r="473" spans="4:5" x14ac:dyDescent="0.75">
      <c r="D473" s="18"/>
      <c r="E473" s="18"/>
    </row>
    <row r="474" spans="4:5" x14ac:dyDescent="0.75">
      <c r="D474" s="18"/>
      <c r="E474" s="18"/>
    </row>
    <row r="475" spans="4:5" x14ac:dyDescent="0.75">
      <c r="D475" s="18"/>
      <c r="E475" s="18"/>
    </row>
    <row r="476" spans="4:5" x14ac:dyDescent="0.75">
      <c r="D476" s="18"/>
      <c r="E476" s="18"/>
    </row>
    <row r="477" spans="4:5" x14ac:dyDescent="0.75">
      <c r="D477" s="18"/>
      <c r="E477" s="18"/>
    </row>
    <row r="478" spans="4:5" x14ac:dyDescent="0.75">
      <c r="D478" s="18"/>
      <c r="E478" s="18"/>
    </row>
    <row r="479" spans="4:5" x14ac:dyDescent="0.75">
      <c r="D479" s="18"/>
      <c r="E479" s="18"/>
    </row>
    <row r="480" spans="4:5" x14ac:dyDescent="0.75">
      <c r="D480" s="18"/>
      <c r="E480" s="18"/>
    </row>
    <row r="481" spans="4:5" x14ac:dyDescent="0.75">
      <c r="D481" s="18"/>
      <c r="E481" s="18"/>
    </row>
    <row r="482" spans="4:5" x14ac:dyDescent="0.75">
      <c r="D482" s="18"/>
      <c r="E482" s="18"/>
    </row>
    <row r="483" spans="4:5" x14ac:dyDescent="0.75">
      <c r="D483" s="18"/>
      <c r="E483" s="18"/>
    </row>
    <row r="484" spans="4:5" x14ac:dyDescent="0.75">
      <c r="D484" s="18"/>
      <c r="E484" s="18"/>
    </row>
    <row r="485" spans="4:5" x14ac:dyDescent="0.75">
      <c r="D485" s="18"/>
      <c r="E485" s="18"/>
    </row>
    <row r="486" spans="4:5" x14ac:dyDescent="0.75">
      <c r="D486" s="18"/>
      <c r="E486" s="18"/>
    </row>
    <row r="487" spans="4:5" x14ac:dyDescent="0.75">
      <c r="D487" s="18"/>
      <c r="E487" s="18"/>
    </row>
    <row r="488" spans="4:5" x14ac:dyDescent="0.75">
      <c r="D488" s="18"/>
      <c r="E488" s="18"/>
    </row>
    <row r="489" spans="4:5" x14ac:dyDescent="0.75">
      <c r="D489" s="18"/>
      <c r="E489" s="18"/>
    </row>
    <row r="490" spans="4:5" x14ac:dyDescent="0.75">
      <c r="D490" s="18"/>
      <c r="E490" s="18"/>
    </row>
    <row r="491" spans="4:5" x14ac:dyDescent="0.75">
      <c r="D491" s="18"/>
      <c r="E491" s="18"/>
    </row>
    <row r="492" spans="4:5" x14ac:dyDescent="0.75">
      <c r="D492" s="18"/>
      <c r="E492" s="18"/>
    </row>
    <row r="493" spans="4:5" x14ac:dyDescent="0.75">
      <c r="D493" s="18"/>
      <c r="E493" s="18"/>
    </row>
    <row r="494" spans="4:5" x14ac:dyDescent="0.75">
      <c r="D494" s="18"/>
      <c r="E494" s="18"/>
    </row>
    <row r="495" spans="4:5" x14ac:dyDescent="0.75">
      <c r="D495" s="18"/>
      <c r="E495" s="18"/>
    </row>
    <row r="496" spans="4:5" x14ac:dyDescent="0.75">
      <c r="D496" s="18"/>
      <c r="E496" s="18"/>
    </row>
    <row r="497" spans="4:5" x14ac:dyDescent="0.75">
      <c r="D497" s="18"/>
      <c r="E497" s="18"/>
    </row>
    <row r="498" spans="4:5" x14ac:dyDescent="0.75">
      <c r="D498" s="18"/>
      <c r="E498" s="18"/>
    </row>
    <row r="499" spans="4:5" x14ac:dyDescent="0.75">
      <c r="D499" s="18"/>
      <c r="E499" s="18"/>
    </row>
    <row r="500" spans="4:5" x14ac:dyDescent="0.75">
      <c r="D500" s="18"/>
      <c r="E500" s="18"/>
    </row>
    <row r="501" spans="4:5" x14ac:dyDescent="0.75">
      <c r="D501" s="18"/>
      <c r="E501" s="18"/>
    </row>
    <row r="502" spans="4:5" x14ac:dyDescent="0.75">
      <c r="D502" s="18"/>
      <c r="E502" s="18"/>
    </row>
    <row r="503" spans="4:5" x14ac:dyDescent="0.75">
      <c r="D503" s="18"/>
      <c r="E503" s="18"/>
    </row>
    <row r="504" spans="4:5" x14ac:dyDescent="0.75">
      <c r="D504" s="18"/>
      <c r="E504" s="18"/>
    </row>
    <row r="505" spans="4:5" x14ac:dyDescent="0.75">
      <c r="D505" s="18"/>
      <c r="E505" s="18"/>
    </row>
    <row r="506" spans="4:5" x14ac:dyDescent="0.75">
      <c r="D506" s="18"/>
      <c r="E506" s="18"/>
    </row>
    <row r="507" spans="4:5" x14ac:dyDescent="0.75">
      <c r="D507" s="18"/>
      <c r="E507" s="18"/>
    </row>
    <row r="508" spans="4:5" x14ac:dyDescent="0.75">
      <c r="D508" s="18"/>
      <c r="E508" s="18"/>
    </row>
    <row r="509" spans="4:5" x14ac:dyDescent="0.75">
      <c r="D509" s="18"/>
      <c r="E509" s="18"/>
    </row>
    <row r="510" spans="4:5" x14ac:dyDescent="0.75">
      <c r="D510" s="18"/>
      <c r="E510" s="18"/>
    </row>
    <row r="511" spans="4:5" x14ac:dyDescent="0.75">
      <c r="D511" s="18"/>
      <c r="E511" s="18"/>
    </row>
    <row r="512" spans="4:5" x14ac:dyDescent="0.75">
      <c r="D512" s="18"/>
      <c r="E512" s="18"/>
    </row>
    <row r="513" spans="4:5" x14ac:dyDescent="0.75">
      <c r="D513" s="18"/>
      <c r="E513" s="18"/>
    </row>
    <row r="514" spans="4:5" x14ac:dyDescent="0.75">
      <c r="D514" s="18"/>
      <c r="E514" s="18"/>
    </row>
    <row r="515" spans="4:5" x14ac:dyDescent="0.75">
      <c r="D515" s="18"/>
      <c r="E515" s="18"/>
    </row>
    <row r="516" spans="4:5" x14ac:dyDescent="0.75">
      <c r="D516" s="18"/>
      <c r="E516" s="18"/>
    </row>
    <row r="517" spans="4:5" x14ac:dyDescent="0.75">
      <c r="D517" s="18"/>
      <c r="E517" s="18"/>
    </row>
    <row r="518" spans="4:5" x14ac:dyDescent="0.75">
      <c r="D518" s="18"/>
      <c r="E518" s="18"/>
    </row>
    <row r="519" spans="4:5" x14ac:dyDescent="0.75">
      <c r="D519" s="18"/>
      <c r="E519" s="18"/>
    </row>
    <row r="520" spans="4:5" x14ac:dyDescent="0.75">
      <c r="D520" s="18"/>
      <c r="E520" s="18"/>
    </row>
    <row r="521" spans="4:5" x14ac:dyDescent="0.75">
      <c r="D521" s="18"/>
      <c r="E521" s="18"/>
    </row>
    <row r="522" spans="4:5" x14ac:dyDescent="0.75">
      <c r="D522" s="18"/>
      <c r="E522" s="18"/>
    </row>
    <row r="523" spans="4:5" x14ac:dyDescent="0.75">
      <c r="D523" s="18"/>
      <c r="E523" s="18"/>
    </row>
    <row r="524" spans="4:5" x14ac:dyDescent="0.75">
      <c r="D524" s="18"/>
      <c r="E524" s="18"/>
    </row>
    <row r="525" spans="4:5" x14ac:dyDescent="0.75">
      <c r="D525" s="18"/>
      <c r="E525" s="18"/>
    </row>
    <row r="526" spans="4:5" x14ac:dyDescent="0.75">
      <c r="D526" s="18"/>
      <c r="E526" s="18"/>
    </row>
    <row r="527" spans="4:5" x14ac:dyDescent="0.75">
      <c r="D527" s="18"/>
      <c r="E527" s="18"/>
    </row>
    <row r="528" spans="4:5" x14ac:dyDescent="0.75">
      <c r="D528" s="18"/>
      <c r="E528" s="18"/>
    </row>
    <row r="529" spans="4:5" x14ac:dyDescent="0.75">
      <c r="D529" s="18"/>
      <c r="E529" s="18"/>
    </row>
    <row r="530" spans="4:5" x14ac:dyDescent="0.75">
      <c r="D530" s="18"/>
      <c r="E530" s="18"/>
    </row>
    <row r="531" spans="4:5" x14ac:dyDescent="0.75">
      <c r="D531" s="18"/>
      <c r="E531" s="18"/>
    </row>
    <row r="532" spans="4:5" x14ac:dyDescent="0.75">
      <c r="D532" s="18"/>
      <c r="E532" s="18"/>
    </row>
    <row r="533" spans="4:5" x14ac:dyDescent="0.75">
      <c r="D533" s="18"/>
      <c r="E533" s="18"/>
    </row>
    <row r="534" spans="4:5" x14ac:dyDescent="0.75">
      <c r="D534" s="18"/>
      <c r="E534" s="18"/>
    </row>
    <row r="535" spans="4:5" x14ac:dyDescent="0.75">
      <c r="D535" s="18"/>
      <c r="E535" s="18"/>
    </row>
    <row r="536" spans="4:5" x14ac:dyDescent="0.75">
      <c r="D536" s="18"/>
      <c r="E536" s="18"/>
    </row>
    <row r="537" spans="4:5" x14ac:dyDescent="0.75">
      <c r="D537" s="18"/>
      <c r="E537" s="18"/>
    </row>
    <row r="538" spans="4:5" x14ac:dyDescent="0.75">
      <c r="D538" s="18"/>
      <c r="E538" s="18"/>
    </row>
    <row r="539" spans="4:5" x14ac:dyDescent="0.75">
      <c r="D539" s="18"/>
      <c r="E539" s="18"/>
    </row>
    <row r="540" spans="4:5" x14ac:dyDescent="0.75">
      <c r="D540" s="18"/>
      <c r="E540" s="18"/>
    </row>
    <row r="541" spans="4:5" x14ac:dyDescent="0.75">
      <c r="D541" s="18"/>
      <c r="E541" s="18"/>
    </row>
    <row r="542" spans="4:5" x14ac:dyDescent="0.75">
      <c r="D542" s="18"/>
      <c r="E542" s="18"/>
    </row>
    <row r="543" spans="4:5" x14ac:dyDescent="0.75">
      <c r="D543" s="18"/>
      <c r="E543" s="18"/>
    </row>
    <row r="544" spans="4:5" x14ac:dyDescent="0.75">
      <c r="D544" s="18"/>
      <c r="E544" s="18"/>
    </row>
    <row r="545" spans="4:5" x14ac:dyDescent="0.75">
      <c r="D545" s="18"/>
      <c r="E545" s="18"/>
    </row>
    <row r="546" spans="4:5" x14ac:dyDescent="0.75">
      <c r="D546" s="18"/>
      <c r="E546" s="18"/>
    </row>
    <row r="547" spans="4:5" x14ac:dyDescent="0.75">
      <c r="D547" s="18"/>
      <c r="E547" s="18"/>
    </row>
    <row r="548" spans="4:5" x14ac:dyDescent="0.75">
      <c r="D548" s="18"/>
      <c r="E548" s="18"/>
    </row>
    <row r="549" spans="4:5" x14ac:dyDescent="0.75">
      <c r="D549" s="18"/>
      <c r="E549" s="18"/>
    </row>
    <row r="550" spans="4:5" x14ac:dyDescent="0.75">
      <c r="D550" s="18"/>
      <c r="E550" s="18"/>
    </row>
    <row r="551" spans="4:5" x14ac:dyDescent="0.75">
      <c r="D551" s="18"/>
      <c r="E551" s="18"/>
    </row>
    <row r="552" spans="4:5" x14ac:dyDescent="0.75">
      <c r="D552" s="18"/>
      <c r="E552" s="18"/>
    </row>
    <row r="553" spans="4:5" x14ac:dyDescent="0.75">
      <c r="D553" s="18"/>
      <c r="E553" s="18"/>
    </row>
    <row r="554" spans="4:5" x14ac:dyDescent="0.75">
      <c r="D554" s="18"/>
      <c r="E554" s="18"/>
    </row>
    <row r="555" spans="4:5" x14ac:dyDescent="0.75">
      <c r="D555" s="18"/>
      <c r="E555" s="18"/>
    </row>
    <row r="556" spans="4:5" x14ac:dyDescent="0.75">
      <c r="D556" s="18"/>
      <c r="E556" s="18"/>
    </row>
    <row r="557" spans="4:5" x14ac:dyDescent="0.75">
      <c r="D557" s="18"/>
      <c r="E557" s="18"/>
    </row>
    <row r="558" spans="4:5" x14ac:dyDescent="0.75">
      <c r="D558" s="18"/>
      <c r="E558" s="18"/>
    </row>
    <row r="559" spans="4:5" x14ac:dyDescent="0.75">
      <c r="D559" s="18"/>
      <c r="E559" s="18"/>
    </row>
    <row r="560" spans="4:5" x14ac:dyDescent="0.75">
      <c r="D560" s="18"/>
      <c r="E560" s="18"/>
    </row>
    <row r="561" spans="4:5" x14ac:dyDescent="0.75">
      <c r="D561" s="18"/>
      <c r="E561" s="18"/>
    </row>
    <row r="562" spans="4:5" x14ac:dyDescent="0.75">
      <c r="D562" s="18"/>
      <c r="E562" s="18"/>
    </row>
    <row r="563" spans="4:5" x14ac:dyDescent="0.75">
      <c r="D563" s="18"/>
      <c r="E563" s="18"/>
    </row>
    <row r="564" spans="4:5" x14ac:dyDescent="0.75">
      <c r="D564" s="18"/>
      <c r="E564" s="18"/>
    </row>
    <row r="565" spans="4:5" x14ac:dyDescent="0.75">
      <c r="D565" s="18"/>
      <c r="E565" s="18"/>
    </row>
    <row r="566" spans="4:5" x14ac:dyDescent="0.75">
      <c r="D566" s="18"/>
      <c r="E566" s="18"/>
    </row>
    <row r="567" spans="4:5" x14ac:dyDescent="0.75">
      <c r="D567" s="18"/>
      <c r="E567" s="18"/>
    </row>
    <row r="568" spans="4:5" x14ac:dyDescent="0.75">
      <c r="D568" s="18"/>
      <c r="E568" s="18"/>
    </row>
    <row r="569" spans="4:5" x14ac:dyDescent="0.75">
      <c r="D569" s="18"/>
      <c r="E569" s="18"/>
    </row>
    <row r="570" spans="4:5" x14ac:dyDescent="0.75">
      <c r="D570" s="18"/>
      <c r="E570" s="18"/>
    </row>
    <row r="571" spans="4:5" x14ac:dyDescent="0.75">
      <c r="D571" s="18"/>
      <c r="E571" s="18"/>
    </row>
    <row r="572" spans="4:5" x14ac:dyDescent="0.75">
      <c r="D572" s="18"/>
      <c r="E572" s="18"/>
    </row>
    <row r="573" spans="4:5" x14ac:dyDescent="0.75">
      <c r="D573" s="18"/>
      <c r="E573" s="18"/>
    </row>
    <row r="574" spans="4:5" x14ac:dyDescent="0.75">
      <c r="D574" s="18"/>
      <c r="E574" s="18"/>
    </row>
    <row r="575" spans="4:5" x14ac:dyDescent="0.75">
      <c r="D575" s="18"/>
      <c r="E575" s="18"/>
    </row>
    <row r="576" spans="4:5" x14ac:dyDescent="0.75">
      <c r="D576" s="18"/>
      <c r="E576" s="18"/>
    </row>
    <row r="577" spans="4:5" x14ac:dyDescent="0.75">
      <c r="D577" s="18"/>
      <c r="E577" s="18"/>
    </row>
    <row r="578" spans="4:5" x14ac:dyDescent="0.75">
      <c r="D578" s="18"/>
      <c r="E578" s="18"/>
    </row>
    <row r="579" spans="4:5" x14ac:dyDescent="0.75">
      <c r="D579" s="18"/>
      <c r="E579" s="18"/>
    </row>
    <row r="580" spans="4:5" x14ac:dyDescent="0.75">
      <c r="D580" s="18"/>
      <c r="E580" s="18"/>
    </row>
    <row r="581" spans="4:5" x14ac:dyDescent="0.75">
      <c r="D581" s="18"/>
      <c r="E581" s="18"/>
    </row>
    <row r="582" spans="4:5" x14ac:dyDescent="0.75">
      <c r="D582" s="18"/>
      <c r="E582" s="18"/>
    </row>
    <row r="583" spans="4:5" x14ac:dyDescent="0.75">
      <c r="D583" s="18"/>
      <c r="E583" s="18"/>
    </row>
    <row r="584" spans="4:5" x14ac:dyDescent="0.75">
      <c r="D584" s="18"/>
      <c r="E584" s="18"/>
    </row>
    <row r="585" spans="4:5" x14ac:dyDescent="0.75">
      <c r="D585" s="18"/>
      <c r="E585" s="18"/>
    </row>
    <row r="586" spans="4:5" x14ac:dyDescent="0.75">
      <c r="D586" s="18"/>
      <c r="E586" s="18"/>
    </row>
    <row r="587" spans="4:5" x14ac:dyDescent="0.75">
      <c r="D587" s="18"/>
      <c r="E587" s="18"/>
    </row>
    <row r="588" spans="4:5" x14ac:dyDescent="0.75">
      <c r="D588" s="18"/>
      <c r="E588" s="18"/>
    </row>
    <row r="589" spans="4:5" x14ac:dyDescent="0.75">
      <c r="D589" s="18"/>
      <c r="E589" s="18"/>
    </row>
    <row r="590" spans="4:5" x14ac:dyDescent="0.75">
      <c r="D590" s="18"/>
      <c r="E590" s="18"/>
    </row>
    <row r="591" spans="4:5" x14ac:dyDescent="0.75">
      <c r="D591" s="18"/>
      <c r="E591" s="18"/>
    </row>
    <row r="592" spans="4:5" x14ac:dyDescent="0.75">
      <c r="D592" s="18"/>
      <c r="E592" s="18"/>
    </row>
    <row r="593" spans="4:5" x14ac:dyDescent="0.75">
      <c r="D593" s="18"/>
      <c r="E593" s="18"/>
    </row>
    <row r="594" spans="4:5" x14ac:dyDescent="0.75">
      <c r="D594" s="18"/>
      <c r="E594" s="18"/>
    </row>
    <row r="595" spans="4:5" x14ac:dyDescent="0.75">
      <c r="D595" s="18"/>
      <c r="E595" s="18"/>
    </row>
    <row r="596" spans="4:5" x14ac:dyDescent="0.75">
      <c r="D596" s="18"/>
      <c r="E596" s="18"/>
    </row>
    <row r="597" spans="4:5" x14ac:dyDescent="0.75">
      <c r="D597" s="18"/>
      <c r="E597" s="18"/>
    </row>
    <row r="598" spans="4:5" x14ac:dyDescent="0.75">
      <c r="D598" s="18"/>
      <c r="E598" s="18"/>
    </row>
    <row r="599" spans="4:5" x14ac:dyDescent="0.75">
      <c r="D599" s="18"/>
      <c r="E599" s="18"/>
    </row>
    <row r="600" spans="4:5" x14ac:dyDescent="0.75">
      <c r="D600" s="18"/>
      <c r="E600" s="18"/>
    </row>
    <row r="601" spans="4:5" x14ac:dyDescent="0.75">
      <c r="D601" s="18"/>
      <c r="E601" s="18"/>
    </row>
    <row r="602" spans="4:5" x14ac:dyDescent="0.75">
      <c r="D602" s="18"/>
      <c r="E602" s="18"/>
    </row>
    <row r="603" spans="4:5" x14ac:dyDescent="0.75">
      <c r="D603" s="18"/>
      <c r="E603" s="18"/>
    </row>
    <row r="604" spans="4:5" x14ac:dyDescent="0.75">
      <c r="D604" s="18"/>
      <c r="E604" s="18"/>
    </row>
    <row r="605" spans="4:5" x14ac:dyDescent="0.75">
      <c r="D605" s="18"/>
      <c r="E605" s="18"/>
    </row>
    <row r="606" spans="4:5" x14ac:dyDescent="0.75">
      <c r="D606" s="18"/>
      <c r="E606" s="18"/>
    </row>
    <row r="607" spans="4:5" x14ac:dyDescent="0.75">
      <c r="D607" s="18"/>
      <c r="E607" s="18"/>
    </row>
    <row r="608" spans="4:5" x14ac:dyDescent="0.75">
      <c r="D608" s="18"/>
      <c r="E608" s="18"/>
    </row>
    <row r="609" spans="4:5" x14ac:dyDescent="0.75">
      <c r="D609" s="18"/>
      <c r="E609" s="18"/>
    </row>
    <row r="610" spans="4:5" x14ac:dyDescent="0.75">
      <c r="D610" s="18"/>
      <c r="E610" s="18"/>
    </row>
    <row r="611" spans="4:5" x14ac:dyDescent="0.75">
      <c r="D611" s="18"/>
      <c r="E611" s="18"/>
    </row>
    <row r="612" spans="4:5" x14ac:dyDescent="0.75">
      <c r="D612" s="18"/>
      <c r="E612" s="18"/>
    </row>
    <row r="613" spans="4:5" x14ac:dyDescent="0.75">
      <c r="D613" s="18"/>
      <c r="E613" s="18"/>
    </row>
    <row r="614" spans="4:5" x14ac:dyDescent="0.75">
      <c r="D614" s="18"/>
      <c r="E614" s="18"/>
    </row>
    <row r="615" spans="4:5" x14ac:dyDescent="0.75">
      <c r="D615" s="18"/>
      <c r="E615" s="18"/>
    </row>
    <row r="616" spans="4:5" x14ac:dyDescent="0.75">
      <c r="D616" s="18"/>
      <c r="E616" s="18"/>
    </row>
    <row r="617" spans="4:5" x14ac:dyDescent="0.75">
      <c r="D617" s="18"/>
      <c r="E617" s="18"/>
    </row>
    <row r="618" spans="4:5" x14ac:dyDescent="0.75">
      <c r="D618" s="18"/>
      <c r="E618" s="18"/>
    </row>
    <row r="619" spans="4:5" x14ac:dyDescent="0.75">
      <c r="D619" s="18"/>
      <c r="E619" s="18"/>
    </row>
    <row r="620" spans="4:5" x14ac:dyDescent="0.75">
      <c r="D620" s="18"/>
      <c r="E620" s="18"/>
    </row>
    <row r="621" spans="4:5" x14ac:dyDescent="0.75">
      <c r="D621" s="18"/>
      <c r="E621" s="18"/>
    </row>
    <row r="622" spans="4:5" x14ac:dyDescent="0.75">
      <c r="D622" s="18"/>
      <c r="E622" s="18"/>
    </row>
    <row r="623" spans="4:5" x14ac:dyDescent="0.75">
      <c r="D623" s="18"/>
      <c r="E623" s="18"/>
    </row>
    <row r="624" spans="4:5" x14ac:dyDescent="0.75">
      <c r="D624" s="18"/>
      <c r="E624" s="18"/>
    </row>
    <row r="625" spans="4:5" x14ac:dyDescent="0.75">
      <c r="D625" s="18"/>
      <c r="E625" s="18"/>
    </row>
    <row r="626" spans="4:5" x14ac:dyDescent="0.75">
      <c r="D626" s="18"/>
      <c r="E626" s="18"/>
    </row>
    <row r="627" spans="4:5" x14ac:dyDescent="0.75">
      <c r="D627" s="18"/>
      <c r="E627" s="18"/>
    </row>
    <row r="628" spans="4:5" x14ac:dyDescent="0.75">
      <c r="D628" s="18"/>
      <c r="E628" s="18"/>
    </row>
    <row r="629" spans="4:5" x14ac:dyDescent="0.75">
      <c r="D629" s="18"/>
      <c r="E629" s="18"/>
    </row>
    <row r="630" spans="4:5" x14ac:dyDescent="0.75">
      <c r="D630" s="18"/>
      <c r="E630" s="18"/>
    </row>
    <row r="631" spans="4:5" x14ac:dyDescent="0.75">
      <c r="D631" s="18"/>
      <c r="E631" s="18"/>
    </row>
    <row r="632" spans="4:5" x14ac:dyDescent="0.75">
      <c r="D632" s="18"/>
      <c r="E632" s="18"/>
    </row>
    <row r="633" spans="4:5" x14ac:dyDescent="0.75">
      <c r="D633" s="18"/>
      <c r="E633" s="18"/>
    </row>
    <row r="634" spans="4:5" x14ac:dyDescent="0.75">
      <c r="D634" s="18"/>
      <c r="E634" s="18"/>
    </row>
    <row r="635" spans="4:5" x14ac:dyDescent="0.75">
      <c r="D635" s="18"/>
      <c r="E635" s="18"/>
    </row>
    <row r="636" spans="4:5" x14ac:dyDescent="0.75">
      <c r="D636" s="18"/>
      <c r="E636" s="18"/>
    </row>
    <row r="637" spans="4:5" x14ac:dyDescent="0.75">
      <c r="D637" s="18"/>
      <c r="E637" s="18"/>
    </row>
    <row r="638" spans="4:5" x14ac:dyDescent="0.75">
      <c r="D638" s="18"/>
      <c r="E638" s="18"/>
    </row>
    <row r="639" spans="4:5" x14ac:dyDescent="0.75">
      <c r="D639" s="18"/>
      <c r="E639" s="18"/>
    </row>
    <row r="640" spans="4:5" x14ac:dyDescent="0.75">
      <c r="D640" s="18"/>
      <c r="E640" s="18"/>
    </row>
    <row r="641" spans="4:5" x14ac:dyDescent="0.75">
      <c r="D641" s="18"/>
      <c r="E641" s="18"/>
    </row>
    <row r="642" spans="4:5" x14ac:dyDescent="0.75">
      <c r="D642" s="18"/>
      <c r="E642" s="18"/>
    </row>
    <row r="643" spans="4:5" x14ac:dyDescent="0.75">
      <c r="D643" s="18"/>
      <c r="E643" s="18"/>
    </row>
    <row r="644" spans="4:5" x14ac:dyDescent="0.75">
      <c r="D644" s="18"/>
      <c r="E644" s="18"/>
    </row>
    <row r="645" spans="4:5" x14ac:dyDescent="0.75">
      <c r="D645" s="18"/>
      <c r="E645" s="18"/>
    </row>
    <row r="646" spans="4:5" x14ac:dyDescent="0.75">
      <c r="D646" s="18"/>
      <c r="E646" s="18"/>
    </row>
    <row r="647" spans="4:5" x14ac:dyDescent="0.75">
      <c r="D647" s="18"/>
      <c r="E647" s="18"/>
    </row>
    <row r="648" spans="4:5" x14ac:dyDescent="0.75">
      <c r="D648" s="18"/>
      <c r="E648" s="18"/>
    </row>
    <row r="649" spans="4:5" x14ac:dyDescent="0.75">
      <c r="D649" s="18"/>
      <c r="E649" s="18"/>
    </row>
    <row r="650" spans="4:5" x14ac:dyDescent="0.75">
      <c r="D650" s="18"/>
      <c r="E650" s="18"/>
    </row>
    <row r="651" spans="4:5" x14ac:dyDescent="0.75">
      <c r="D651" s="18"/>
      <c r="E651" s="18"/>
    </row>
    <row r="652" spans="4:5" x14ac:dyDescent="0.75">
      <c r="D652" s="18"/>
      <c r="E652" s="18"/>
    </row>
    <row r="653" spans="4:5" x14ac:dyDescent="0.75">
      <c r="D653" s="18"/>
      <c r="E653" s="18"/>
    </row>
    <row r="654" spans="4:5" x14ac:dyDescent="0.75">
      <c r="D654" s="18"/>
      <c r="E654" s="18"/>
    </row>
    <row r="655" spans="4:5" x14ac:dyDescent="0.75">
      <c r="D655" s="18"/>
      <c r="E655" s="18"/>
    </row>
    <row r="656" spans="4:5" x14ac:dyDescent="0.75">
      <c r="D656" s="18"/>
      <c r="E656" s="18"/>
    </row>
    <row r="657" spans="4:5" x14ac:dyDescent="0.75">
      <c r="D657" s="18"/>
      <c r="E657" s="18"/>
    </row>
    <row r="658" spans="4:5" x14ac:dyDescent="0.75">
      <c r="D658" s="18"/>
      <c r="E658" s="18"/>
    </row>
    <row r="659" spans="4:5" x14ac:dyDescent="0.75">
      <c r="D659" s="18"/>
      <c r="E659" s="18"/>
    </row>
    <row r="660" spans="4:5" x14ac:dyDescent="0.75">
      <c r="D660" s="18"/>
      <c r="E660" s="18"/>
    </row>
    <row r="661" spans="4:5" x14ac:dyDescent="0.75">
      <c r="D661" s="18"/>
      <c r="E661" s="18"/>
    </row>
    <row r="662" spans="4:5" x14ac:dyDescent="0.75">
      <c r="D662" s="18"/>
      <c r="E662" s="18"/>
    </row>
    <row r="663" spans="4:5" x14ac:dyDescent="0.75">
      <c r="D663" s="18"/>
      <c r="E663" s="18"/>
    </row>
    <row r="664" spans="4:5" x14ac:dyDescent="0.75">
      <c r="D664" s="18"/>
      <c r="E664" s="18"/>
    </row>
    <row r="665" spans="4:5" x14ac:dyDescent="0.75">
      <c r="D665" s="18"/>
      <c r="E665" s="18"/>
    </row>
    <row r="666" spans="4:5" x14ac:dyDescent="0.75">
      <c r="D666" s="18"/>
      <c r="E666" s="18"/>
    </row>
    <row r="667" spans="4:5" x14ac:dyDescent="0.75">
      <c r="D667" s="18"/>
      <c r="E667" s="18"/>
    </row>
    <row r="668" spans="4:5" x14ac:dyDescent="0.75">
      <c r="D668" s="18"/>
      <c r="E668" s="18"/>
    </row>
    <row r="669" spans="4:5" x14ac:dyDescent="0.75">
      <c r="D669" s="18"/>
      <c r="E669" s="18"/>
    </row>
    <row r="670" spans="4:5" x14ac:dyDescent="0.75">
      <c r="D670" s="18"/>
      <c r="E670" s="18"/>
    </row>
    <row r="671" spans="4:5" x14ac:dyDescent="0.75">
      <c r="D671" s="18"/>
      <c r="E671" s="18"/>
    </row>
    <row r="672" spans="4:5" x14ac:dyDescent="0.75">
      <c r="D672" s="18"/>
      <c r="E672" s="18"/>
    </row>
    <row r="673" spans="4:5" x14ac:dyDescent="0.75">
      <c r="D673" s="18"/>
      <c r="E673" s="18"/>
    </row>
    <row r="674" spans="4:5" x14ac:dyDescent="0.75">
      <c r="D674" s="18"/>
      <c r="E674" s="18"/>
    </row>
    <row r="675" spans="4:5" x14ac:dyDescent="0.75">
      <c r="D675" s="18"/>
      <c r="E675" s="18"/>
    </row>
    <row r="676" spans="4:5" x14ac:dyDescent="0.75">
      <c r="D676" s="18"/>
      <c r="E676" s="18"/>
    </row>
    <row r="677" spans="4:5" x14ac:dyDescent="0.75">
      <c r="D677" s="18"/>
      <c r="E677" s="18"/>
    </row>
    <row r="678" spans="4:5" x14ac:dyDescent="0.75">
      <c r="D678" s="18"/>
      <c r="E678" s="18"/>
    </row>
    <row r="679" spans="4:5" x14ac:dyDescent="0.75">
      <c r="D679" s="18"/>
      <c r="E679" s="18"/>
    </row>
    <row r="680" spans="4:5" x14ac:dyDescent="0.75">
      <c r="D680" s="18"/>
      <c r="E680" s="18"/>
    </row>
    <row r="681" spans="4:5" x14ac:dyDescent="0.75">
      <c r="D681" s="18"/>
      <c r="E681" s="18"/>
    </row>
    <row r="682" spans="4:5" x14ac:dyDescent="0.75">
      <c r="D682" s="18"/>
      <c r="E682" s="18"/>
    </row>
    <row r="683" spans="4:5" x14ac:dyDescent="0.75">
      <c r="D683" s="18"/>
      <c r="E683" s="18"/>
    </row>
    <row r="684" spans="4:5" x14ac:dyDescent="0.75">
      <c r="D684" s="18"/>
      <c r="E684" s="18"/>
    </row>
    <row r="685" spans="4:5" x14ac:dyDescent="0.75">
      <c r="D685" s="18"/>
      <c r="E685" s="18"/>
    </row>
    <row r="686" spans="4:5" x14ac:dyDescent="0.75">
      <c r="D686" s="18"/>
      <c r="E686" s="18"/>
    </row>
    <row r="687" spans="4:5" x14ac:dyDescent="0.75">
      <c r="D687" s="18"/>
      <c r="E687" s="18"/>
    </row>
    <row r="688" spans="4:5" x14ac:dyDescent="0.75">
      <c r="D688" s="18"/>
      <c r="E688" s="18"/>
    </row>
    <row r="689" spans="4:5" x14ac:dyDescent="0.75">
      <c r="D689" s="18"/>
      <c r="E689" s="18"/>
    </row>
    <row r="690" spans="4:5" x14ac:dyDescent="0.75">
      <c r="D690" s="18"/>
      <c r="E690" s="1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Bootstrap">
          <controlPr defaultSize="0" autoLine="0" r:id="rId5">
            <anchor moveWithCells="1">
              <from>
                <xdr:col>3</xdr:col>
                <xdr:colOff>1047750</xdr:colOff>
                <xdr:row>0</xdr:row>
                <xdr:rowOff>228600</xdr:rowOff>
              </from>
              <to>
                <xdr:col>5</xdr:col>
                <xdr:colOff>12700</xdr:colOff>
                <xdr:row>1</xdr:row>
                <xdr:rowOff>361950</xdr:rowOff>
              </to>
            </anchor>
          </controlPr>
        </control>
      </mc:Choice>
      <mc:Fallback>
        <control shapeId="1025" r:id="rId4" name="RunBootstra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283A-93FE-404B-ACF4-73A71924099E}">
  <sheetPr codeName="Sheet1">
    <tabColor theme="0"/>
  </sheetPr>
  <dimension ref="B2:B7"/>
  <sheetViews>
    <sheetView workbookViewId="0">
      <selection activeCell="L14" sqref="L14"/>
    </sheetView>
  </sheetViews>
  <sheetFormatPr defaultRowHeight="14.75" x14ac:dyDescent="0.75"/>
  <cols>
    <col min="1" max="16384" width="8.7265625" style="3"/>
  </cols>
  <sheetData>
    <row r="2" spans="2:2" x14ac:dyDescent="0.75">
      <c r="B2" s="44" t="s">
        <v>30</v>
      </c>
    </row>
    <row r="3" spans="2:2" x14ac:dyDescent="0.75">
      <c r="B3" s="45" t="s">
        <v>39</v>
      </c>
    </row>
    <row r="4" spans="2:2" x14ac:dyDescent="0.75">
      <c r="B4" s="3" t="s">
        <v>41</v>
      </c>
    </row>
    <row r="5" spans="2:2" x14ac:dyDescent="0.75">
      <c r="B5" s="3" t="s">
        <v>38</v>
      </c>
    </row>
    <row r="6" spans="2:2" x14ac:dyDescent="0.75">
      <c r="B6" s="3" t="s">
        <v>40</v>
      </c>
    </row>
    <row r="7" spans="2:2" x14ac:dyDescent="0.75">
      <c r="B7" s="3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8</vt:i4>
      </vt:variant>
    </vt:vector>
  </HeadingPairs>
  <TitlesOfParts>
    <vt:vector size="12" baseType="lpstr">
      <vt:lpstr>Data</vt:lpstr>
      <vt:lpstr>Simulation</vt:lpstr>
      <vt:lpstr>Results</vt:lpstr>
      <vt:lpstr>References</vt:lpstr>
      <vt:lpstr>anchorCell</vt:lpstr>
      <vt:lpstr>Buckets</vt:lpstr>
      <vt:lpstr>claimReserve</vt:lpstr>
      <vt:lpstr>nCol</vt:lpstr>
      <vt:lpstr>nSim</vt:lpstr>
      <vt:lpstr>Phi</vt:lpstr>
      <vt:lpstr>Psi</vt:lpstr>
      <vt:lpstr>resample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Luini</dc:creator>
  <cp:lastModifiedBy>Clemente Gian Paolo (gianpaolo.clemente)</cp:lastModifiedBy>
  <dcterms:created xsi:type="dcterms:W3CDTF">2017-10-15T15:37:24Z</dcterms:created>
  <dcterms:modified xsi:type="dcterms:W3CDTF">2022-10-19T07:34:48Z</dcterms:modified>
</cp:coreProperties>
</file>